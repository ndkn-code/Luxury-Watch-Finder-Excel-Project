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Ex3.xml" ContentType="application/vnd.ms-office.chartex+xml"/>
  <Override PartName="/xl/charts/style6.xml" ContentType="application/vnd.ms-office.chartstyle+xml"/>
  <Override PartName="/xl/charts/colors6.xml" ContentType="application/vnd.ms-office.chartcolorstyle+xml"/>
  <Override PartName="/xl/charts/chartEx4.xml" ContentType="application/vnd.ms-office.chartex+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7.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8.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nguye\Downloads\"/>
    </mc:Choice>
  </mc:AlternateContent>
  <xr:revisionPtr revIDLastSave="0" documentId="8_{2B2275A7-78B7-4A53-9D51-3FC5D9D04922}" xr6:coauthVersionLast="47" xr6:coauthVersionMax="47" xr10:uidLastSave="{00000000-0000-0000-0000-000000000000}"/>
  <bookViews>
    <workbookView xWindow="-120" yWindow="-120" windowWidth="38640" windowHeight="21120" activeTab="2" xr2:uid="{00000000-000D-0000-FFFF-FFFF00000000}"/>
  </bookViews>
  <sheets>
    <sheet name="Documentation" sheetId="14" r:id="rId1"/>
    <sheet name="Watch Data Original" sheetId="1" r:id="rId2"/>
    <sheet name="Watch Data Cleaning" sheetId="13" r:id="rId3"/>
    <sheet name="Watch Data" sheetId="2" r:id="rId4"/>
    <sheet name="WIP" sheetId="5" r:id="rId5"/>
    <sheet name="Form" sheetId="3" r:id="rId6"/>
    <sheet name="Financial Solver" sheetId="8" r:id="rId7"/>
    <sheet name="Filter 1" sheetId="11" r:id="rId8"/>
    <sheet name="Filter 2" sheetId="12" r:id="rId9"/>
    <sheet name="Pivot 1" sheetId="9" r:id="rId10"/>
    <sheet name="Pivot 2" sheetId="10" r:id="rId11"/>
  </sheets>
  <definedNames>
    <definedName name="_xlnm._FilterDatabase" localSheetId="7" hidden="1">'Filter 1'!$A$1:$P$506</definedName>
    <definedName name="_xlnm._FilterDatabase" localSheetId="8" hidden="1">'Filter 2'!$A$1:$P$506</definedName>
    <definedName name="_xlchart.v1.0" hidden="1">'Filter 2'!$C$2:$C$469</definedName>
    <definedName name="_xlchart.v1.1" hidden="1">'Filter 2'!$H$2:$H$469</definedName>
    <definedName name="_xlchart.v1.2" hidden="1">'Filter 2'!$E$495:$E$506</definedName>
    <definedName name="_xlchart.v1.3" hidden="1">'Filter 2'!$H$495:$H$506</definedName>
    <definedName name="_xlchart.v1.4" hidden="1">'Filter 2'!$E$2:$E$443</definedName>
    <definedName name="_xlchart.v1.5" hidden="1">'Filter 2'!$H$2:$H$443</definedName>
    <definedName name="_xlchart.v1.6" hidden="1">'Filter 2'!$E$444:$E$494</definedName>
    <definedName name="_xlchart.v1.7" hidden="1">'Filter 2'!$H$444:$H$494</definedName>
    <definedName name="Brand" localSheetId="7">'Filter 1'!$B$2:$B$508</definedName>
    <definedName name="Brand" localSheetId="8">'Filter 2'!$B$2:$B$508</definedName>
    <definedName name="Brand" localSheetId="2">'Watch Data Cleaning'!$B$2:$B$508</definedName>
    <definedName name="Brand">'Watch Data'!$B$2:$B$508</definedName>
    <definedName name="data" localSheetId="7">'Filter 1'!$1:$1048576</definedName>
    <definedName name="data" localSheetId="8">'Filter 2'!$1:$1048576</definedName>
    <definedName name="data" localSheetId="2">'Watch Data Cleaning'!$1:$1048576</definedName>
    <definedName name="data">'Watch Data'!$1:$1048576</definedName>
    <definedName name="data\" localSheetId="7">'Filter 1'!$1:$1048576</definedName>
    <definedName name="data\" localSheetId="8">'Filter 2'!$1:$1048576</definedName>
    <definedName name="data\" localSheetId="2">'Watch Data Cleaning'!$1:$1048576</definedName>
    <definedName name="data\">'Watch Data'!$1:$1048576</definedName>
    <definedName name="dial" localSheetId="7">'Filter 1'!$J$2:$J$555</definedName>
    <definedName name="dial" localSheetId="8">'Filter 2'!$J$2:$J$555</definedName>
    <definedName name="dial" localSheetId="2">'Watch Data Cleaning'!$E$2:$E$555</definedName>
    <definedName name="dial">'Watch Data'!$J$2:$J$555</definedName>
    <definedName name="mvmt" localSheetId="7">'Filter 1'!$E$2:$E$675</definedName>
    <definedName name="mvmt" localSheetId="8">'Filter 2'!$E$2:$E$675</definedName>
    <definedName name="mvmt" localSheetId="2">'Watch Data Cleaning'!#REF!</definedName>
    <definedName name="mvmt">'Watch Data'!$E$2:$E$675</definedName>
    <definedName name="price_range" localSheetId="7">'Filter 1'!$P$2:$P$518</definedName>
    <definedName name="price_range" localSheetId="8">'Filter 2'!$P$2:$P$518</definedName>
    <definedName name="price_range" localSheetId="2">'Watch Data Cleaning'!$K$2:$K$518</definedName>
    <definedName name="price_range">'Watch Data'!$P$2:$P$518</definedName>
    <definedName name="Slicer_Crystal_Material">#N/A</definedName>
    <definedName name="Slicer_Movement_Type">#N/A</definedName>
    <definedName name="Slicer_Price_Range">#N/A</definedName>
    <definedName name="Slicer_Price_Range1">#N/A</definedName>
    <definedName name="Slicer_Price_Range2">#N/A</definedName>
    <definedName name="Slicer_WR_Range">#N/A</definedName>
    <definedName name="watch" localSheetId="7">'Filter 1'!$A$1:$P$506</definedName>
    <definedName name="watch" localSheetId="8">'Filter 2'!$A$1:$P$506</definedName>
    <definedName name="watch" localSheetId="2">'Watch Data Cleaning'!$A$1:$K$506</definedName>
    <definedName name="watch">'Watch Data'!$A$1:$P$506</definedName>
    <definedName name="WR_Range" localSheetId="7">'Filter 1'!$O$2:$O$670</definedName>
    <definedName name="WR_Range" localSheetId="8">'Filter 2'!$O$2:$O$670</definedName>
    <definedName name="WR_Range" localSheetId="2">'Watch Data Cleaning'!$J$2:$J$670</definedName>
    <definedName name="WR_Range">'Watch Data'!$O$2:$O$670</definedName>
  </definedNames>
  <calcPr calcId="191029"/>
  <pivotCaches>
    <pivotCache cacheId="0" r:id="rId12"/>
    <pivotCache cacheId="1" r:id="rId13"/>
    <pivotCache cacheId="2" r:id="rId14"/>
  </pivotCaches>
  <extLst>
    <ext xmlns:x14="http://schemas.microsoft.com/office/spreadsheetml/2009/9/main" uri="{BBE1A952-AA13-448e-AADC-164F8A28A991}">
      <x14:slicerCaches>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 l="1"/>
  <c r="P443" i="12"/>
  <c r="O443" i="12"/>
  <c r="P442" i="12"/>
  <c r="O442" i="12"/>
  <c r="P441" i="12"/>
  <c r="O441" i="12"/>
  <c r="P440" i="12"/>
  <c r="O440" i="12"/>
  <c r="P439" i="12"/>
  <c r="O439" i="12"/>
  <c r="P438" i="12"/>
  <c r="O438" i="12"/>
  <c r="P437" i="12"/>
  <c r="O437" i="12"/>
  <c r="P436" i="12"/>
  <c r="O436" i="12"/>
  <c r="P435" i="12"/>
  <c r="O435" i="12"/>
  <c r="P434" i="12"/>
  <c r="O434" i="12"/>
  <c r="P433" i="12"/>
  <c r="O433" i="12"/>
  <c r="P432" i="12"/>
  <c r="O432" i="12"/>
  <c r="P431" i="12"/>
  <c r="O431" i="12"/>
  <c r="P430" i="12"/>
  <c r="O430" i="12"/>
  <c r="P429" i="12"/>
  <c r="O429" i="12"/>
  <c r="P428" i="12"/>
  <c r="O428" i="12"/>
  <c r="P427" i="12"/>
  <c r="O427" i="12"/>
  <c r="P426" i="12"/>
  <c r="O426" i="12"/>
  <c r="P425" i="12"/>
  <c r="O425" i="12"/>
  <c r="P424" i="12"/>
  <c r="O424" i="12"/>
  <c r="P423" i="12"/>
  <c r="O423" i="12"/>
  <c r="P422" i="12"/>
  <c r="O422" i="12"/>
  <c r="P421" i="12"/>
  <c r="O421" i="12"/>
  <c r="P420" i="12"/>
  <c r="O420" i="12"/>
  <c r="P419" i="12"/>
  <c r="O419" i="12"/>
  <c r="P418" i="12"/>
  <c r="O418" i="12"/>
  <c r="P417" i="12"/>
  <c r="O417" i="12"/>
  <c r="P416" i="12"/>
  <c r="O416" i="12"/>
  <c r="P415" i="12"/>
  <c r="O415" i="12"/>
  <c r="P414" i="12"/>
  <c r="O414" i="12"/>
  <c r="P413" i="12"/>
  <c r="O413" i="12"/>
  <c r="P412" i="12"/>
  <c r="O412" i="12"/>
  <c r="P411" i="12"/>
  <c r="O411" i="12"/>
  <c r="P410" i="12"/>
  <c r="O410" i="12"/>
  <c r="P409" i="12"/>
  <c r="O409" i="12"/>
  <c r="P408" i="12"/>
  <c r="O408" i="12"/>
  <c r="P407" i="12"/>
  <c r="O407" i="12"/>
  <c r="P494" i="12"/>
  <c r="O494" i="12"/>
  <c r="P406" i="12"/>
  <c r="O406" i="12"/>
  <c r="P405" i="12"/>
  <c r="O405" i="12"/>
  <c r="P404" i="12"/>
  <c r="O404" i="12"/>
  <c r="P403" i="12"/>
  <c r="O403" i="12"/>
  <c r="P402" i="12"/>
  <c r="O402" i="12"/>
  <c r="P401" i="12"/>
  <c r="O401" i="12"/>
  <c r="P400" i="12"/>
  <c r="O400" i="12"/>
  <c r="P399" i="12"/>
  <c r="O399" i="12"/>
  <c r="P398" i="12"/>
  <c r="O398" i="12"/>
  <c r="P397" i="12"/>
  <c r="O397" i="12"/>
  <c r="P396" i="12"/>
  <c r="O396" i="12"/>
  <c r="P395" i="12"/>
  <c r="O395" i="12"/>
  <c r="P394" i="12"/>
  <c r="O394" i="12"/>
  <c r="P393" i="12"/>
  <c r="O393" i="12"/>
  <c r="P493" i="12"/>
  <c r="O493" i="12"/>
  <c r="P392" i="12"/>
  <c r="O392" i="12"/>
  <c r="P492" i="12"/>
  <c r="O492" i="12"/>
  <c r="P391" i="12"/>
  <c r="O391" i="12"/>
  <c r="P390" i="12"/>
  <c r="O390" i="12"/>
  <c r="P389" i="12"/>
  <c r="O389" i="12"/>
  <c r="P388" i="12"/>
  <c r="O388" i="12"/>
  <c r="P387" i="12"/>
  <c r="O387" i="12"/>
  <c r="P386" i="12"/>
  <c r="O386" i="12"/>
  <c r="P385" i="12"/>
  <c r="O385" i="12"/>
  <c r="P384" i="12"/>
  <c r="O384" i="12"/>
  <c r="P383" i="12"/>
  <c r="O383" i="12"/>
  <c r="P382" i="12"/>
  <c r="O382" i="12"/>
  <c r="P381" i="12"/>
  <c r="O381" i="12"/>
  <c r="P380" i="12"/>
  <c r="O380" i="12"/>
  <c r="P379" i="12"/>
  <c r="O379" i="12"/>
  <c r="P378" i="12"/>
  <c r="O378" i="12"/>
  <c r="P377" i="12"/>
  <c r="O377" i="12"/>
  <c r="P376" i="12"/>
  <c r="O376" i="12"/>
  <c r="P375" i="12"/>
  <c r="O375" i="12"/>
  <c r="P374" i="12"/>
  <c r="O374" i="12"/>
  <c r="P373" i="12"/>
  <c r="O373" i="12"/>
  <c r="P372" i="12"/>
  <c r="O372" i="12"/>
  <c r="P371" i="12"/>
  <c r="O371" i="12"/>
  <c r="P370" i="12"/>
  <c r="O370" i="12"/>
  <c r="P369" i="12"/>
  <c r="O369" i="12"/>
  <c r="P368" i="12"/>
  <c r="O368" i="12"/>
  <c r="P367" i="12"/>
  <c r="O367" i="12"/>
  <c r="P366" i="12"/>
  <c r="O366" i="12"/>
  <c r="P506" i="12"/>
  <c r="O506" i="12"/>
  <c r="P505" i="12"/>
  <c r="O505" i="12"/>
  <c r="P504" i="12"/>
  <c r="O504" i="12"/>
  <c r="P365" i="12"/>
  <c r="O365" i="12"/>
  <c r="P364" i="12"/>
  <c r="O364" i="12"/>
  <c r="P363" i="12"/>
  <c r="O363" i="12"/>
  <c r="P362" i="12"/>
  <c r="O362" i="12"/>
  <c r="P361" i="12"/>
  <c r="O361" i="12"/>
  <c r="P360" i="12"/>
  <c r="O360" i="12"/>
  <c r="P359" i="12"/>
  <c r="O359" i="12"/>
  <c r="P358" i="12"/>
  <c r="O358" i="12"/>
  <c r="P357" i="12"/>
  <c r="O357" i="12"/>
  <c r="P356" i="12"/>
  <c r="O356" i="12"/>
  <c r="P355" i="12"/>
  <c r="O355" i="12"/>
  <c r="P354" i="12"/>
  <c r="O354" i="12"/>
  <c r="P353" i="12"/>
  <c r="O353" i="12"/>
  <c r="P352" i="12"/>
  <c r="O352" i="12"/>
  <c r="P351" i="12"/>
  <c r="O351" i="12"/>
  <c r="P350" i="12"/>
  <c r="O350" i="12"/>
  <c r="P349" i="12"/>
  <c r="O349" i="12"/>
  <c r="P348" i="12"/>
  <c r="O348" i="12"/>
  <c r="P347" i="12"/>
  <c r="O347" i="12"/>
  <c r="P346" i="12"/>
  <c r="O346" i="12"/>
  <c r="P345" i="12"/>
  <c r="O345" i="12"/>
  <c r="P344" i="12"/>
  <c r="O344" i="12"/>
  <c r="P343" i="12"/>
  <c r="O343" i="12"/>
  <c r="P342" i="12"/>
  <c r="O342" i="12"/>
  <c r="P341" i="12"/>
  <c r="O341" i="12"/>
  <c r="P340" i="12"/>
  <c r="O340" i="12"/>
  <c r="P339" i="12"/>
  <c r="O339" i="12"/>
  <c r="P338" i="12"/>
  <c r="O338" i="12"/>
  <c r="P337" i="12"/>
  <c r="O337" i="12"/>
  <c r="P336" i="12"/>
  <c r="O336" i="12"/>
  <c r="P335" i="12"/>
  <c r="O335" i="12"/>
  <c r="P334" i="12"/>
  <c r="O334" i="12"/>
  <c r="P333" i="12"/>
  <c r="O333" i="12"/>
  <c r="P332" i="12"/>
  <c r="O332" i="12"/>
  <c r="P331" i="12"/>
  <c r="O331" i="12"/>
  <c r="P330" i="12"/>
  <c r="O330" i="12"/>
  <c r="P329" i="12"/>
  <c r="O329" i="12"/>
  <c r="P328" i="12"/>
  <c r="O328" i="12"/>
  <c r="P327" i="12"/>
  <c r="O327" i="12"/>
  <c r="P326" i="12"/>
  <c r="O326" i="12"/>
  <c r="P325" i="12"/>
  <c r="O325" i="12"/>
  <c r="P324" i="12"/>
  <c r="O324" i="12"/>
  <c r="P323" i="12"/>
  <c r="O323" i="12"/>
  <c r="P322" i="12"/>
  <c r="O322" i="12"/>
  <c r="P321" i="12"/>
  <c r="O321" i="12"/>
  <c r="P503" i="12"/>
  <c r="O503" i="12"/>
  <c r="P320" i="12"/>
  <c r="O320" i="12"/>
  <c r="P319" i="12"/>
  <c r="O319" i="12"/>
  <c r="P491" i="12"/>
  <c r="O491" i="12"/>
  <c r="P490" i="12"/>
  <c r="O490" i="12"/>
  <c r="P489" i="12"/>
  <c r="O489" i="12"/>
  <c r="P488" i="12"/>
  <c r="O488" i="12"/>
  <c r="P487" i="12"/>
  <c r="O487" i="12"/>
  <c r="P318" i="12"/>
  <c r="O318" i="12"/>
  <c r="P486" i="12"/>
  <c r="O486" i="12"/>
  <c r="P317" i="12"/>
  <c r="O317" i="12"/>
  <c r="P485" i="12"/>
  <c r="O485" i="12"/>
  <c r="P484" i="12"/>
  <c r="O484" i="12"/>
  <c r="P316" i="12"/>
  <c r="O316" i="12"/>
  <c r="P315" i="12"/>
  <c r="O315" i="12"/>
  <c r="P314" i="12"/>
  <c r="O314" i="12"/>
  <c r="P313" i="12"/>
  <c r="O313" i="12"/>
  <c r="P312" i="12"/>
  <c r="O312" i="12"/>
  <c r="P311" i="12"/>
  <c r="O311" i="12"/>
  <c r="P310" i="12"/>
  <c r="O310" i="12"/>
  <c r="P309" i="12"/>
  <c r="O309" i="12"/>
  <c r="P308" i="12"/>
  <c r="O308" i="12"/>
  <c r="P307" i="12"/>
  <c r="O307" i="12"/>
  <c r="P306" i="12"/>
  <c r="O306" i="12"/>
  <c r="P305" i="12"/>
  <c r="O305" i="12"/>
  <c r="P304" i="12"/>
  <c r="O304" i="12"/>
  <c r="P303" i="12"/>
  <c r="O303" i="12"/>
  <c r="P302" i="12"/>
  <c r="O302" i="12"/>
  <c r="P301" i="12"/>
  <c r="O301" i="12"/>
  <c r="P300" i="12"/>
  <c r="O300" i="12"/>
  <c r="P299" i="12"/>
  <c r="O299" i="12"/>
  <c r="P298" i="12"/>
  <c r="O298" i="12"/>
  <c r="P297" i="12"/>
  <c r="O297" i="12"/>
  <c r="P296" i="12"/>
  <c r="O296" i="12"/>
  <c r="P295" i="12"/>
  <c r="O295" i="12"/>
  <c r="P294" i="12"/>
  <c r="O294" i="12"/>
  <c r="P293" i="12"/>
  <c r="O293" i="12"/>
  <c r="P292" i="12"/>
  <c r="O292" i="12"/>
  <c r="P291" i="12"/>
  <c r="O291" i="12"/>
  <c r="P290" i="12"/>
  <c r="O290" i="12"/>
  <c r="P483" i="12"/>
  <c r="O483" i="12"/>
  <c r="P482" i="12"/>
  <c r="O482" i="12"/>
  <c r="P481" i="12"/>
  <c r="O481" i="12"/>
  <c r="P480" i="12"/>
  <c r="O480" i="12"/>
  <c r="P479" i="12"/>
  <c r="O479" i="12"/>
  <c r="P289" i="12"/>
  <c r="O289" i="12"/>
  <c r="P288" i="12"/>
  <c r="O288" i="12"/>
  <c r="P287" i="12"/>
  <c r="O287" i="12"/>
  <c r="P478" i="12"/>
  <c r="O478" i="12"/>
  <c r="P286" i="12"/>
  <c r="O286" i="12"/>
  <c r="P477" i="12"/>
  <c r="O477" i="12"/>
  <c r="P285" i="12"/>
  <c r="O285" i="12"/>
  <c r="P284" i="12"/>
  <c r="O284" i="12"/>
  <c r="P283" i="12"/>
  <c r="O283" i="12"/>
  <c r="P282" i="12"/>
  <c r="O282" i="12"/>
  <c r="P476" i="12"/>
  <c r="O476" i="12"/>
  <c r="P281" i="12"/>
  <c r="O281" i="12"/>
  <c r="P475" i="12"/>
  <c r="O475" i="12"/>
  <c r="P280" i="12"/>
  <c r="O280" i="12"/>
  <c r="P279" i="12"/>
  <c r="O279" i="12"/>
  <c r="P278" i="12"/>
  <c r="O278" i="12"/>
  <c r="P277" i="12"/>
  <c r="O277" i="12"/>
  <c r="P276" i="12"/>
  <c r="O276" i="12"/>
  <c r="P275" i="12"/>
  <c r="O275" i="12"/>
  <c r="P274" i="12"/>
  <c r="O274" i="12"/>
  <c r="P273" i="12"/>
  <c r="O273" i="12"/>
  <c r="P272" i="12"/>
  <c r="O272" i="12"/>
  <c r="P474" i="12"/>
  <c r="O474" i="12"/>
  <c r="P473" i="12"/>
  <c r="O473" i="12"/>
  <c r="P472" i="12"/>
  <c r="O472" i="12"/>
  <c r="P271" i="12"/>
  <c r="O271" i="12"/>
  <c r="P270" i="12"/>
  <c r="O270" i="12"/>
  <c r="P269" i="12"/>
  <c r="O269" i="12"/>
  <c r="P268" i="12"/>
  <c r="O268" i="12"/>
  <c r="P267" i="12"/>
  <c r="O267" i="12"/>
  <c r="P471" i="12"/>
  <c r="O471" i="12"/>
  <c r="P470" i="12"/>
  <c r="O470" i="12"/>
  <c r="P266" i="12"/>
  <c r="O266" i="12"/>
  <c r="P469" i="12"/>
  <c r="O469" i="12"/>
  <c r="P468" i="12"/>
  <c r="O468" i="12"/>
  <c r="P467" i="12"/>
  <c r="O467" i="12"/>
  <c r="P466" i="12"/>
  <c r="O466" i="12"/>
  <c r="P465" i="12"/>
  <c r="O465" i="12"/>
  <c r="P464" i="12"/>
  <c r="O464" i="12"/>
  <c r="P463" i="12"/>
  <c r="O463" i="12"/>
  <c r="P265" i="12"/>
  <c r="O265" i="12"/>
  <c r="P264" i="12"/>
  <c r="O264" i="12"/>
  <c r="P263" i="12"/>
  <c r="O263" i="12"/>
  <c r="P262" i="12"/>
  <c r="O262" i="12"/>
  <c r="P261" i="12"/>
  <c r="O261" i="12"/>
  <c r="P260" i="12"/>
  <c r="O260" i="12"/>
  <c r="P259" i="12"/>
  <c r="O259" i="12"/>
  <c r="P258" i="12"/>
  <c r="O258" i="12"/>
  <c r="P462" i="12"/>
  <c r="O462" i="12"/>
  <c r="P257" i="12"/>
  <c r="O257" i="12"/>
  <c r="P256" i="12"/>
  <c r="O256" i="12"/>
  <c r="P255" i="12"/>
  <c r="O255" i="12"/>
  <c r="P254" i="12"/>
  <c r="O254" i="12"/>
  <c r="P253" i="12"/>
  <c r="O253" i="12"/>
  <c r="P252" i="12"/>
  <c r="O252" i="12"/>
  <c r="P251" i="12"/>
  <c r="O251" i="12"/>
  <c r="P250" i="12"/>
  <c r="O250" i="12"/>
  <c r="P502" i="12"/>
  <c r="O502" i="12"/>
  <c r="P249" i="12"/>
  <c r="O249" i="12"/>
  <c r="P248" i="12"/>
  <c r="O248" i="12"/>
  <c r="P247" i="12"/>
  <c r="O247" i="12"/>
  <c r="P246" i="12"/>
  <c r="O246" i="12"/>
  <c r="P245" i="12"/>
  <c r="O245" i="12"/>
  <c r="P244" i="12"/>
  <c r="O244" i="12"/>
  <c r="P243" i="12"/>
  <c r="O243" i="12"/>
  <c r="P242" i="12"/>
  <c r="O242" i="12"/>
  <c r="P241" i="12"/>
  <c r="O241" i="12"/>
  <c r="P240" i="12"/>
  <c r="O240" i="12"/>
  <c r="P239" i="12"/>
  <c r="O239" i="12"/>
  <c r="P238" i="12"/>
  <c r="O238" i="12"/>
  <c r="P461" i="12"/>
  <c r="O461" i="12"/>
  <c r="P460" i="12"/>
  <c r="O460" i="12"/>
  <c r="P237" i="12"/>
  <c r="O237" i="12"/>
  <c r="P236" i="12"/>
  <c r="O236" i="12"/>
  <c r="P235" i="12"/>
  <c r="O235" i="12"/>
  <c r="P234" i="12"/>
  <c r="O234" i="12"/>
  <c r="P233" i="12"/>
  <c r="O233" i="12"/>
  <c r="P232" i="12"/>
  <c r="O232" i="12"/>
  <c r="P231" i="12"/>
  <c r="O231" i="12"/>
  <c r="P230" i="12"/>
  <c r="O230" i="12"/>
  <c r="P229" i="12"/>
  <c r="O229" i="12"/>
  <c r="P228" i="12"/>
  <c r="O228" i="12"/>
  <c r="P227" i="12"/>
  <c r="O227" i="12"/>
  <c r="P226" i="12"/>
  <c r="O226" i="12"/>
  <c r="P225" i="12"/>
  <c r="O225" i="12"/>
  <c r="P224" i="12"/>
  <c r="O224" i="12"/>
  <c r="P223" i="12"/>
  <c r="O223" i="12"/>
  <c r="P222" i="12"/>
  <c r="O222" i="12"/>
  <c r="P221" i="12"/>
  <c r="O221" i="12"/>
  <c r="P220" i="12"/>
  <c r="O220" i="12"/>
  <c r="P219" i="12"/>
  <c r="O219" i="12"/>
  <c r="P218" i="12"/>
  <c r="O218" i="12"/>
  <c r="P217" i="12"/>
  <c r="O217" i="12"/>
  <c r="P216" i="12"/>
  <c r="O216" i="12"/>
  <c r="P215" i="12"/>
  <c r="O215" i="12"/>
  <c r="P214" i="12"/>
  <c r="O214" i="12"/>
  <c r="P213" i="12"/>
  <c r="O213" i="12"/>
  <c r="P212" i="12"/>
  <c r="O212" i="12"/>
  <c r="P211" i="12"/>
  <c r="O211" i="12"/>
  <c r="P210" i="12"/>
  <c r="O210" i="12"/>
  <c r="P209" i="12"/>
  <c r="O209" i="12"/>
  <c r="P208" i="12"/>
  <c r="O208" i="12"/>
  <c r="P207" i="12"/>
  <c r="O207" i="12"/>
  <c r="P206" i="12"/>
  <c r="O206" i="12"/>
  <c r="P205" i="12"/>
  <c r="O205" i="12"/>
  <c r="P204" i="12"/>
  <c r="O204" i="12"/>
  <c r="P203" i="12"/>
  <c r="O203" i="12"/>
  <c r="P202" i="12"/>
  <c r="O202" i="12"/>
  <c r="P201" i="12"/>
  <c r="O201" i="12"/>
  <c r="P200" i="12"/>
  <c r="O200" i="12"/>
  <c r="P199" i="12"/>
  <c r="O199" i="12"/>
  <c r="P198" i="12"/>
  <c r="O198" i="12"/>
  <c r="P197" i="12"/>
  <c r="O197" i="12"/>
  <c r="P196" i="12"/>
  <c r="O196" i="12"/>
  <c r="P195" i="12"/>
  <c r="O195" i="12"/>
  <c r="P194" i="12"/>
  <c r="O194" i="12"/>
  <c r="P193" i="12"/>
  <c r="O193" i="12"/>
  <c r="P192" i="12"/>
  <c r="O192" i="12"/>
  <c r="P191" i="12"/>
  <c r="O191" i="12"/>
  <c r="P190" i="12"/>
  <c r="O190" i="12"/>
  <c r="P189" i="12"/>
  <c r="O189" i="12"/>
  <c r="P188" i="12"/>
  <c r="O188" i="12"/>
  <c r="P187" i="12"/>
  <c r="O187" i="12"/>
  <c r="P186" i="12"/>
  <c r="O186" i="12"/>
  <c r="P185" i="12"/>
  <c r="O185" i="12"/>
  <c r="P184" i="12"/>
  <c r="O184" i="12"/>
  <c r="P183" i="12"/>
  <c r="O183" i="12"/>
  <c r="P182" i="12"/>
  <c r="O182" i="12"/>
  <c r="P181" i="12"/>
  <c r="O181" i="12"/>
  <c r="P180" i="12"/>
  <c r="O180" i="12"/>
  <c r="P179" i="12"/>
  <c r="O179" i="12"/>
  <c r="P178" i="12"/>
  <c r="O178" i="12"/>
  <c r="P177" i="12"/>
  <c r="O177" i="12"/>
  <c r="P176" i="12"/>
  <c r="O176" i="12"/>
  <c r="P175" i="12"/>
  <c r="O175" i="12"/>
  <c r="P174" i="12"/>
  <c r="O174" i="12"/>
  <c r="P173" i="12"/>
  <c r="O173" i="12"/>
  <c r="P172" i="12"/>
  <c r="O172" i="12"/>
  <c r="P171" i="12"/>
  <c r="O171" i="12"/>
  <c r="P170" i="12"/>
  <c r="O170" i="12"/>
  <c r="P169" i="12"/>
  <c r="O169" i="12"/>
  <c r="P168" i="12"/>
  <c r="O168" i="12"/>
  <c r="P167" i="12"/>
  <c r="O167" i="12"/>
  <c r="P166" i="12"/>
  <c r="O166" i="12"/>
  <c r="P165" i="12"/>
  <c r="O165" i="12"/>
  <c r="P164" i="12"/>
  <c r="O164" i="12"/>
  <c r="P163" i="12"/>
  <c r="O163" i="12"/>
  <c r="P162" i="12"/>
  <c r="O162" i="12"/>
  <c r="P161" i="12"/>
  <c r="O161" i="12"/>
  <c r="P160" i="12"/>
  <c r="O160" i="12"/>
  <c r="P159" i="12"/>
  <c r="O159" i="12"/>
  <c r="P158" i="12"/>
  <c r="O158" i="12"/>
  <c r="P157" i="12"/>
  <c r="O157" i="12"/>
  <c r="P156" i="12"/>
  <c r="O156" i="12"/>
  <c r="P155" i="12"/>
  <c r="O155" i="12"/>
  <c r="P154" i="12"/>
  <c r="O154" i="12"/>
  <c r="P153" i="12"/>
  <c r="O153" i="12"/>
  <c r="P152" i="12"/>
  <c r="O152" i="12"/>
  <c r="P151" i="12"/>
  <c r="O151" i="12"/>
  <c r="P150" i="12"/>
  <c r="O150" i="12"/>
  <c r="P149" i="12"/>
  <c r="O149" i="12"/>
  <c r="P148" i="12"/>
  <c r="O148" i="12"/>
  <c r="P147" i="12"/>
  <c r="O147" i="12"/>
  <c r="P146" i="12"/>
  <c r="O146" i="12"/>
  <c r="P145" i="12"/>
  <c r="O145" i="12"/>
  <c r="P144" i="12"/>
  <c r="O144" i="12"/>
  <c r="P143" i="12"/>
  <c r="O143" i="12"/>
  <c r="P142" i="12"/>
  <c r="O142" i="12"/>
  <c r="P141" i="12"/>
  <c r="O141" i="12"/>
  <c r="P140" i="12"/>
  <c r="O140" i="12"/>
  <c r="P139" i="12"/>
  <c r="O139" i="12"/>
  <c r="P138" i="12"/>
  <c r="O138" i="12"/>
  <c r="P137" i="12"/>
  <c r="O137" i="12"/>
  <c r="P136" i="12"/>
  <c r="O136" i="12"/>
  <c r="P135" i="12"/>
  <c r="O135" i="12"/>
  <c r="P134" i="12"/>
  <c r="O134" i="12"/>
  <c r="P133" i="12"/>
  <c r="O133" i="12"/>
  <c r="P501" i="12"/>
  <c r="O501" i="12"/>
  <c r="P132" i="12"/>
  <c r="O132" i="12"/>
  <c r="P131" i="12"/>
  <c r="O131" i="12"/>
  <c r="P500" i="12"/>
  <c r="O500" i="12"/>
  <c r="P130" i="12"/>
  <c r="O130" i="12"/>
  <c r="P129" i="12"/>
  <c r="O129" i="12"/>
  <c r="P128" i="12"/>
  <c r="O128" i="12"/>
  <c r="P127" i="12"/>
  <c r="O127" i="12"/>
  <c r="P126" i="12"/>
  <c r="O126" i="12"/>
  <c r="P125" i="12"/>
  <c r="O125" i="12"/>
  <c r="P124" i="12"/>
  <c r="O124" i="12"/>
  <c r="P123" i="12"/>
  <c r="O123" i="12"/>
  <c r="P122" i="12"/>
  <c r="O122" i="12"/>
  <c r="P121" i="12"/>
  <c r="O121" i="12"/>
  <c r="P499" i="12"/>
  <c r="O499" i="12"/>
  <c r="P498" i="12"/>
  <c r="O498" i="12"/>
  <c r="P497" i="12"/>
  <c r="O497" i="12"/>
  <c r="P459" i="12"/>
  <c r="O459" i="12"/>
  <c r="P120" i="12"/>
  <c r="O120" i="12"/>
  <c r="P119" i="12"/>
  <c r="O119" i="12"/>
  <c r="P496" i="12"/>
  <c r="O496" i="12"/>
  <c r="P118" i="12"/>
  <c r="O118" i="12"/>
  <c r="P117" i="12"/>
  <c r="O117" i="12"/>
  <c r="P116" i="12"/>
  <c r="O116" i="12"/>
  <c r="P115" i="12"/>
  <c r="O115" i="12"/>
  <c r="P114" i="12"/>
  <c r="O114" i="12"/>
  <c r="P113" i="12"/>
  <c r="O113" i="12"/>
  <c r="P112" i="12"/>
  <c r="O112" i="12"/>
  <c r="P111" i="12"/>
  <c r="O111" i="12"/>
  <c r="P110" i="12"/>
  <c r="O110" i="12"/>
  <c r="P109" i="12"/>
  <c r="O109" i="12"/>
  <c r="P108" i="12"/>
  <c r="O108" i="12"/>
  <c r="P458" i="12"/>
  <c r="O458" i="12"/>
  <c r="P495" i="12"/>
  <c r="O495" i="12"/>
  <c r="P107" i="12"/>
  <c r="O107" i="12"/>
  <c r="P106" i="12"/>
  <c r="O106" i="12"/>
  <c r="P105" i="12"/>
  <c r="O105" i="12"/>
  <c r="P104" i="12"/>
  <c r="O104" i="12"/>
  <c r="P103" i="12"/>
  <c r="O103" i="12"/>
  <c r="P102" i="12"/>
  <c r="O102" i="12"/>
  <c r="P101" i="12"/>
  <c r="O101" i="12"/>
  <c r="P100" i="12"/>
  <c r="O100" i="12"/>
  <c r="P99" i="12"/>
  <c r="O99" i="12"/>
  <c r="P98" i="12"/>
  <c r="O98" i="12"/>
  <c r="P97" i="12"/>
  <c r="O97" i="12"/>
  <c r="P96" i="12"/>
  <c r="O96" i="12"/>
  <c r="P95" i="12"/>
  <c r="O95" i="12"/>
  <c r="P94" i="12"/>
  <c r="O94" i="12"/>
  <c r="P93" i="12"/>
  <c r="O93" i="12"/>
  <c r="P92" i="12"/>
  <c r="O92" i="12"/>
  <c r="P91" i="12"/>
  <c r="O91" i="12"/>
  <c r="P90" i="12"/>
  <c r="O90" i="12"/>
  <c r="P89" i="12"/>
  <c r="O89" i="12"/>
  <c r="P88" i="12"/>
  <c r="O88" i="12"/>
  <c r="P87" i="12"/>
  <c r="O87" i="12"/>
  <c r="P457" i="12"/>
  <c r="O457" i="12"/>
  <c r="P456" i="12"/>
  <c r="O456" i="12"/>
  <c r="P455" i="12"/>
  <c r="O455" i="12"/>
  <c r="P86" i="12"/>
  <c r="O86" i="12"/>
  <c r="P85" i="12"/>
  <c r="O85" i="12"/>
  <c r="P84" i="12"/>
  <c r="O84" i="12"/>
  <c r="P83" i="12"/>
  <c r="O83" i="12"/>
  <c r="P82" i="12"/>
  <c r="O82" i="12"/>
  <c r="P81" i="12"/>
  <c r="O81" i="12"/>
  <c r="P454" i="12"/>
  <c r="O454" i="12"/>
  <c r="P80" i="12"/>
  <c r="O80" i="12"/>
  <c r="P453" i="12"/>
  <c r="O453" i="12"/>
  <c r="P452" i="12"/>
  <c r="O452" i="12"/>
  <c r="P451" i="12"/>
  <c r="O451" i="12"/>
  <c r="P450" i="12"/>
  <c r="O450" i="12"/>
  <c r="P79" i="12"/>
  <c r="O79" i="12"/>
  <c r="P78" i="12"/>
  <c r="O78" i="12"/>
  <c r="P449" i="12"/>
  <c r="O449" i="12"/>
  <c r="P77" i="12"/>
  <c r="O77" i="12"/>
  <c r="P76" i="12"/>
  <c r="O76" i="12"/>
  <c r="P448" i="12"/>
  <c r="O448" i="12"/>
  <c r="P75" i="12"/>
  <c r="O75" i="12"/>
  <c r="P447" i="12"/>
  <c r="O447" i="12"/>
  <c r="P74" i="12"/>
  <c r="O74" i="12"/>
  <c r="P73" i="12"/>
  <c r="O73" i="12"/>
  <c r="P72" i="12"/>
  <c r="O72" i="12"/>
  <c r="P71" i="12"/>
  <c r="O71" i="12"/>
  <c r="P70" i="12"/>
  <c r="O70" i="12"/>
  <c r="P69" i="12"/>
  <c r="O69" i="12"/>
  <c r="P68" i="12"/>
  <c r="O68" i="12"/>
  <c r="P67" i="12"/>
  <c r="O67" i="12"/>
  <c r="P66" i="12"/>
  <c r="O66" i="12"/>
  <c r="P65" i="12"/>
  <c r="O65" i="12"/>
  <c r="P64" i="12"/>
  <c r="O64" i="12"/>
  <c r="P63" i="12"/>
  <c r="O63" i="12"/>
  <c r="P62" i="12"/>
  <c r="O62" i="12"/>
  <c r="P61" i="12"/>
  <c r="O61" i="12"/>
  <c r="P60" i="12"/>
  <c r="O60" i="12"/>
  <c r="P59" i="12"/>
  <c r="O59" i="12"/>
  <c r="P58" i="12"/>
  <c r="O58" i="12"/>
  <c r="P57" i="12"/>
  <c r="O57" i="12"/>
  <c r="P56" i="12"/>
  <c r="O56" i="12"/>
  <c r="P55" i="12"/>
  <c r="O55" i="12"/>
  <c r="P54" i="12"/>
  <c r="O54" i="12"/>
  <c r="P53" i="12"/>
  <c r="O53" i="12"/>
  <c r="P52" i="12"/>
  <c r="O52" i="12"/>
  <c r="P51" i="12"/>
  <c r="O51" i="12"/>
  <c r="P50" i="12"/>
  <c r="O50" i="12"/>
  <c r="P49" i="12"/>
  <c r="O49" i="12"/>
  <c r="P48" i="12"/>
  <c r="O48" i="12"/>
  <c r="P47" i="12"/>
  <c r="O47" i="12"/>
  <c r="P46" i="12"/>
  <c r="O46" i="12"/>
  <c r="P45" i="12"/>
  <c r="O45" i="12"/>
  <c r="P44" i="12"/>
  <c r="O44" i="12"/>
  <c r="P43" i="12"/>
  <c r="O43" i="12"/>
  <c r="P42" i="12"/>
  <c r="O42" i="12"/>
  <c r="P41" i="12"/>
  <c r="O41" i="12"/>
  <c r="P40" i="12"/>
  <c r="O40" i="12"/>
  <c r="P39" i="12"/>
  <c r="O39" i="12"/>
  <c r="P38" i="12"/>
  <c r="O38" i="12"/>
  <c r="P37" i="12"/>
  <c r="O37" i="12"/>
  <c r="P36" i="12"/>
  <c r="O36" i="12"/>
  <c r="P35" i="12"/>
  <c r="O35" i="12"/>
  <c r="P34" i="12"/>
  <c r="O34" i="12"/>
  <c r="P33" i="12"/>
  <c r="O33" i="12"/>
  <c r="P32" i="12"/>
  <c r="O32" i="12"/>
  <c r="P31" i="12"/>
  <c r="O31" i="12"/>
  <c r="P30" i="12"/>
  <c r="O30" i="12"/>
  <c r="P29" i="12"/>
  <c r="O29" i="12"/>
  <c r="P28" i="12"/>
  <c r="O28" i="12"/>
  <c r="P27" i="12"/>
  <c r="O27" i="12"/>
  <c r="P26" i="12"/>
  <c r="O26" i="12"/>
  <c r="P25" i="12"/>
  <c r="O25" i="12"/>
  <c r="P24" i="12"/>
  <c r="O24" i="12"/>
  <c r="P23" i="12"/>
  <c r="O23" i="12"/>
  <c r="P22" i="12"/>
  <c r="O22" i="12"/>
  <c r="P21" i="12"/>
  <c r="O21" i="12"/>
  <c r="P20" i="12"/>
  <c r="O20" i="12"/>
  <c r="P19" i="12"/>
  <c r="O19" i="12"/>
  <c r="P18" i="12"/>
  <c r="O18" i="12"/>
  <c r="P17" i="12"/>
  <c r="O17" i="12"/>
  <c r="P16" i="12"/>
  <c r="O16" i="12"/>
  <c r="P15" i="12"/>
  <c r="O15" i="12"/>
  <c r="P14" i="12"/>
  <c r="O14" i="12"/>
  <c r="P13" i="12"/>
  <c r="O13" i="12"/>
  <c r="P12" i="12"/>
  <c r="O12" i="12"/>
  <c r="P11" i="12"/>
  <c r="O11" i="12"/>
  <c r="P10" i="12"/>
  <c r="O10" i="12"/>
  <c r="P9" i="12"/>
  <c r="O9" i="12"/>
  <c r="P8" i="12"/>
  <c r="O8" i="12"/>
  <c r="P7" i="12"/>
  <c r="O7" i="12"/>
  <c r="P6" i="12"/>
  <c r="O6" i="12"/>
  <c r="P5" i="12"/>
  <c r="O5" i="12"/>
  <c r="P4" i="12"/>
  <c r="O4" i="12"/>
  <c r="P3" i="12"/>
  <c r="O3" i="12"/>
  <c r="P2" i="12"/>
  <c r="O2" i="12"/>
  <c r="P446" i="12"/>
  <c r="O446" i="12"/>
  <c r="P445" i="12"/>
  <c r="O445" i="12"/>
  <c r="P444" i="12"/>
  <c r="O444" i="12"/>
  <c r="C537" i="11"/>
  <c r="C538" i="11"/>
  <c r="C539" i="11"/>
  <c r="C540" i="11"/>
  <c r="C541" i="11"/>
  <c r="C542" i="11"/>
  <c r="C543" i="11"/>
  <c r="C544" i="11"/>
  <c r="C545" i="11"/>
  <c r="C546" i="11"/>
  <c r="C547" i="11"/>
  <c r="C548" i="11"/>
  <c r="C549" i="11"/>
  <c r="C550" i="11"/>
  <c r="C551" i="11"/>
  <c r="C552" i="11"/>
  <c r="C553" i="11"/>
  <c r="C554" i="11"/>
  <c r="C555" i="11"/>
  <c r="C556" i="11"/>
  <c r="C557" i="11"/>
  <c r="C558" i="11"/>
  <c r="C559" i="11"/>
  <c r="C560" i="11"/>
  <c r="C561" i="11"/>
  <c r="C562" i="11"/>
  <c r="C563" i="11"/>
  <c r="C564" i="11"/>
  <c r="C565" i="11"/>
  <c r="C566" i="11"/>
  <c r="C567" i="11"/>
  <c r="C568" i="11"/>
  <c r="C569" i="11"/>
  <c r="C570" i="11"/>
  <c r="C571" i="11"/>
  <c r="C572" i="11"/>
  <c r="C3" i="5" a="1"/>
  <c r="C3" i="5" s="1"/>
  <c r="H8" i="8"/>
  <c r="H9" i="8" s="1"/>
  <c r="H16" i="8"/>
  <c r="P506" i="11"/>
  <c r="O506" i="11"/>
  <c r="P505" i="11"/>
  <c r="O505" i="11"/>
  <c r="P504" i="11"/>
  <c r="O504" i="11"/>
  <c r="P503" i="11"/>
  <c r="O503" i="11"/>
  <c r="P502" i="11"/>
  <c r="O502" i="11"/>
  <c r="P501" i="11"/>
  <c r="O501" i="11"/>
  <c r="P500" i="11"/>
  <c r="O500" i="11"/>
  <c r="P499" i="11"/>
  <c r="O499" i="11"/>
  <c r="P498" i="11"/>
  <c r="O498" i="11"/>
  <c r="P497" i="11"/>
  <c r="O497" i="11"/>
  <c r="P496" i="11"/>
  <c r="O496" i="11"/>
  <c r="P495" i="11"/>
  <c r="O495" i="11"/>
  <c r="P494" i="11"/>
  <c r="O494" i="11"/>
  <c r="P493" i="11"/>
  <c r="O493" i="11"/>
  <c r="P492" i="11"/>
  <c r="O492" i="11"/>
  <c r="P491" i="11"/>
  <c r="O491" i="11"/>
  <c r="P490" i="11"/>
  <c r="O490" i="11"/>
  <c r="P489" i="11"/>
  <c r="O489" i="11"/>
  <c r="P488" i="11"/>
  <c r="O488" i="11"/>
  <c r="P487" i="11"/>
  <c r="O487" i="11"/>
  <c r="P486" i="11"/>
  <c r="O486" i="11"/>
  <c r="P485" i="11"/>
  <c r="O485" i="11"/>
  <c r="P484" i="11"/>
  <c r="O484" i="11"/>
  <c r="P483" i="11"/>
  <c r="O483" i="11"/>
  <c r="P482" i="11"/>
  <c r="O482" i="11"/>
  <c r="P481" i="11"/>
  <c r="O481" i="11"/>
  <c r="P480" i="11"/>
  <c r="O480" i="11"/>
  <c r="P479" i="11"/>
  <c r="O479" i="11"/>
  <c r="P478" i="11"/>
  <c r="O478" i="11"/>
  <c r="P477" i="11"/>
  <c r="O477" i="11"/>
  <c r="P476" i="11"/>
  <c r="O476" i="11"/>
  <c r="P475" i="11"/>
  <c r="O475" i="11"/>
  <c r="P474" i="11"/>
  <c r="O474" i="11"/>
  <c r="P473" i="11"/>
  <c r="O473" i="11"/>
  <c r="P472" i="11"/>
  <c r="O472" i="11"/>
  <c r="P471" i="11"/>
  <c r="O471" i="11"/>
  <c r="P470" i="11"/>
  <c r="O470" i="11"/>
  <c r="P469" i="11"/>
  <c r="O469" i="11"/>
  <c r="P468" i="11"/>
  <c r="O468" i="11"/>
  <c r="P467" i="11"/>
  <c r="O467" i="11"/>
  <c r="P466" i="11"/>
  <c r="O466" i="11"/>
  <c r="P465" i="11"/>
  <c r="O465" i="11"/>
  <c r="P464" i="11"/>
  <c r="O464" i="11"/>
  <c r="P463" i="11"/>
  <c r="O463" i="11"/>
  <c r="P462" i="11"/>
  <c r="O462" i="11"/>
  <c r="P461" i="11"/>
  <c r="O461" i="11"/>
  <c r="P460" i="11"/>
  <c r="O460" i="11"/>
  <c r="P459" i="11"/>
  <c r="O459" i="11"/>
  <c r="P458" i="11"/>
  <c r="O458" i="11"/>
  <c r="P457" i="11"/>
  <c r="O457" i="11"/>
  <c r="P456" i="11"/>
  <c r="O456" i="11"/>
  <c r="P455" i="11"/>
  <c r="O455" i="11"/>
  <c r="P454" i="11"/>
  <c r="O454" i="11"/>
  <c r="P453" i="11"/>
  <c r="O453" i="11"/>
  <c r="P452" i="11"/>
  <c r="O452" i="11"/>
  <c r="P451" i="11"/>
  <c r="O451" i="11"/>
  <c r="P450" i="11"/>
  <c r="O450" i="11"/>
  <c r="P449" i="11"/>
  <c r="O449" i="11"/>
  <c r="P448" i="11"/>
  <c r="O448" i="11"/>
  <c r="P447" i="11"/>
  <c r="O447" i="11"/>
  <c r="P446" i="11"/>
  <c r="O446" i="11"/>
  <c r="P445" i="11"/>
  <c r="O445" i="11"/>
  <c r="P444" i="11"/>
  <c r="O444" i="11"/>
  <c r="P443" i="11"/>
  <c r="O443" i="11"/>
  <c r="P442" i="11"/>
  <c r="O442" i="11"/>
  <c r="P441" i="11"/>
  <c r="O441" i="11"/>
  <c r="P440" i="11"/>
  <c r="O440" i="11"/>
  <c r="P439" i="11"/>
  <c r="O439" i="11"/>
  <c r="P438" i="11"/>
  <c r="O438" i="11"/>
  <c r="P437" i="11"/>
  <c r="O437" i="11"/>
  <c r="P436" i="11"/>
  <c r="O436" i="11"/>
  <c r="P435" i="11"/>
  <c r="O435" i="11"/>
  <c r="P434" i="11"/>
  <c r="O434" i="11"/>
  <c r="P433" i="11"/>
  <c r="O433" i="11"/>
  <c r="P432" i="11"/>
  <c r="O432" i="11"/>
  <c r="P431" i="11"/>
  <c r="O431" i="11"/>
  <c r="P430" i="11"/>
  <c r="O430" i="11"/>
  <c r="P429" i="11"/>
  <c r="O429" i="11"/>
  <c r="P428" i="11"/>
  <c r="O428" i="11"/>
  <c r="P427" i="11"/>
  <c r="O427" i="11"/>
  <c r="P426" i="11"/>
  <c r="O426" i="11"/>
  <c r="P140" i="11"/>
  <c r="O140" i="11"/>
  <c r="P141" i="11"/>
  <c r="O141" i="11"/>
  <c r="P152" i="11"/>
  <c r="O152" i="11"/>
  <c r="P422" i="11"/>
  <c r="O422" i="11"/>
  <c r="P421" i="11"/>
  <c r="O421" i="11"/>
  <c r="P420" i="11"/>
  <c r="O420" i="11"/>
  <c r="P419" i="11"/>
  <c r="O419" i="11"/>
  <c r="P418" i="11"/>
  <c r="O418" i="11"/>
  <c r="P417" i="11"/>
  <c r="O417" i="11"/>
  <c r="P416" i="11"/>
  <c r="O416" i="11"/>
  <c r="P415" i="11"/>
  <c r="O415" i="11"/>
  <c r="P414" i="11"/>
  <c r="O414" i="11"/>
  <c r="P413" i="11"/>
  <c r="O413" i="11"/>
  <c r="P412" i="11"/>
  <c r="O412" i="11"/>
  <c r="P411" i="11"/>
  <c r="O411" i="11"/>
  <c r="P410" i="11"/>
  <c r="O410" i="11"/>
  <c r="P409" i="11"/>
  <c r="O409" i="11"/>
  <c r="P408" i="11"/>
  <c r="O408" i="11"/>
  <c r="P407" i="11"/>
  <c r="O407" i="11"/>
  <c r="P406" i="11"/>
  <c r="O406" i="11"/>
  <c r="P405" i="11"/>
  <c r="O405" i="11"/>
  <c r="P404" i="11"/>
  <c r="O404" i="11"/>
  <c r="P403" i="11"/>
  <c r="O403" i="11"/>
  <c r="P402" i="11"/>
  <c r="O402" i="11"/>
  <c r="P401" i="11"/>
  <c r="O401" i="11"/>
  <c r="P400" i="11"/>
  <c r="O400" i="11"/>
  <c r="P399" i="11"/>
  <c r="O399" i="11"/>
  <c r="P398" i="11"/>
  <c r="O398" i="11"/>
  <c r="P397" i="11"/>
  <c r="O397" i="11"/>
  <c r="P396" i="11"/>
  <c r="O396" i="11"/>
  <c r="P395" i="11"/>
  <c r="O395" i="11"/>
  <c r="P394" i="11"/>
  <c r="O394" i="11"/>
  <c r="P393" i="11"/>
  <c r="O393" i="11"/>
  <c r="P392" i="11"/>
  <c r="O392" i="11"/>
  <c r="P391" i="11"/>
  <c r="O391" i="11"/>
  <c r="P390" i="11"/>
  <c r="O390" i="11"/>
  <c r="P389" i="11"/>
  <c r="O389" i="11"/>
  <c r="P388" i="11"/>
  <c r="O388" i="11"/>
  <c r="P387" i="11"/>
  <c r="O387" i="11"/>
  <c r="P386" i="11"/>
  <c r="O386" i="11"/>
  <c r="P385" i="11"/>
  <c r="O385" i="11"/>
  <c r="P384" i="11"/>
  <c r="O384" i="11"/>
  <c r="P383" i="11"/>
  <c r="O383" i="11"/>
  <c r="P382" i="11"/>
  <c r="O382" i="11"/>
  <c r="P381" i="11"/>
  <c r="O381" i="11"/>
  <c r="P380" i="11"/>
  <c r="O380" i="11"/>
  <c r="P379" i="11"/>
  <c r="O379" i="11"/>
  <c r="P378" i="11"/>
  <c r="O378" i="11"/>
  <c r="P139" i="11"/>
  <c r="O139" i="11"/>
  <c r="P376" i="11"/>
  <c r="O376" i="11"/>
  <c r="P375" i="11"/>
  <c r="O375" i="11"/>
  <c r="P374" i="11"/>
  <c r="O374" i="11"/>
  <c r="P373" i="11"/>
  <c r="O373" i="11"/>
  <c r="P372" i="11"/>
  <c r="O372" i="11"/>
  <c r="P371" i="11"/>
  <c r="O371" i="11"/>
  <c r="P370" i="11"/>
  <c r="O370" i="11"/>
  <c r="P369" i="11"/>
  <c r="O369" i="11"/>
  <c r="P368" i="11"/>
  <c r="O368" i="11"/>
  <c r="P367" i="11"/>
  <c r="O367" i="11"/>
  <c r="P366" i="11"/>
  <c r="O366" i="11"/>
  <c r="P365" i="11"/>
  <c r="O365" i="11"/>
  <c r="P364" i="11"/>
  <c r="O364" i="11"/>
  <c r="P363" i="11"/>
  <c r="O363" i="11"/>
  <c r="P362" i="11"/>
  <c r="O362" i="11"/>
  <c r="P361" i="11"/>
  <c r="O361" i="11"/>
  <c r="P360" i="11"/>
  <c r="O360" i="11"/>
  <c r="P359" i="11"/>
  <c r="O359" i="11"/>
  <c r="P358" i="11"/>
  <c r="O358" i="11"/>
  <c r="P357" i="11"/>
  <c r="O357" i="11"/>
  <c r="P356" i="11"/>
  <c r="O356" i="11"/>
  <c r="P355" i="11"/>
  <c r="O355" i="11"/>
  <c r="P354" i="11"/>
  <c r="O354" i="11"/>
  <c r="P353" i="11"/>
  <c r="O353" i="11"/>
  <c r="P352" i="11"/>
  <c r="O352" i="11"/>
  <c r="P351" i="11"/>
  <c r="O351" i="11"/>
  <c r="P350" i="11"/>
  <c r="O350" i="11"/>
  <c r="P349" i="11"/>
  <c r="O349" i="11"/>
  <c r="P348" i="11"/>
  <c r="O348" i="11"/>
  <c r="P347" i="11"/>
  <c r="O347" i="11"/>
  <c r="P346" i="11"/>
  <c r="O346" i="11"/>
  <c r="P345" i="11"/>
  <c r="O345" i="11"/>
  <c r="P344" i="11"/>
  <c r="O344" i="11"/>
  <c r="P343" i="11"/>
  <c r="O343" i="11"/>
  <c r="P342" i="11"/>
  <c r="O342" i="11"/>
  <c r="P341" i="11"/>
  <c r="O341" i="11"/>
  <c r="P340" i="11"/>
  <c r="O340" i="11"/>
  <c r="P339" i="11"/>
  <c r="O339" i="11"/>
  <c r="P338" i="11"/>
  <c r="O338" i="11"/>
  <c r="P337" i="11"/>
  <c r="O337" i="11"/>
  <c r="P336" i="11"/>
  <c r="O336" i="11"/>
  <c r="P335" i="11"/>
  <c r="O335" i="11"/>
  <c r="P334" i="11"/>
  <c r="O334" i="11"/>
  <c r="P333" i="11"/>
  <c r="O333" i="11"/>
  <c r="P332" i="11"/>
  <c r="O332" i="11"/>
  <c r="P331" i="11"/>
  <c r="O331" i="11"/>
  <c r="P330" i="11"/>
  <c r="O330" i="11"/>
  <c r="P329" i="11"/>
  <c r="O329" i="11"/>
  <c r="P328" i="11"/>
  <c r="O328" i="11"/>
  <c r="P327" i="11"/>
  <c r="O327" i="11"/>
  <c r="P326" i="11"/>
  <c r="O326" i="11"/>
  <c r="P325" i="11"/>
  <c r="O325" i="11"/>
  <c r="P324" i="11"/>
  <c r="O324" i="11"/>
  <c r="P323" i="11"/>
  <c r="O323" i="11"/>
  <c r="P322" i="11"/>
  <c r="O322" i="11"/>
  <c r="P321" i="11"/>
  <c r="O321" i="11"/>
  <c r="P320" i="11"/>
  <c r="O320" i="11"/>
  <c r="P319" i="11"/>
  <c r="O319" i="11"/>
  <c r="P318" i="11"/>
  <c r="O318" i="11"/>
  <c r="P317" i="11"/>
  <c r="O317" i="11"/>
  <c r="P316" i="11"/>
  <c r="O316" i="11"/>
  <c r="P315" i="11"/>
  <c r="O315" i="11"/>
  <c r="P314" i="11"/>
  <c r="O314" i="11"/>
  <c r="P313" i="11"/>
  <c r="O313" i="11"/>
  <c r="P312" i="11"/>
  <c r="O312" i="11"/>
  <c r="P311" i="11"/>
  <c r="O311" i="11"/>
  <c r="P310" i="11"/>
  <c r="O310" i="11"/>
  <c r="P309" i="11"/>
  <c r="O309" i="11"/>
  <c r="P308" i="11"/>
  <c r="O308" i="11"/>
  <c r="P307" i="11"/>
  <c r="O307" i="11"/>
  <c r="P306" i="11"/>
  <c r="O306" i="11"/>
  <c r="P305" i="11"/>
  <c r="O305" i="11"/>
  <c r="P304" i="11"/>
  <c r="O304" i="11"/>
  <c r="P303" i="11"/>
  <c r="O303" i="11"/>
  <c r="P302" i="11"/>
  <c r="O302" i="11"/>
  <c r="P301" i="11"/>
  <c r="O301" i="11"/>
  <c r="P300" i="11"/>
  <c r="O300" i="11"/>
  <c r="P299" i="11"/>
  <c r="O299" i="11"/>
  <c r="P298" i="11"/>
  <c r="O298" i="11"/>
  <c r="P297" i="11"/>
  <c r="O297" i="11"/>
  <c r="P296" i="11"/>
  <c r="O296" i="11"/>
  <c r="P295" i="11"/>
  <c r="O295" i="11"/>
  <c r="P294" i="11"/>
  <c r="O294" i="11"/>
  <c r="P293" i="11"/>
  <c r="O293" i="11"/>
  <c r="P292" i="11"/>
  <c r="O292" i="11"/>
  <c r="P291" i="11"/>
  <c r="O291" i="11"/>
  <c r="P290" i="11"/>
  <c r="O290" i="11"/>
  <c r="P289" i="11"/>
  <c r="O289" i="11"/>
  <c r="P288" i="11"/>
  <c r="O288" i="11"/>
  <c r="P287" i="11"/>
  <c r="O287" i="11"/>
  <c r="P286" i="11"/>
  <c r="O286" i="11"/>
  <c r="P285" i="11"/>
  <c r="O285" i="11"/>
  <c r="P284" i="11"/>
  <c r="O284" i="11"/>
  <c r="P283" i="11"/>
  <c r="O283" i="11"/>
  <c r="P282" i="11"/>
  <c r="O282" i="11"/>
  <c r="P281" i="11"/>
  <c r="O281" i="11"/>
  <c r="P280" i="11"/>
  <c r="O280" i="11"/>
  <c r="P279" i="11"/>
  <c r="O279" i="11"/>
  <c r="P278" i="11"/>
  <c r="O278" i="11"/>
  <c r="P277" i="11"/>
  <c r="O277" i="11"/>
  <c r="P276" i="11"/>
  <c r="O276" i="11"/>
  <c r="P135" i="11"/>
  <c r="O135" i="11"/>
  <c r="P274" i="11"/>
  <c r="O274" i="11"/>
  <c r="P273" i="11"/>
  <c r="O273" i="11"/>
  <c r="P272" i="11"/>
  <c r="O272" i="11"/>
  <c r="P271" i="11"/>
  <c r="O271" i="11"/>
  <c r="P270" i="11"/>
  <c r="O270" i="11"/>
  <c r="P269" i="11"/>
  <c r="O269" i="11"/>
  <c r="P268" i="11"/>
  <c r="O268" i="11"/>
  <c r="P267" i="11"/>
  <c r="O267" i="11"/>
  <c r="P266" i="11"/>
  <c r="O266" i="11"/>
  <c r="P265" i="11"/>
  <c r="O265" i="11"/>
  <c r="P264" i="11"/>
  <c r="O264" i="11"/>
  <c r="P263" i="11"/>
  <c r="O263" i="11"/>
  <c r="P262" i="11"/>
  <c r="O262" i="11"/>
  <c r="P261" i="11"/>
  <c r="O261" i="11"/>
  <c r="P260" i="11"/>
  <c r="O260" i="11"/>
  <c r="P259" i="11"/>
  <c r="O259" i="11"/>
  <c r="P258" i="11"/>
  <c r="O258" i="11"/>
  <c r="P257" i="11"/>
  <c r="O257" i="11"/>
  <c r="P256" i="11"/>
  <c r="O256" i="11"/>
  <c r="P255" i="11"/>
  <c r="O255" i="11"/>
  <c r="P254" i="11"/>
  <c r="O254" i="11"/>
  <c r="P253" i="11"/>
  <c r="O253" i="11"/>
  <c r="P252" i="11"/>
  <c r="O252" i="11"/>
  <c r="P251" i="11"/>
  <c r="O251" i="11"/>
  <c r="P250" i="11"/>
  <c r="O250" i="11"/>
  <c r="P249" i="11"/>
  <c r="O249" i="11"/>
  <c r="P248" i="11"/>
  <c r="O248" i="11"/>
  <c r="P247" i="11"/>
  <c r="O247" i="11"/>
  <c r="P246" i="11"/>
  <c r="O246" i="11"/>
  <c r="P245" i="11"/>
  <c r="O245" i="11"/>
  <c r="P244" i="11"/>
  <c r="O244" i="11"/>
  <c r="P243" i="11"/>
  <c r="O243" i="11"/>
  <c r="P242" i="11"/>
  <c r="O242" i="11"/>
  <c r="P241" i="11"/>
  <c r="O241" i="11"/>
  <c r="P240" i="11"/>
  <c r="O240" i="11"/>
  <c r="P239" i="11"/>
  <c r="O239" i="11"/>
  <c r="P238" i="11"/>
  <c r="O238" i="11"/>
  <c r="P237" i="11"/>
  <c r="O237" i="11"/>
  <c r="P236" i="11"/>
  <c r="O236" i="11"/>
  <c r="P235" i="11"/>
  <c r="O235" i="11"/>
  <c r="P234" i="11"/>
  <c r="O234" i="11"/>
  <c r="P233" i="11"/>
  <c r="O233" i="11"/>
  <c r="P232" i="11"/>
  <c r="O232" i="11"/>
  <c r="P231" i="11"/>
  <c r="O231" i="11"/>
  <c r="P230" i="11"/>
  <c r="O230" i="11"/>
  <c r="P229" i="11"/>
  <c r="O229" i="11"/>
  <c r="P228" i="11"/>
  <c r="O228" i="11"/>
  <c r="P227" i="11"/>
  <c r="O227" i="11"/>
  <c r="P226" i="11"/>
  <c r="O226" i="11"/>
  <c r="P225" i="11"/>
  <c r="O225" i="11"/>
  <c r="P224" i="11"/>
  <c r="O224" i="11"/>
  <c r="P223" i="11"/>
  <c r="O223" i="11"/>
  <c r="P222" i="11"/>
  <c r="O222" i="11"/>
  <c r="P221" i="11"/>
  <c r="O221" i="11"/>
  <c r="P220" i="11"/>
  <c r="O220" i="11"/>
  <c r="P219" i="11"/>
  <c r="O219" i="11"/>
  <c r="P218" i="11"/>
  <c r="O218" i="11"/>
  <c r="P217" i="11"/>
  <c r="O217" i="11"/>
  <c r="P216" i="11"/>
  <c r="O216" i="11"/>
  <c r="P215" i="11"/>
  <c r="O215" i="11"/>
  <c r="P214" i="11"/>
  <c r="O214" i="11"/>
  <c r="P213" i="11"/>
  <c r="O213" i="11"/>
  <c r="P212" i="11"/>
  <c r="O212" i="11"/>
  <c r="P211" i="11"/>
  <c r="O211" i="11"/>
  <c r="P210" i="11"/>
  <c r="O210" i="11"/>
  <c r="P209" i="11"/>
  <c r="O209" i="11"/>
  <c r="P208" i="11"/>
  <c r="O208" i="11"/>
  <c r="P207" i="11"/>
  <c r="O207" i="11"/>
  <c r="P206" i="11"/>
  <c r="O206" i="11"/>
  <c r="P205" i="11"/>
  <c r="O205" i="11"/>
  <c r="P204" i="11"/>
  <c r="O204" i="11"/>
  <c r="P203" i="11"/>
  <c r="O203" i="11"/>
  <c r="P202" i="11"/>
  <c r="O202" i="11"/>
  <c r="P201" i="11"/>
  <c r="O201" i="11"/>
  <c r="P200" i="11"/>
  <c r="O200" i="11"/>
  <c r="P199" i="11"/>
  <c r="O199" i="11"/>
  <c r="P198" i="11"/>
  <c r="O198" i="11"/>
  <c r="P197" i="11"/>
  <c r="O197" i="11"/>
  <c r="P196" i="11"/>
  <c r="O196" i="11"/>
  <c r="P195" i="11"/>
  <c r="O195" i="11"/>
  <c r="P194" i="11"/>
  <c r="O194" i="11"/>
  <c r="P193" i="11"/>
  <c r="O193" i="11"/>
  <c r="P192" i="11"/>
  <c r="O192" i="11"/>
  <c r="P191" i="11"/>
  <c r="O191" i="11"/>
  <c r="P190" i="11"/>
  <c r="O190" i="11"/>
  <c r="P189" i="11"/>
  <c r="O189" i="11"/>
  <c r="P188" i="11"/>
  <c r="O188" i="11"/>
  <c r="P187" i="11"/>
  <c r="O187" i="11"/>
  <c r="P186" i="11"/>
  <c r="O186" i="11"/>
  <c r="P185" i="11"/>
  <c r="O185" i="11"/>
  <c r="P184" i="11"/>
  <c r="O184" i="11"/>
  <c r="P183" i="11"/>
  <c r="O183" i="11"/>
  <c r="P182" i="11"/>
  <c r="O182" i="11"/>
  <c r="P181" i="11"/>
  <c r="O181" i="11"/>
  <c r="P180" i="11"/>
  <c r="O180" i="11"/>
  <c r="P179" i="11"/>
  <c r="O179" i="11"/>
  <c r="P178" i="11"/>
  <c r="O178" i="11"/>
  <c r="P177" i="11"/>
  <c r="O177" i="11"/>
  <c r="P176" i="11"/>
  <c r="O176" i="11"/>
  <c r="P175" i="11"/>
  <c r="O175" i="11"/>
  <c r="P174" i="11"/>
  <c r="O174" i="11"/>
  <c r="P173" i="11"/>
  <c r="O173" i="11"/>
  <c r="P172" i="11"/>
  <c r="O172" i="11"/>
  <c r="P171" i="11"/>
  <c r="O171" i="11"/>
  <c r="P170" i="11"/>
  <c r="O170" i="11"/>
  <c r="P169" i="11"/>
  <c r="O169" i="11"/>
  <c r="P168" i="11"/>
  <c r="O168" i="11"/>
  <c r="P167" i="11"/>
  <c r="O167" i="11"/>
  <c r="P166" i="11"/>
  <c r="O166" i="11"/>
  <c r="P165" i="11"/>
  <c r="O165" i="11"/>
  <c r="P164" i="11"/>
  <c r="O164" i="11"/>
  <c r="P163" i="11"/>
  <c r="O163" i="11"/>
  <c r="P162" i="11"/>
  <c r="O162" i="11"/>
  <c r="P161" i="11"/>
  <c r="O161" i="11"/>
  <c r="P160" i="11"/>
  <c r="O160" i="11"/>
  <c r="P159" i="11"/>
  <c r="O159" i="11"/>
  <c r="P158" i="11"/>
  <c r="O158" i="11"/>
  <c r="P157" i="11"/>
  <c r="O157" i="11"/>
  <c r="P156" i="11"/>
  <c r="O156" i="11"/>
  <c r="P423" i="11"/>
  <c r="O423" i="11"/>
  <c r="P154" i="11"/>
  <c r="O154" i="11"/>
  <c r="P153" i="11"/>
  <c r="O153" i="11"/>
  <c r="P425" i="11"/>
  <c r="O425" i="11"/>
  <c r="P151" i="11"/>
  <c r="O151" i="11"/>
  <c r="P150" i="11"/>
  <c r="O150" i="11"/>
  <c r="P149" i="11"/>
  <c r="O149" i="11"/>
  <c r="P148" i="11"/>
  <c r="O148" i="11"/>
  <c r="P147" i="11"/>
  <c r="O147" i="11"/>
  <c r="P146" i="11"/>
  <c r="O146" i="11"/>
  <c r="P145" i="11"/>
  <c r="O145" i="11"/>
  <c r="P144" i="11"/>
  <c r="O144" i="11"/>
  <c r="P143" i="11"/>
  <c r="O143" i="11"/>
  <c r="P142" i="11"/>
  <c r="O142" i="11"/>
  <c r="P275" i="11"/>
  <c r="O275" i="11"/>
  <c r="P155" i="11"/>
  <c r="O155" i="11"/>
  <c r="P377" i="11"/>
  <c r="O377" i="11"/>
  <c r="P138" i="11"/>
  <c r="O138" i="11"/>
  <c r="P137" i="11"/>
  <c r="O137" i="11"/>
  <c r="P136" i="11"/>
  <c r="O136" i="11"/>
  <c r="P424" i="11"/>
  <c r="O424" i="11"/>
  <c r="P134" i="11"/>
  <c r="O134" i="11"/>
  <c r="P133" i="11"/>
  <c r="O133" i="11"/>
  <c r="P132" i="11"/>
  <c r="O132" i="11"/>
  <c r="P131" i="11"/>
  <c r="O131" i="11"/>
  <c r="P130" i="11"/>
  <c r="O130" i="11"/>
  <c r="P129" i="11"/>
  <c r="O129" i="11"/>
  <c r="P128" i="11"/>
  <c r="O128" i="11"/>
  <c r="P127" i="11"/>
  <c r="O127" i="11"/>
  <c r="P126" i="11"/>
  <c r="O126" i="11"/>
  <c r="P125" i="11"/>
  <c r="O125" i="11"/>
  <c r="P124" i="11"/>
  <c r="O124" i="11"/>
  <c r="P123" i="11"/>
  <c r="O123" i="11"/>
  <c r="P122" i="11"/>
  <c r="O122" i="11"/>
  <c r="P121" i="11"/>
  <c r="O121" i="11"/>
  <c r="P120" i="11"/>
  <c r="O120" i="11"/>
  <c r="P119" i="11"/>
  <c r="O119" i="11"/>
  <c r="P118" i="11"/>
  <c r="O118" i="11"/>
  <c r="P117" i="11"/>
  <c r="O117" i="11"/>
  <c r="P116" i="11"/>
  <c r="O116" i="11"/>
  <c r="P115" i="11"/>
  <c r="O115" i="11"/>
  <c r="P114" i="11"/>
  <c r="O114" i="11"/>
  <c r="P113" i="11"/>
  <c r="O113" i="11"/>
  <c r="P112" i="11"/>
  <c r="O112" i="11"/>
  <c r="P111" i="11"/>
  <c r="O111" i="11"/>
  <c r="P110" i="11"/>
  <c r="O110" i="11"/>
  <c r="P109" i="11"/>
  <c r="O109" i="11"/>
  <c r="P108" i="11"/>
  <c r="O108" i="11"/>
  <c r="P107" i="11"/>
  <c r="O107" i="11"/>
  <c r="P106" i="11"/>
  <c r="O106" i="11"/>
  <c r="P105" i="11"/>
  <c r="O105" i="11"/>
  <c r="P104" i="11"/>
  <c r="O104" i="11"/>
  <c r="P103" i="11"/>
  <c r="O103" i="11"/>
  <c r="P102" i="11"/>
  <c r="O102" i="11"/>
  <c r="P101" i="11"/>
  <c r="O101" i="11"/>
  <c r="P100" i="11"/>
  <c r="O100" i="11"/>
  <c r="P99" i="11"/>
  <c r="O99" i="11"/>
  <c r="P98" i="11"/>
  <c r="O98" i="11"/>
  <c r="P97" i="11"/>
  <c r="O97" i="11"/>
  <c r="P96" i="11"/>
  <c r="O96" i="11"/>
  <c r="P95" i="11"/>
  <c r="O95" i="11"/>
  <c r="P94" i="11"/>
  <c r="O94" i="11"/>
  <c r="P93" i="11"/>
  <c r="O93" i="11"/>
  <c r="P92" i="11"/>
  <c r="O92" i="11"/>
  <c r="P91" i="11"/>
  <c r="O91" i="11"/>
  <c r="P90" i="11"/>
  <c r="O90" i="11"/>
  <c r="P89" i="11"/>
  <c r="O89" i="11"/>
  <c r="P88" i="11"/>
  <c r="O88" i="11"/>
  <c r="P87" i="11"/>
  <c r="O87" i="11"/>
  <c r="P86" i="11"/>
  <c r="O86" i="11"/>
  <c r="P85" i="11"/>
  <c r="O85" i="11"/>
  <c r="P84" i="11"/>
  <c r="O84" i="11"/>
  <c r="P83" i="11"/>
  <c r="O83" i="11"/>
  <c r="P82" i="11"/>
  <c r="O82" i="11"/>
  <c r="P81" i="11"/>
  <c r="O81" i="11"/>
  <c r="P80" i="11"/>
  <c r="O80" i="11"/>
  <c r="P79" i="11"/>
  <c r="O79" i="11"/>
  <c r="P78" i="11"/>
  <c r="O78" i="11"/>
  <c r="P77" i="11"/>
  <c r="O77" i="11"/>
  <c r="P76" i="11"/>
  <c r="O76" i="11"/>
  <c r="P75" i="11"/>
  <c r="O75" i="11"/>
  <c r="P74" i="11"/>
  <c r="O74" i="11"/>
  <c r="P73" i="11"/>
  <c r="O73" i="11"/>
  <c r="P72" i="11"/>
  <c r="O72" i="11"/>
  <c r="P71" i="11"/>
  <c r="O71" i="11"/>
  <c r="P70" i="11"/>
  <c r="O70" i="11"/>
  <c r="P69" i="11"/>
  <c r="O69" i="11"/>
  <c r="P68" i="11"/>
  <c r="O68" i="11"/>
  <c r="P67" i="11"/>
  <c r="O67" i="11"/>
  <c r="P66" i="11"/>
  <c r="O66" i="11"/>
  <c r="P65" i="11"/>
  <c r="O65" i="11"/>
  <c r="P64" i="11"/>
  <c r="O64" i="11"/>
  <c r="P63" i="11"/>
  <c r="O63" i="11"/>
  <c r="P62" i="11"/>
  <c r="O62" i="11"/>
  <c r="P61" i="11"/>
  <c r="O61" i="11"/>
  <c r="P60" i="11"/>
  <c r="O60" i="11"/>
  <c r="P59" i="11"/>
  <c r="O59" i="11"/>
  <c r="P58" i="11"/>
  <c r="O58" i="11"/>
  <c r="P57" i="11"/>
  <c r="O57" i="11"/>
  <c r="P56" i="11"/>
  <c r="O56" i="11"/>
  <c r="P55" i="11"/>
  <c r="O55" i="11"/>
  <c r="P54" i="11"/>
  <c r="O54" i="11"/>
  <c r="P53" i="11"/>
  <c r="O53" i="11"/>
  <c r="P52" i="11"/>
  <c r="O52" i="11"/>
  <c r="P51" i="11"/>
  <c r="O51" i="11"/>
  <c r="P50" i="11"/>
  <c r="O50" i="11"/>
  <c r="P49" i="11"/>
  <c r="O49" i="11"/>
  <c r="P48" i="11"/>
  <c r="O48" i="11"/>
  <c r="P47" i="11"/>
  <c r="O47" i="11"/>
  <c r="P46" i="11"/>
  <c r="O46" i="11"/>
  <c r="P45" i="11"/>
  <c r="O45" i="11"/>
  <c r="P44" i="11"/>
  <c r="O44" i="11"/>
  <c r="P43" i="11"/>
  <c r="O43" i="11"/>
  <c r="P42" i="11"/>
  <c r="O42" i="11"/>
  <c r="P41" i="11"/>
  <c r="O41" i="11"/>
  <c r="P40" i="11"/>
  <c r="O40" i="11"/>
  <c r="P39" i="11"/>
  <c r="O39" i="11"/>
  <c r="P38" i="11"/>
  <c r="O38" i="11"/>
  <c r="P37" i="11"/>
  <c r="O37" i="11"/>
  <c r="P36" i="11"/>
  <c r="O36" i="11"/>
  <c r="P35" i="11"/>
  <c r="O35" i="11"/>
  <c r="P34" i="11"/>
  <c r="O34" i="11"/>
  <c r="P33" i="11"/>
  <c r="O33" i="11"/>
  <c r="P32" i="11"/>
  <c r="O32" i="11"/>
  <c r="P31" i="11"/>
  <c r="O31" i="11"/>
  <c r="P30" i="11"/>
  <c r="O30" i="11"/>
  <c r="P29" i="11"/>
  <c r="O29" i="11"/>
  <c r="P28" i="11"/>
  <c r="O28" i="11"/>
  <c r="P27" i="11"/>
  <c r="O27" i="11"/>
  <c r="P26" i="11"/>
  <c r="O26" i="11"/>
  <c r="P25" i="11"/>
  <c r="O25" i="11"/>
  <c r="P24" i="11"/>
  <c r="O24" i="11"/>
  <c r="P23" i="11"/>
  <c r="O23" i="11"/>
  <c r="P22" i="11"/>
  <c r="O22" i="11"/>
  <c r="P21" i="11"/>
  <c r="O21" i="11"/>
  <c r="P20" i="11"/>
  <c r="O20" i="11"/>
  <c r="P19" i="11"/>
  <c r="O19" i="11"/>
  <c r="P18" i="11"/>
  <c r="O18" i="11"/>
  <c r="P17" i="11"/>
  <c r="O17" i="11"/>
  <c r="P16" i="11"/>
  <c r="O16" i="11"/>
  <c r="P15" i="11"/>
  <c r="O15" i="11"/>
  <c r="P14" i="11"/>
  <c r="O14" i="11"/>
  <c r="P13" i="11"/>
  <c r="O13" i="11"/>
  <c r="P12" i="11"/>
  <c r="O12" i="11"/>
  <c r="P11" i="11"/>
  <c r="O11" i="11"/>
  <c r="P10" i="11"/>
  <c r="O10" i="11"/>
  <c r="P9" i="11"/>
  <c r="O9" i="11"/>
  <c r="P8" i="11"/>
  <c r="O8" i="11"/>
  <c r="P7" i="11"/>
  <c r="O7" i="11"/>
  <c r="P6" i="11"/>
  <c r="O6" i="11"/>
  <c r="P5" i="11"/>
  <c r="O5" i="11"/>
  <c r="P4" i="11"/>
  <c r="O4" i="11"/>
  <c r="P3" i="11"/>
  <c r="O3" i="11"/>
  <c r="P2" i="11"/>
  <c r="O2" i="11"/>
  <c r="C17" i="8"/>
  <c r="H23" i="8" s="1"/>
  <c r="C16" i="8"/>
  <c r="C15" i="8"/>
  <c r="C14" i="8"/>
  <c r="C13" i="8"/>
  <c r="C12" i="8"/>
  <c r="C11" i="8"/>
  <c r="C10" i="8"/>
  <c r="C9" i="8"/>
  <c r="C8" i="8"/>
  <c r="C7" i="8"/>
  <c r="C6" i="8"/>
  <c r="C5" i="8"/>
  <c r="L4" i="5"/>
  <c r="L5" i="5" s="1"/>
  <c r="G4" i="5"/>
  <c r="G5" i="5" s="1"/>
  <c r="G6" i="5" s="1"/>
  <c r="G7" i="5" s="1"/>
  <c r="G8" i="5" s="1"/>
  <c r="B4" i="5"/>
  <c r="B5" i="5" s="1"/>
  <c r="M3" i="5" a="1"/>
  <c r="M3" i="5" s="1"/>
  <c r="Q5" i="5"/>
  <c r="Q6" i="5" s="1"/>
  <c r="Q7" i="5" s="1"/>
  <c r="Q8" i="5" s="1"/>
  <c r="Q9" i="5" s="1"/>
  <c r="V4" i="5"/>
  <c r="V5" i="5" s="1"/>
  <c r="V6" i="5" s="1"/>
  <c r="V7" i="5" s="1"/>
  <c r="V8" i="5" s="1"/>
  <c r="V9" i="5" s="1"/>
  <c r="Q4" i="5"/>
  <c r="R3" i="5" a="1"/>
  <c r="R3" i="5" s="1"/>
  <c r="G23" i="5" s="1"/>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2" i="2"/>
  <c r="H20" i="8" l="1"/>
  <c r="H22" i="8" s="1"/>
  <c r="H24" i="8" s="1"/>
  <c r="H3" i="5" a="1"/>
  <c r="H3" i="5" s="1"/>
  <c r="G21" i="5" s="1"/>
  <c r="W3" i="5" a="1"/>
  <c r="W3" i="5" s="1"/>
  <c r="B6" i="5"/>
  <c r="B7" i="5" s="1"/>
  <c r="B8" i="5" s="1"/>
  <c r="B9" i="5" s="1"/>
  <c r="B10" i="5" s="1"/>
  <c r="B11" i="5" s="1"/>
  <c r="B12" i="5" s="1"/>
  <c r="B13" i="5" s="1"/>
  <c r="B14" i="5" s="1"/>
  <c r="B15" i="5" s="1"/>
  <c r="B16" i="5" s="1"/>
  <c r="B17" i="5" s="1"/>
  <c r="B18" i="5" s="1"/>
  <c r="B19" i="5" s="1"/>
  <c r="B20" i="5" s="1"/>
  <c r="B21" i="5" s="1"/>
  <c r="B22" i="5" s="1"/>
  <c r="B23" i="5" s="1"/>
  <c r="B24" i="5" s="1"/>
  <c r="B25" i="5" s="1"/>
  <c r="B26" i="5" s="1"/>
  <c r="B27" i="5" s="1"/>
  <c r="B28" i="5" s="1"/>
  <c r="B29" i="5" s="1"/>
  <c r="B30" i="5" s="1"/>
  <c r="B31" i="5" s="1"/>
  <c r="B32" i="5" s="1"/>
  <c r="B33" i="5" s="1"/>
  <c r="B34" i="5" s="1"/>
  <c r="B35" i="5" s="1"/>
  <c r="B36" i="5" s="1"/>
  <c r="B37" i="5" s="1"/>
  <c r="B38" i="5" s="1"/>
  <c r="G20" i="5"/>
  <c r="G22" i="5"/>
  <c r="G24" i="5"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<sst xmlns="http://schemas.openxmlformats.org/spreadsheetml/2006/main" count="21345" uniqueCount="548">
  <si>
    <t>Brand</t>
  </si>
  <si>
    <t>Model</t>
  </si>
  <si>
    <t>Case Material</t>
  </si>
  <si>
    <t>Strap Material</t>
  </si>
  <si>
    <t>Movement Type</t>
  </si>
  <si>
    <t>Water Resistance</t>
  </si>
  <si>
    <t>Case Diameter (mm)</t>
  </si>
  <si>
    <t>Case Thickness (mm)</t>
  </si>
  <si>
    <t>Band Width (mm)</t>
  </si>
  <si>
    <t>Dial Color</t>
  </si>
  <si>
    <t>Crystal Material</t>
  </si>
  <si>
    <t>Complications</t>
  </si>
  <si>
    <t>Power Reserve</t>
  </si>
  <si>
    <t>Price (USD)</t>
  </si>
  <si>
    <t>Rolex</t>
  </si>
  <si>
    <t>Submariner</t>
  </si>
  <si>
    <t>Stainless Steel</t>
  </si>
  <si>
    <t>Automatic</t>
  </si>
  <si>
    <t>300 meters</t>
  </si>
  <si>
    <t>Black</t>
  </si>
  <si>
    <t>Sapphire</t>
  </si>
  <si>
    <t>Date</t>
  </si>
  <si>
    <t>48 hours</t>
  </si>
  <si>
    <t>Omega</t>
  </si>
  <si>
    <t>Seamaster</t>
  </si>
  <si>
    <t>Titanium</t>
  </si>
  <si>
    <t>Rubber</t>
  </si>
  <si>
    <t>600 meters</t>
  </si>
  <si>
    <t>Blue</t>
  </si>
  <si>
    <t>60 hours</t>
  </si>
  <si>
    <t>Tag Heuer</t>
  </si>
  <si>
    <t>Carrera</t>
  </si>
  <si>
    <t>Leather</t>
  </si>
  <si>
    <t>100 meters</t>
  </si>
  <si>
    <t>White</t>
  </si>
  <si>
    <t>Chronograph</t>
  </si>
  <si>
    <t>42 hours</t>
  </si>
  <si>
    <t>Breitling</t>
  </si>
  <si>
    <t>Navitimer</t>
  </si>
  <si>
    <t>30 meters</t>
  </si>
  <si>
    <t>70 hours</t>
  </si>
  <si>
    <t>Cartier</t>
  </si>
  <si>
    <t>Tank Solo</t>
  </si>
  <si>
    <t>Quartz</t>
  </si>
  <si>
    <t>Silver</t>
  </si>
  <si>
    <t>None</t>
  </si>
  <si>
    <t>N/A</t>
  </si>
  <si>
    <t>Jaeger-LeCoultre</t>
  </si>
  <si>
    <t>Reverso</t>
  </si>
  <si>
    <t>Manual</t>
  </si>
  <si>
    <t>45 hours</t>
  </si>
  <si>
    <t>Seiko</t>
  </si>
  <si>
    <t>Prospex</t>
  </si>
  <si>
    <t>200 meters</t>
  </si>
  <si>
    <t>50 hours</t>
  </si>
  <si>
    <t>Mineral</t>
  </si>
  <si>
    <t>Tissot</t>
  </si>
  <si>
    <t>Le Locle</t>
  </si>
  <si>
    <t>38 hours</t>
  </si>
  <si>
    <t>Hamilton</t>
  </si>
  <si>
    <t>Khaki Field</t>
  </si>
  <si>
    <t>80 hours</t>
  </si>
  <si>
    <t>Longines</t>
  </si>
  <si>
    <t>Master Collection</t>
  </si>
  <si>
    <t>64 hours</t>
  </si>
  <si>
    <t>Oris</t>
  </si>
  <si>
    <t>Big Crown ProPilot</t>
  </si>
  <si>
    <t>Textile</t>
  </si>
  <si>
    <t>Date, GMT</t>
  </si>
  <si>
    <t>Bell &amp; Ross</t>
  </si>
  <si>
    <t>Aviation</t>
  </si>
  <si>
    <t>Sinn</t>
  </si>
  <si>
    <t>Breguet</t>
  </si>
  <si>
    <t>Classique</t>
  </si>
  <si>
    <t>18k White Gold</t>
  </si>
  <si>
    <t>40 hours</t>
  </si>
  <si>
    <t>Audemars Piguet</t>
  </si>
  <si>
    <t>Royal Oak</t>
  </si>
  <si>
    <t>50 meters</t>
  </si>
  <si>
    <t>Vacheron Constantin</t>
  </si>
  <si>
    <t>Overseas</t>
  </si>
  <si>
    <t>150 meters</t>
  </si>
  <si>
    <t>Speedmaster</t>
  </si>
  <si>
    <t>Chronograph, Tachymeter</t>
  </si>
  <si>
    <t>Superocean</t>
  </si>
  <si>
    <t>500 meters</t>
  </si>
  <si>
    <t>Panerai</t>
  </si>
  <si>
    <t>Luminor Base Logo</t>
  </si>
  <si>
    <t>56 hours</t>
  </si>
  <si>
    <t>Tudor</t>
  </si>
  <si>
    <t>Black Bay</t>
  </si>
  <si>
    <t>GMT-Master II</t>
  </si>
  <si>
    <t>GMT</t>
  </si>
  <si>
    <t>IWC</t>
  </si>
  <si>
    <t>Pilot's Watch</t>
  </si>
  <si>
    <t>60 meters</t>
  </si>
  <si>
    <t>Master Ultra Thin</t>
  </si>
  <si>
    <t>BR 03-92</t>
  </si>
  <si>
    <t>Ceramic</t>
  </si>
  <si>
    <t>Montblanc</t>
  </si>
  <si>
    <t>1858 Geosphere</t>
  </si>
  <si>
    <t>World Time, GMT</t>
  </si>
  <si>
    <t>Santos-Dumont</t>
  </si>
  <si>
    <t>Datejust</t>
  </si>
  <si>
    <t>Jubilee</t>
  </si>
  <si>
    <t>Speedmaster Moonwatch</t>
  </si>
  <si>
    <t>Hesalite</t>
  </si>
  <si>
    <t>Portugieser</t>
  </si>
  <si>
    <t>Alligator</t>
  </si>
  <si>
    <t>Blancpain</t>
  </si>
  <si>
    <t>Fifty Fathoms</t>
  </si>
  <si>
    <t>Canvas</t>
  </si>
  <si>
    <t>120 hours</t>
  </si>
  <si>
    <t>Zenith</t>
  </si>
  <si>
    <t>El Primero</t>
  </si>
  <si>
    <t>18K Rose Gold</t>
  </si>
  <si>
    <t>Piaget</t>
  </si>
  <si>
    <t>Polo S</t>
  </si>
  <si>
    <t>Ulysse Nardin</t>
  </si>
  <si>
    <t>Marine</t>
  </si>
  <si>
    <t>Jaquet Droz</t>
  </si>
  <si>
    <t>Grande Seconde</t>
  </si>
  <si>
    <t>68 hours</t>
  </si>
  <si>
    <t>Type XXI</t>
  </si>
  <si>
    <t>Bulgari</t>
  </si>
  <si>
    <t>Octo Finissimo</t>
  </si>
  <si>
    <t>Chopard</t>
  </si>
  <si>
    <t>Mille Miglia</t>
  </si>
  <si>
    <t>Girard-Perregaux</t>
  </si>
  <si>
    <t>Laureato</t>
  </si>
  <si>
    <t>54 hours</t>
  </si>
  <si>
    <t>Glashütte Original</t>
  </si>
  <si>
    <t>Senator</t>
  </si>
  <si>
    <t>Hublot</t>
  </si>
  <si>
    <t>Classic Fusion</t>
  </si>
  <si>
    <t>Patek Philippe</t>
  </si>
  <si>
    <t>Nautilus</t>
  </si>
  <si>
    <t>120 meters</t>
  </si>
  <si>
    <t>Chronomaster</t>
  </si>
  <si>
    <t>Date, Moon Phase</t>
  </si>
  <si>
    <t>Fabric</t>
  </si>
  <si>
    <t>Chronograph, Date</t>
  </si>
  <si>
    <t>46 hours</t>
  </si>
  <si>
    <t>Luminor Marina</t>
  </si>
  <si>
    <t>Date, Second Time Zone</t>
  </si>
  <si>
    <t>72 hours</t>
  </si>
  <si>
    <t>Date, Unidirectional Bezel</t>
  </si>
  <si>
    <t>Date, Power Reserve Indicator</t>
  </si>
  <si>
    <t>Date, Chronograph</t>
  </si>
  <si>
    <t>44 hours</t>
  </si>
  <si>
    <t>Luminor</t>
  </si>
  <si>
    <t>Type XX</t>
  </si>
  <si>
    <t>Date, Chronograph, Flyback</t>
  </si>
  <si>
    <t>HydroConquest</t>
  </si>
  <si>
    <t>Silicone</t>
  </si>
  <si>
    <t>Hardlex</t>
  </si>
  <si>
    <t>Khaki Field Auto</t>
  </si>
  <si>
    <t>Bulova</t>
  </si>
  <si>
    <t>Precisionist</t>
  </si>
  <si>
    <t>Superocean Heritage</t>
  </si>
  <si>
    <t>Master Control</t>
  </si>
  <si>
    <t>Santos</t>
  </si>
  <si>
    <t>Elite</t>
  </si>
  <si>
    <t>Luminor Base</t>
  </si>
  <si>
    <t>Conquest VHP</t>
  </si>
  <si>
    <t>U1</t>
  </si>
  <si>
    <t>1000 meters</t>
  </si>
  <si>
    <t>Date, Power Reserve, Moon Phase</t>
  </si>
  <si>
    <t>Rose Gold</t>
  </si>
  <si>
    <t>Date, Power Reserve</t>
  </si>
  <si>
    <t>A. Lange &amp; Sohne</t>
  </si>
  <si>
    <t>Saxonia</t>
  </si>
  <si>
    <t>White Gold</t>
  </si>
  <si>
    <t>65 hours</t>
  </si>
  <si>
    <t>Big Bang</t>
  </si>
  <si>
    <t>Altiplano</t>
  </si>
  <si>
    <t>43 hours</t>
  </si>
  <si>
    <t>Day/Date</t>
  </si>
  <si>
    <t>41 hours</t>
  </si>
  <si>
    <t>Luminor Due</t>
  </si>
  <si>
    <t>Chronograph, Moon Phase</t>
  </si>
  <si>
    <t>55 hours</t>
  </si>
  <si>
    <t>Patrimony</t>
  </si>
  <si>
    <t>18K White Gold</t>
  </si>
  <si>
    <t>Conquest</t>
  </si>
  <si>
    <t>GMT, Date</t>
  </si>
  <si>
    <t>Ballon Bleu</t>
  </si>
  <si>
    <t>Calatrava</t>
  </si>
  <si>
    <t>Date, Rotating Bezel</t>
  </si>
  <si>
    <t>18k Rose Gold</t>
  </si>
  <si>
    <t>Defy</t>
  </si>
  <si>
    <t>Jazzmaster</t>
  </si>
  <si>
    <t>Heritage</t>
  </si>
  <si>
    <t>Rado</t>
  </si>
  <si>
    <t>True Thinline</t>
  </si>
  <si>
    <t>High-Tech Ceramic</t>
  </si>
  <si>
    <t>Frederique Constant</t>
  </si>
  <si>
    <t>Classics</t>
  </si>
  <si>
    <t>Marine Torpilleur</t>
  </si>
  <si>
    <t>U50</t>
  </si>
  <si>
    <t>German Submarine Steel</t>
  </si>
  <si>
    <t>Aquaracer</t>
  </si>
  <si>
    <t>2000 meters</t>
  </si>
  <si>
    <t>BR V2-92</t>
  </si>
  <si>
    <t>Bronze</t>
  </si>
  <si>
    <t>NATO Strap</t>
  </si>
  <si>
    <t>Superocean Heritage II</t>
  </si>
  <si>
    <t>Santos de Cartier</t>
  </si>
  <si>
    <t>Pilot's Watch Mark XVIII</t>
  </si>
  <si>
    <t>Jubilee Bracelet</t>
  </si>
  <si>
    <t>Black Bay GMT</t>
  </si>
  <si>
    <t>Divers Sixty-Five</t>
  </si>
  <si>
    <t>Carbon Fiber</t>
  </si>
  <si>
    <t>Happy Sport</t>
  </si>
  <si>
    <t>Monaco</t>
  </si>
  <si>
    <t>Aqua Terra</t>
  </si>
  <si>
    <t>Avenger II</t>
  </si>
  <si>
    <t>Daytona</t>
  </si>
  <si>
    <t>Yellow Gold</t>
  </si>
  <si>
    <t>Ivory</t>
  </si>
  <si>
    <t>TAG Heuer</t>
  </si>
  <si>
    <t>18k King Gold</t>
  </si>
  <si>
    <t>Date, Stopwatch</t>
  </si>
  <si>
    <t>Portugieser Chronograph</t>
  </si>
  <si>
    <t>Chronomaster El Primero</t>
  </si>
  <si>
    <t>18k Yellow Gold</t>
  </si>
  <si>
    <t>Champagne</t>
  </si>
  <si>
    <t>Portuguese</t>
  </si>
  <si>
    <t>Date, Cyclops</t>
  </si>
  <si>
    <t>Elite Classic</t>
  </si>
  <si>
    <t>Conquest Classic</t>
  </si>
  <si>
    <t>Star Legacy</t>
  </si>
  <si>
    <t>Date, Moonphase</t>
  </si>
  <si>
    <t>Baume &amp; Mercier</t>
  </si>
  <si>
    <t>Clifton Baumatic</t>
  </si>
  <si>
    <t>18K Yellow Gold</t>
  </si>
  <si>
    <t>Date, Cyclops Lens</t>
  </si>
  <si>
    <t>Pilot's Watch Mark</t>
  </si>
  <si>
    <t>Date, Sub Seconds</t>
  </si>
  <si>
    <t>Date, Chronograph, Moon Phase</t>
  </si>
  <si>
    <t>Date, World Time</t>
  </si>
  <si>
    <t>Dual Time Zone</t>
  </si>
  <si>
    <t>Constellation</t>
  </si>
  <si>
    <t>Chronomat</t>
  </si>
  <si>
    <t>A. Lange &amp; Söhne</t>
  </si>
  <si>
    <t>Date, Chronograph, Tachymeter</t>
  </si>
  <si>
    <t>168 hours</t>
  </si>
  <si>
    <t>NATO strap</t>
  </si>
  <si>
    <t>Grey</t>
  </si>
  <si>
    <t>Polo</t>
  </si>
  <si>
    <t>Saxonia White Gold 38.5</t>
  </si>
  <si>
    <t>Saxonia Rose Gold 38.5</t>
  </si>
  <si>
    <t>Saxonia 18k Rose Gold 37</t>
  </si>
  <si>
    <t>Royal Oak Rose Gold 41</t>
  </si>
  <si>
    <t>Royal Oak Rose Gold 37</t>
  </si>
  <si>
    <t>Royal Oak Stainless Steel 41</t>
  </si>
  <si>
    <t>Royal Oak Stainless Steel 37</t>
  </si>
  <si>
    <t>Royal Oak Stainless Steel 39</t>
  </si>
  <si>
    <t>Clifton Baumatic Stainless Steel 40</t>
  </si>
  <si>
    <t>Aviation Stainless Steel 42</t>
  </si>
  <si>
    <t>BR 03-92 Ceramic 42</t>
  </si>
  <si>
    <t>BR V2-92 Stainless Steel 41</t>
  </si>
  <si>
    <t>Fifty Fathoms Titanium 45</t>
  </si>
  <si>
    <t>Fifty Fathoms Stainless Steel 45</t>
  </si>
  <si>
    <t>Fifty Fathoms Stainless Steel 43</t>
  </si>
  <si>
    <t>Fifty Fathoms Stainless Steel 43.6</t>
  </si>
  <si>
    <t>Classique 18K Rose Gold 39</t>
  </si>
  <si>
    <t>Classique 18k Rose Gold 39</t>
  </si>
  <si>
    <t>Classique 18K Yellow Gold 39</t>
  </si>
  <si>
    <t>Classique Rose Gold 40</t>
  </si>
  <si>
    <t>Classique Rose Gold 39</t>
  </si>
  <si>
    <t>Classique 18k White Gold 39</t>
  </si>
  <si>
    <t>Classique 18K White Gold 40</t>
  </si>
  <si>
    <t>Classique Rose Gold 38.5</t>
  </si>
  <si>
    <t>Classique 18k White Gold 38</t>
  </si>
  <si>
    <t>Classique 18k White Gold 40</t>
  </si>
  <si>
    <t>Classique 18k Rose Gold 38.5</t>
  </si>
  <si>
    <t>Classique White Gold 39</t>
  </si>
  <si>
    <t>Classique Rose Gold 38</t>
  </si>
  <si>
    <t>Classique 18K Rose Gold 40</t>
  </si>
  <si>
    <t>Classique 18K White Gold 39</t>
  </si>
  <si>
    <t>Type XXI Stainless Steel 42</t>
  </si>
  <si>
    <t>Type XX Stainless Steel 39.5</t>
  </si>
  <si>
    <t>Navitimer Stainless Steel 43</t>
  </si>
  <si>
    <t>Chronomat Stainless Steel 44</t>
  </si>
  <si>
    <t>Superocean Heritage Stainless Steel 42</t>
  </si>
  <si>
    <t>Avenger II Stainless Steel 43</t>
  </si>
  <si>
    <t>Superocean Stainless Steel 44</t>
  </si>
  <si>
    <t>Superocean Heritage II Stainless Steel 44</t>
  </si>
  <si>
    <t>Superocean Stainless Steel 42</t>
  </si>
  <si>
    <t>Superocean Heritage Stainless Steel 44</t>
  </si>
  <si>
    <t>Octo Finissimo Titanium 40</t>
  </si>
  <si>
    <t>Precisionist Stainless Steel 46.5</t>
  </si>
  <si>
    <t>Santos-Dumont 18K Yellow Gold 27.5</t>
  </si>
  <si>
    <t>Ballon Bleu 18k Rose Gold 33</t>
  </si>
  <si>
    <t>Santos Stainless Steel 39.8</t>
  </si>
  <si>
    <t>Ballon Bleu Stainless Steel 42</t>
  </si>
  <si>
    <t>Ballon Bleu Stainless Steel 33</t>
  </si>
  <si>
    <t>Santos de Cartier Stainless Steel 39.8</t>
  </si>
  <si>
    <t>Santos Stainless Steel 35.1</t>
  </si>
  <si>
    <t>Santos-Dumont Stainless Steel 43.5</t>
  </si>
  <si>
    <t>Ballon Bleu Stainless Steel 36.6</t>
  </si>
  <si>
    <t>Santos-Dumont Stainless Steel 31.4</t>
  </si>
  <si>
    <t>Santos-Dumont Stainless Steel 38</t>
  </si>
  <si>
    <t>Tank Solo Stainless Steel 31</t>
  </si>
  <si>
    <t>Mille Miglia Stainless Steel 42</t>
  </si>
  <si>
    <t>Mille Miglia Stainless Steel 44</t>
  </si>
  <si>
    <t>Happy Sport Stainless Steel 30</t>
  </si>
  <si>
    <t>Classics Stainless Steel 40</t>
  </si>
  <si>
    <t>Laureato Stainless Steel 42</t>
  </si>
  <si>
    <t>Laureato Stainless Steel 41</t>
  </si>
  <si>
    <t>Laureato Stainless Steel 38</t>
  </si>
  <si>
    <t>Senator Stainless Steel 42</t>
  </si>
  <si>
    <t>Jazzmaster Stainless Steel 40</t>
  </si>
  <si>
    <t>Khaki Field Stainless Steel 38</t>
  </si>
  <si>
    <t>Khaki Field Auto Stainless Steel 38</t>
  </si>
  <si>
    <t>Classic Fusion 18k King Gold 42</t>
  </si>
  <si>
    <t>Big Bang Carbon Fiber 44</t>
  </si>
  <si>
    <t>Big Bang Titanium 44</t>
  </si>
  <si>
    <t>Big Bang Ceramic 44</t>
  </si>
  <si>
    <t>Big Bang Ceramic 41</t>
  </si>
  <si>
    <t>Big Bang Ceramic 42</t>
  </si>
  <si>
    <t>Big Bang Ceramic 44.5</t>
  </si>
  <si>
    <t>Classic Fusion Titanium 45</t>
  </si>
  <si>
    <t>Big Bang Titanium 42</t>
  </si>
  <si>
    <t>Classic Fusion Titanium 42</t>
  </si>
  <si>
    <t>Portugieser Stainless Steel 41</t>
  </si>
  <si>
    <t>Portugieser Stainless Steel 42.3</t>
  </si>
  <si>
    <t>Portugieser Stainless Steel 40.4</t>
  </si>
  <si>
    <t>Portuguese Stainless Steel 42.3</t>
  </si>
  <si>
    <t>Portugieser Stainless Steel 41.5</t>
  </si>
  <si>
    <t>Portugieser Chronograph Stainless Steel 41</t>
  </si>
  <si>
    <t>Pilot's Watch Stainless Steel 46.2</t>
  </si>
  <si>
    <t>Portugieser Stainless Steel 40.9</t>
  </si>
  <si>
    <t>Pilot's Watch Mark Stainless Steel 41</t>
  </si>
  <si>
    <t>Pilot's Watch Stainless Steel 41</t>
  </si>
  <si>
    <t>Pilot's Watch Stainless Steel 43</t>
  </si>
  <si>
    <t>Pilot's Watch Stainless Steel 39</t>
  </si>
  <si>
    <t>Pilot's Watch Mark XVIII Stainless Steel 40</t>
  </si>
  <si>
    <t>Master Ultra Thin Stainless Steel 39</t>
  </si>
  <si>
    <t>Master Control Stainless Steel 40</t>
  </si>
  <si>
    <t>Master Control Stainless Steel 39</t>
  </si>
  <si>
    <t>Master Ultra Thin Stainless Steel 40</t>
  </si>
  <si>
    <t>Reverso Stainless Steel 42.9</t>
  </si>
  <si>
    <t>Master Ultra Thin Stainless Steel 38</t>
  </si>
  <si>
    <t>Grande Seconde Stainless Steel 43</t>
  </si>
  <si>
    <t>Master Collection Stainless Steel 40</t>
  </si>
  <si>
    <t>Conquest Stainless Steel 41</t>
  </si>
  <si>
    <t>Conquest Classic Stainless Steel 40</t>
  </si>
  <si>
    <t>HydroConquest Stainless Steel 41</t>
  </si>
  <si>
    <t>Master Collection Stainless Steel 38.5</t>
  </si>
  <si>
    <t>Conquest VHP Stainless Steel 41</t>
  </si>
  <si>
    <t>HydroConquest Stainless Steel 43</t>
  </si>
  <si>
    <t>1858 Geosphere Titanium 42</t>
  </si>
  <si>
    <t>1858 Geosphere Stainless Steel 42</t>
  </si>
  <si>
    <t>1858 Bronze 44</t>
  </si>
  <si>
    <t>Star Legacy Stainless Steel 42</t>
  </si>
  <si>
    <t>1858 Stainless Steel 42</t>
  </si>
  <si>
    <t>1858 Stainless Steel 44</t>
  </si>
  <si>
    <t>Star Legacy Stainless Steel 39</t>
  </si>
  <si>
    <t>Heritage Stainless Steel 40</t>
  </si>
  <si>
    <t>Speedmaster Stainless Steel 42</t>
  </si>
  <si>
    <t>Seamaster Titanium 43.5</t>
  </si>
  <si>
    <t>Speedmaster Moonwatch Stainless Steel 42</t>
  </si>
  <si>
    <t>Constellation Stainless Steel 39</t>
  </si>
  <si>
    <t>Aqua Terra Stainless Steel 41.5</t>
  </si>
  <si>
    <t>Big Crown ProPilot Stainless Steel 41</t>
  </si>
  <si>
    <t>Divers Sixty-Five Stainless Steel 40</t>
  </si>
  <si>
    <t>Luminor Titanium 44</t>
  </si>
  <si>
    <t>Luminor Marina Titanium 44</t>
  </si>
  <si>
    <t>Luminor Marina Stainless Steel 44</t>
  </si>
  <si>
    <t>Luminor Stainless Steel 44</t>
  </si>
  <si>
    <t>Luminor Marina Stainless Steel 42</t>
  </si>
  <si>
    <t>Luminor Due Stainless Steel 38</t>
  </si>
  <si>
    <t>Luminor Base Stainless Steel 44</t>
  </si>
  <si>
    <t>Luminor Base Logo Stainless Steel 44</t>
  </si>
  <si>
    <t>Nautilus Stainless Steel 40.5</t>
  </si>
  <si>
    <t>Nautilus Stainless Steel 40.8</t>
  </si>
  <si>
    <t>Nautilus Stainless Steel 40</t>
  </si>
  <si>
    <t>Calatrava White Gold 39</t>
  </si>
  <si>
    <t>Calatrava White Gold 37</t>
  </si>
  <si>
    <t>Calatrava 18K White Gold 38</t>
  </si>
  <si>
    <t>Calatrava 18k Rose Gold 38</t>
  </si>
  <si>
    <t>Calatrava 18k White Gold 39</t>
  </si>
  <si>
    <t>Calatrava Rose Gold 36</t>
  </si>
  <si>
    <t>Altiplano White Gold 40</t>
  </si>
  <si>
    <t>Altiplano 18k Rose Gold 38</t>
  </si>
  <si>
    <t>Altiplano 18k White Gold 40</t>
  </si>
  <si>
    <t>Altiplano White Gold 38</t>
  </si>
  <si>
    <t>Polo Stainless Steel 42</t>
  </si>
  <si>
    <t>Polo S Stainless Steel 42</t>
  </si>
  <si>
    <t>True Thinline High-Tech Ceramic 39</t>
  </si>
  <si>
    <t>Daytona Yellow Gold 40</t>
  </si>
  <si>
    <t>Daytona 18k Yellow Gold 40</t>
  </si>
  <si>
    <t>GMT-Master II Stainless Steel 40</t>
  </si>
  <si>
    <t>Daytona Stainless Steel 40</t>
  </si>
  <si>
    <t>Submariner Stainless Steel 40</t>
  </si>
  <si>
    <t>Datejust Stainless Steel 41</t>
  </si>
  <si>
    <t>Datejust Stainless Steel 36</t>
  </si>
  <si>
    <t>Prospex Stainless Steel 44.3</t>
  </si>
  <si>
    <t>Prospex Stainless Steel 43</t>
  </si>
  <si>
    <t>Prospex Stainless Steel 42.3</t>
  </si>
  <si>
    <t>U50 German Submarine Steel 45</t>
  </si>
  <si>
    <t>U1 Stainless Steel 44</t>
  </si>
  <si>
    <t>104 Stainless Steel 41</t>
  </si>
  <si>
    <t>Monaco Stainless Steel 39</t>
  </si>
  <si>
    <t>Carrera Stainless Steel 41</t>
  </si>
  <si>
    <t>Aquaracer Stainless Steel 43</t>
  </si>
  <si>
    <t>Aquaracer Stainless Steel 41</t>
  </si>
  <si>
    <t>Aquaracer Stainless Steel 32</t>
  </si>
  <si>
    <t>Le Locle Stainless Steel 39.3</t>
  </si>
  <si>
    <t>Black Bay Stainless Steel 41</t>
  </si>
  <si>
    <t>Black Bay GMT Stainless Steel 41</t>
  </si>
  <si>
    <t>Marine Stainless Steel 44</t>
  </si>
  <si>
    <t>Marine Titanium 44</t>
  </si>
  <si>
    <t>Marine Stainless Steel 42.2</t>
  </si>
  <si>
    <t>Marine Stainless Steel 42</t>
  </si>
  <si>
    <t>Marine Torpilleur Stainless Steel 42</t>
  </si>
  <si>
    <t>Marine Stainless Steel 43</t>
  </si>
  <si>
    <t>Patrimony White Gold 40</t>
  </si>
  <si>
    <t>Overseas Stainless Steel 41</t>
  </si>
  <si>
    <t>Patrimony 18k Rose Gold 42</t>
  </si>
  <si>
    <t>Overseas Stainless Steel 41.5</t>
  </si>
  <si>
    <t>Overseas Stainless Steel 42.5</t>
  </si>
  <si>
    <t>Patrimony 18K White Gold 40</t>
  </si>
  <si>
    <t>Patrimony Rose Gold 40</t>
  </si>
  <si>
    <t>Defy Titanium 41</t>
  </si>
  <si>
    <t>Chronomaster Stainless Steel 42</t>
  </si>
  <si>
    <t>El Primero Stainless Steel 42</t>
  </si>
  <si>
    <t>El Primero Stainless Steel 38</t>
  </si>
  <si>
    <t>Chronomaster Stainless Steel 38</t>
  </si>
  <si>
    <t>Chronomaster El Primero Stainless Steel 38</t>
  </si>
  <si>
    <t>Elite Stainless Steel 40.5</t>
  </si>
  <si>
    <t>Elite Classic Stainless Steel 39</t>
  </si>
  <si>
    <t>Watch ID</t>
  </si>
  <si>
    <t>Watch Search</t>
  </si>
  <si>
    <t>Brand:</t>
  </si>
  <si>
    <t>Brand_ID</t>
  </si>
  <si>
    <t>WR Range</t>
  </si>
  <si>
    <t>WR Range Result</t>
  </si>
  <si>
    <t>Movement Type:</t>
  </si>
  <si>
    <t>Dial Color:</t>
  </si>
  <si>
    <t>Price Range:</t>
  </si>
  <si>
    <t>Price Range</t>
  </si>
  <si>
    <t>PR_ID</t>
  </si>
  <si>
    <t>Selection Result:</t>
  </si>
  <si>
    <t>Brand Result</t>
  </si>
  <si>
    <t>WR Range:</t>
  </si>
  <si>
    <t>Price Range Result</t>
  </si>
  <si>
    <t>Movement Type Result</t>
  </si>
  <si>
    <t>Dial Color Result</t>
  </si>
  <si>
    <t>WR Range_ID</t>
  </si>
  <si>
    <t>Movement_ID</t>
  </si>
  <si>
    <t>Dial_ID</t>
  </si>
  <si>
    <t>Result:</t>
  </si>
  <si>
    <t>Income from Salary Annual:</t>
  </si>
  <si>
    <t>Income from Other source Annual:</t>
  </si>
  <si>
    <t>Gross Income Annual:</t>
  </si>
  <si>
    <t>Gross Income Monthly:</t>
  </si>
  <si>
    <t>Income</t>
  </si>
  <si>
    <t>Amount</t>
  </si>
  <si>
    <t>Mortgage:</t>
  </si>
  <si>
    <t>Bill:</t>
  </si>
  <si>
    <t>Food:</t>
  </si>
  <si>
    <t>Total Expenses:</t>
  </si>
  <si>
    <t>Net Income per month:</t>
  </si>
  <si>
    <t>% Willing to spend per month:</t>
  </si>
  <si>
    <t>$ Willing to spend per month:</t>
  </si>
  <si>
    <t>Watch Price</t>
  </si>
  <si>
    <t>Duration for Financing the watch in months:</t>
  </si>
  <si>
    <t>Calculation</t>
  </si>
  <si>
    <t>Scenario Manager:</t>
  </si>
  <si>
    <t>Grand Total</t>
  </si>
  <si>
    <t>Average of Price (USD)</t>
  </si>
  <si>
    <t>0-1999</t>
  </si>
  <si>
    <t>2000-3999</t>
  </si>
  <si>
    <t>4000-5999</t>
  </si>
  <si>
    <t>6000-7999</t>
  </si>
  <si>
    <t>8000-9999</t>
  </si>
  <si>
    <t>10000-11999</t>
  </si>
  <si>
    <t>12000-13999</t>
  </si>
  <si>
    <t>14000-15999</t>
  </si>
  <si>
    <t>16000-17999</t>
  </si>
  <si>
    <t>18000-19999</t>
  </si>
  <si>
    <t>20000-21999</t>
  </si>
  <si>
    <t>22000-23999</t>
  </si>
  <si>
    <t>24000-25999</t>
  </si>
  <si>
    <t>26000-27999</t>
  </si>
  <si>
    <t>28000-29999</t>
  </si>
  <si>
    <t>34000-35999</t>
  </si>
  <si>
    <t>36000-37999</t>
  </si>
  <si>
    <t>38000-39999</t>
  </si>
  <si>
    <t>40000-41999</t>
  </si>
  <si>
    <t>44000-45999</t>
  </si>
  <si>
    <t>46000-47999</t>
  </si>
  <si>
    <t>48000-49999</t>
  </si>
  <si>
    <t>50000-51999</t>
  </si>
  <si>
    <t>52000-53999</t>
  </si>
  <si>
    <t>54000-55999</t>
  </si>
  <si>
    <t>56000-57999</t>
  </si>
  <si>
    <t>62000-63999</t>
  </si>
  <si>
    <t>66000-67999</t>
  </si>
  <si>
    <t>68000-70000</t>
  </si>
  <si>
    <t>Average of Power Reserve</t>
  </si>
  <si>
    <t>Average of Water Resistance</t>
  </si>
  <si>
    <t>Power Reserve (hr)</t>
  </si>
  <si>
    <t>Water Resistance (m)</t>
  </si>
  <si>
    <t>Brands</t>
  </si>
  <si>
    <t>Watch Model</t>
  </si>
  <si>
    <t>Dress watch only?</t>
  </si>
  <si>
    <t xml:space="preserve">Dress Watch Only </t>
  </si>
  <si>
    <t>Expenses Monthly</t>
  </si>
  <si>
    <t>Others:</t>
  </si>
  <si>
    <t>Income from Investments Annually:</t>
  </si>
  <si>
    <t>Datasource:</t>
  </si>
  <si>
    <t>Luxury Watches Price dataset</t>
  </si>
  <si>
    <t xml:space="preserve">Link: </t>
  </si>
  <si>
    <t>Luxury Watches Price dataset (kaggle.com)</t>
  </si>
  <si>
    <t>Description:</t>
  </si>
  <si>
    <t>This dataset contains information about luxury watch models from various brands, including their prices, case and strap materials, 
movement types, water resistance levels, and additional details such as case diameter, case thickness, band width, dial color, crystal material, complications, 
and power reserve. The data is useful for individuals interested in luxury watches, including watch collectors, enthusiasts, and retailers.</t>
  </si>
  <si>
    <t>Overview of the project:</t>
  </si>
  <si>
    <t>The scope of this project is to explore the luxury watch dataset, 
discover interesting insights, and applies my Excel skills to perform advance analysis and features</t>
  </si>
  <si>
    <t>Skills Employed:</t>
  </si>
  <si>
    <t>Location:</t>
  </si>
  <si>
    <t>macros</t>
  </si>
  <si>
    <t>conditional formatting</t>
  </si>
  <si>
    <t>a variety of charts</t>
  </si>
  <si>
    <t>data validation</t>
  </si>
  <si>
    <t>scenario manager</t>
  </si>
  <si>
    <t>a form that populates a table</t>
  </si>
  <si>
    <t>pivot tables with charts and slicers</t>
  </si>
  <si>
    <t>a variety of formulas and techniques</t>
  </si>
  <si>
    <t>Employs conditional formats that: 
highlight watches with  quartz movememt, 
show water resistance amount at  deep sea dive level,
applies data-bar formatting to power reserve and price column</t>
  </si>
  <si>
    <t>Watch Data Worksheet: 
Column C, F, M, N</t>
  </si>
  <si>
    <t>2 Pie Charts that show the distribution of Income and Expense based on inputs.
1 Column Chart that shows the price of quartz watch
3 Histogram Chart comparing the thickness between 3 watch movement types</t>
  </si>
  <si>
    <t>Financial Solver Worksheet
Filter 1 Worksheet
Filter 2 Worksheet</t>
  </si>
  <si>
    <t xml:space="preserve">Apply Data validation on the Financial Solver worksheet to ensure appropriate input </t>
  </si>
  <si>
    <t>Financial Solver Worksheet:
C3
H5:H7
H12:H15</t>
  </si>
  <si>
    <t>Apply scenario manager to see the different scenario regarding the financing of a desired watch</t>
  </si>
  <si>
    <t>Financial Solver Worksheet</t>
  </si>
  <si>
    <t xml:space="preserve">  4 Macros that perform data cleaning and transforming within the data worksheet, 1 macro that enable the populating of a table, 3 macros that show scenarios</t>
  </si>
  <si>
    <t>Watch Data Cleaning Worksheet
Form Worksheet
Financial Solver Worksheet</t>
  </si>
  <si>
    <t>Utilizes various features to create a form that find ideal watches based on user preferences</t>
  </si>
  <si>
    <t>Form Worksheet</t>
  </si>
  <si>
    <t>Create 3 pivot tables with 2 charts and multiple slicers that help analyze the watch data on a deeper level</t>
  </si>
  <si>
    <t>Pivot 1 Worksheet
Pivot 2 Worksheet</t>
  </si>
  <si>
    <t xml:space="preserve">Watch Data Worksheet: 
Column O, N
WIP Worksheet:
Almost all cells with data
Financial Solver Worksheet:
C5:C17
H8, H9, H16
H20:H24
</t>
  </si>
  <si>
    <t>Utilizes various  formulas to help with a variety of aspects in this workbook, formulas used:
Multiple Nested IF
IFERROR
UNIQUE
NOW
VLOOKUP
XLOOKUP
SUM
ROUND
Basic Calculation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</si>
</sst>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
    <numFmt numFmtId="165" formatCode="&quot;$&quot;#,##0.00"/>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20"/>
      <color theme="1"/>
      <name val="Calibri"/>
      <family val="2"/>
      <scheme val="minor"/>
    </font>
    <font>
      <sz val="8"/>
      <color rgb="FF000000"/>
      <name val="Segoe UI"/>
      <family val="2"/>
    </font>
    <font>
      <sz val="10"/>
      <color rgb="FFF8F8F2"/>
      <name val="Consolas"/>
      <family val="3"/>
    </font>
    <font>
      <u/>
      <sz val="11"/>
      <color theme="1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7" tint="0.79995117038483843"/>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93">
    <xf numFmtId="0" fontId="0" fillId="0" borderId="0" xfId="0"/>
    <xf numFmtId="3" fontId="0" fillId="0" borderId="0" xfId="0" applyNumberFormat="1"/>
    <xf numFmtId="164" fontId="0" fillId="0" borderId="0" xfId="0" applyNumberFormat="1"/>
    <xf numFmtId="1" fontId="0" fillId="0" borderId="0" xfId="0" applyNumberFormat="1"/>
    <xf numFmtId="0" fontId="0" fillId="0" borderId="10"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7" xfId="0" applyBorder="1"/>
    <xf numFmtId="0" fontId="0" fillId="33" borderId="17" xfId="0" applyFill="1" applyBorder="1"/>
    <xf numFmtId="0" fontId="0" fillId="0" borderId="0" xfId="0"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7" xfId="0" applyBorder="1" applyAlignment="1">
      <alignment horizontal="center" vertical="center"/>
    </xf>
    <xf numFmtId="0" fontId="0" fillId="0" borderId="13" xfId="0" applyBorder="1" applyAlignment="1">
      <alignment horizontal="left" vertical="top"/>
    </xf>
    <xf numFmtId="0" fontId="0" fillId="0" borderId="0" xfId="0" applyAlignment="1">
      <alignment horizontal="left"/>
    </xf>
    <xf numFmtId="0" fontId="0" fillId="0" borderId="14" xfId="0" applyBorder="1" applyAlignment="1">
      <alignment horizontal="left" vertical="center"/>
    </xf>
    <xf numFmtId="0" fontId="0" fillId="0" borderId="17" xfId="0" applyBorder="1" applyAlignment="1">
      <alignment horizontal="left" vertical="center"/>
    </xf>
    <xf numFmtId="0" fontId="0" fillId="0" borderId="14" xfId="0" applyBorder="1" applyAlignment="1">
      <alignment horizontal="left"/>
    </xf>
    <xf numFmtId="0" fontId="0" fillId="0" borderId="18" xfId="0" applyBorder="1"/>
    <xf numFmtId="1" fontId="0" fillId="0" borderId="12" xfId="0" applyNumberFormat="1" applyBorder="1"/>
    <xf numFmtId="1" fontId="0" fillId="0" borderId="14" xfId="0" applyNumberFormat="1" applyBorder="1"/>
    <xf numFmtId="1" fontId="0" fillId="0" borderId="17" xfId="0" applyNumberFormat="1" applyBorder="1"/>
    <xf numFmtId="0" fontId="0" fillId="0" borderId="19" xfId="0" applyBorder="1" applyAlignment="1">
      <alignment horizontal="center"/>
    </xf>
    <xf numFmtId="0" fontId="0" fillId="33" borderId="14" xfId="0" applyFill="1" applyBorder="1" applyAlignment="1">
      <alignment horizontal="center" vertical="center"/>
    </xf>
    <xf numFmtId="165" fontId="0" fillId="0" borderId="0" xfId="0" applyNumberFormat="1"/>
    <xf numFmtId="165" fontId="0" fillId="0" borderId="0" xfId="0" applyNumberFormat="1" applyAlignment="1">
      <alignment horizontal="center" vertical="center"/>
    </xf>
    <xf numFmtId="9" fontId="0" fillId="0" borderId="0" xfId="0" applyNumberFormat="1" applyAlignment="1">
      <alignment horizontal="center" vertical="center"/>
    </xf>
    <xf numFmtId="0" fontId="0" fillId="33" borderId="18" xfId="0" applyFill="1" applyBorder="1" applyAlignment="1">
      <alignment horizontal="left"/>
    </xf>
    <xf numFmtId="0" fontId="0" fillId="33" borderId="12" xfId="0" applyFill="1" applyBorder="1" applyAlignment="1">
      <alignment horizontal="center" vertical="center"/>
    </xf>
    <xf numFmtId="0" fontId="0" fillId="33" borderId="20" xfId="0" applyFill="1" applyBorder="1" applyAlignment="1">
      <alignment horizontal="left"/>
    </xf>
    <xf numFmtId="1" fontId="0" fillId="33" borderId="20" xfId="0" applyNumberFormat="1" applyFill="1" applyBorder="1" applyAlignment="1">
      <alignment horizontal="left"/>
    </xf>
    <xf numFmtId="164" fontId="0" fillId="33" borderId="20" xfId="0" applyNumberFormat="1" applyFill="1" applyBorder="1" applyAlignment="1">
      <alignment horizontal="left"/>
    </xf>
    <xf numFmtId="165" fontId="0" fillId="33" borderId="14" xfId="0" applyNumberFormat="1" applyFill="1" applyBorder="1" applyAlignment="1">
      <alignment horizontal="center" vertical="center"/>
    </xf>
    <xf numFmtId="0" fontId="0" fillId="33" borderId="19" xfId="0" applyFill="1" applyBorder="1"/>
    <xf numFmtId="0" fontId="0" fillId="0" borderId="0" xfId="0" pivotButton="1"/>
    <xf numFmtId="164" fontId="0" fillId="0" borderId="0" xfId="0" applyNumberFormat="1" applyAlignment="1">
      <alignment horizontal="left"/>
    </xf>
    <xf numFmtId="0" fontId="0" fillId="0" borderId="0" xfId="0" applyAlignment="1">
      <alignment horizontal="left" indent="1"/>
    </xf>
    <xf numFmtId="2" fontId="0" fillId="0" borderId="0" xfId="0" applyNumberFormat="1"/>
    <xf numFmtId="0" fontId="0" fillId="0" borderId="18" xfId="0" applyBorder="1" applyAlignment="1">
      <alignment horizontal="center" vertical="center"/>
    </xf>
    <xf numFmtId="0" fontId="0" fillId="0" borderId="18" xfId="0" applyBorder="1" applyAlignment="1">
      <alignment horizontal="center"/>
    </xf>
    <xf numFmtId="0" fontId="0" fillId="34" borderId="13" xfId="0" applyFill="1" applyBorder="1"/>
    <xf numFmtId="0" fontId="0" fillId="34" borderId="15" xfId="0" applyFill="1" applyBorder="1"/>
    <xf numFmtId="0" fontId="0" fillId="34" borderId="16" xfId="0" applyFill="1" applyBorder="1"/>
    <xf numFmtId="164" fontId="0" fillId="34" borderId="14" xfId="0" applyNumberFormat="1" applyFill="1" applyBorder="1"/>
    <xf numFmtId="0" fontId="0" fillId="34" borderId="14" xfId="0" applyFill="1" applyBorder="1"/>
    <xf numFmtId="0" fontId="0" fillId="34" borderId="14" xfId="0" applyFill="1" applyBorder="1" applyAlignment="1">
      <alignment horizontal="center" vertical="center"/>
    </xf>
    <xf numFmtId="0" fontId="0" fillId="34" borderId="16" xfId="0" applyFill="1" applyBorder="1" applyAlignment="1">
      <alignment horizontal="center" vertical="center"/>
    </xf>
    <xf numFmtId="0" fontId="0" fillId="34" borderId="17" xfId="0" applyFill="1" applyBorder="1" applyAlignment="1">
      <alignment horizontal="center" vertical="center"/>
    </xf>
    <xf numFmtId="0" fontId="0" fillId="34" borderId="22" xfId="0" applyFill="1" applyBorder="1" applyAlignment="1">
      <alignment horizontal="center" vertical="center"/>
    </xf>
    <xf numFmtId="1" fontId="0" fillId="34" borderId="22" xfId="0" applyNumberFormat="1" applyFill="1" applyBorder="1" applyAlignment="1">
      <alignment horizontal="center" vertical="center"/>
    </xf>
    <xf numFmtId="164" fontId="0" fillId="34" borderId="23" xfId="0" applyNumberFormat="1" applyFill="1" applyBorder="1" applyAlignment="1">
      <alignment horizontal="center" vertical="center"/>
    </xf>
    <xf numFmtId="0" fontId="20" fillId="0" borderId="0" xfId="0" applyFont="1" applyAlignment="1">
      <alignment horizontal="left" vertical="center"/>
    </xf>
    <xf numFmtId="0" fontId="21" fillId="0" borderId="14" xfId="42" applyBorder="1"/>
    <xf numFmtId="0" fontId="0" fillId="0" borderId="14" xfId="0" applyBorder="1" applyAlignment="1">
      <alignment horizontal="left" vertical="center" wrapText="1"/>
    </xf>
    <xf numFmtId="0" fontId="0" fillId="0" borderId="17" xfId="0" applyBorder="1" applyAlignment="1">
      <alignment horizontal="left" vertical="center" wrapText="1"/>
    </xf>
    <xf numFmtId="0" fontId="0" fillId="0" borderId="14" xfId="0" applyBorder="1" applyAlignment="1">
      <alignment wrapText="1"/>
    </xf>
    <xf numFmtId="0" fontId="0" fillId="0" borderId="0" xfId="0" applyAlignment="1">
      <alignment vertical="center"/>
    </xf>
    <xf numFmtId="0" fontId="0" fillId="0" borderId="14" xfId="0" applyBorder="1" applyAlignment="1">
      <alignment vertical="center" wrapText="1"/>
    </xf>
    <xf numFmtId="0" fontId="16" fillId="0" borderId="13" xfId="0" applyFont="1" applyBorder="1" applyAlignment="1">
      <alignment horizontal="right" vertical="center"/>
    </xf>
    <xf numFmtId="0" fontId="16" fillId="0" borderId="15" xfId="0" applyFont="1" applyBorder="1" applyAlignment="1">
      <alignment horizontal="right" vertical="center"/>
    </xf>
    <xf numFmtId="0" fontId="0" fillId="0" borderId="0" xfId="0" applyAlignment="1">
      <alignment horizontal="left" vertical="center" wrapText="1"/>
    </xf>
    <xf numFmtId="0" fontId="0" fillId="0" borderId="17" xfId="0" applyBorder="1" applyAlignment="1">
      <alignment wrapText="1"/>
    </xf>
    <xf numFmtId="0" fontId="0" fillId="0" borderId="16" xfId="0" applyBorder="1" applyAlignment="1">
      <alignment horizontal="left" vertical="center" wrapText="1"/>
    </xf>
    <xf numFmtId="0" fontId="0" fillId="0" borderId="0" xfId="0" applyAlignment="1">
      <alignment horizontal="left" vertical="center"/>
    </xf>
    <xf numFmtId="0" fontId="16" fillId="0" borderId="11" xfId="0" applyFont="1" applyBorder="1"/>
    <xf numFmtId="0" fontId="16" fillId="0" borderId="12" xfId="0" applyFont="1" applyBorder="1"/>
    <xf numFmtId="0" fontId="16" fillId="0" borderId="18" xfId="0" applyFont="1" applyBorder="1" applyAlignment="1">
      <alignment horizontal="right" vertical="center"/>
    </xf>
    <xf numFmtId="0" fontId="16" fillId="0" borderId="20" xfId="0" applyFont="1" applyBorder="1" applyAlignment="1">
      <alignment horizontal="right" vertical="center"/>
    </xf>
    <xf numFmtId="0" fontId="16" fillId="0" borderId="19" xfId="0" applyFont="1" applyBorder="1" applyAlignment="1">
      <alignment horizontal="right" vertical="center"/>
    </xf>
    <xf numFmtId="0" fontId="16" fillId="0" borderId="10" xfId="0" applyFont="1" applyBorder="1" applyAlignment="1">
      <alignment horizontal="right" vertical="center"/>
    </xf>
    <xf numFmtId="0" fontId="0" fillId="34" borderId="0" xfId="0" applyFill="1" applyAlignment="1">
      <alignment horizontal="right" vertical="center"/>
    </xf>
    <xf numFmtId="0" fontId="0" fillId="34" borderId="0" xfId="0" applyFill="1"/>
    <xf numFmtId="1" fontId="0" fillId="34" borderId="0" xfId="0" applyNumberFormat="1" applyFill="1"/>
    <xf numFmtId="0" fontId="0" fillId="34" borderId="0" xfId="0" applyFill="1" applyAlignment="1">
      <alignment horizontal="center"/>
    </xf>
    <xf numFmtId="0" fontId="0" fillId="34" borderId="0" xfId="0" applyFill="1" applyAlignment="1">
      <alignment horizontal="center" vertical="center"/>
    </xf>
    <xf numFmtId="0" fontId="0" fillId="0" borderId="10" xfId="0" applyBorder="1" applyAlignment="1">
      <alignment horizontal="center" vertical="center"/>
    </xf>
    <xf numFmtId="0" fontId="0" fillId="0" borderId="12" xfId="0" applyBorder="1" applyAlignment="1">
      <alignment horizontal="center" vertical="center"/>
    </xf>
    <xf numFmtId="0" fontId="18" fillId="34" borderId="10" xfId="0" applyFont="1" applyFill="1" applyBorder="1" applyAlignment="1">
      <alignment horizontal="center" vertical="center"/>
    </xf>
    <xf numFmtId="0" fontId="18" fillId="34" borderId="11" xfId="0" applyFont="1" applyFill="1" applyBorder="1" applyAlignment="1">
      <alignment horizontal="center" vertical="center"/>
    </xf>
    <xf numFmtId="0" fontId="18" fillId="34" borderId="12" xfId="0" applyFont="1" applyFill="1" applyBorder="1" applyAlignment="1">
      <alignment horizontal="center" vertical="center"/>
    </xf>
    <xf numFmtId="0" fontId="18" fillId="34" borderId="13" xfId="0" applyFont="1" applyFill="1" applyBorder="1" applyAlignment="1">
      <alignment horizontal="center" vertical="center"/>
    </xf>
    <xf numFmtId="0" fontId="18" fillId="34" borderId="0" xfId="0" applyFont="1" applyFill="1" applyAlignment="1">
      <alignment horizontal="center" vertical="center"/>
    </xf>
    <xf numFmtId="0" fontId="18" fillId="34" borderId="14" xfId="0" applyFont="1" applyFill="1" applyBorder="1" applyAlignment="1">
      <alignment horizontal="center" vertical="center"/>
    </xf>
    <xf numFmtId="22" fontId="18" fillId="34" borderId="15" xfId="0" applyNumberFormat="1" applyFont="1" applyFill="1" applyBorder="1" applyAlignment="1">
      <alignment horizontal="center" vertical="center"/>
    </xf>
    <xf numFmtId="22" fontId="18" fillId="34" borderId="16" xfId="0" applyNumberFormat="1" applyFont="1" applyFill="1" applyBorder="1" applyAlignment="1">
      <alignment horizontal="center" vertical="center"/>
    </xf>
    <xf numFmtId="22" fontId="18" fillId="34" borderId="17" xfId="0" applyNumberFormat="1" applyFont="1" applyFill="1"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7">
    <dxf>
      <numFmt numFmtId="165" formatCode="&quot;$&quot;#,##0.00"/>
    </dxf>
    <dxf>
      <font>
        <b/>
        <i/>
      </font>
    </dxf>
    <dxf>
      <font>
        <b/>
        <i/>
      </font>
    </dxf>
    <dxf>
      <numFmt numFmtId="165" formatCode="&quot;$&quot;#,##0.00"/>
      <alignment horizontal="center" vertical="center" textRotation="0" wrapText="0" indent="0" justifyLastLine="0" shrinkToFit="0" readingOrder="0"/>
    </dxf>
    <dxf>
      <numFmt numFmtId="165" formatCode="&quot;$&quot;#,##0.00"/>
      <alignment horizontal="center" vertical="center" textRotation="0" wrapText="0" indent="0" justifyLastLine="0" shrinkToFit="0" readingOrder="0"/>
    </dxf>
    <dxf>
      <numFmt numFmtId="165" formatCode="&quot;$&quot;#,##0.00"/>
      <alignment horizontal="center" vertical="center" textRotation="0" wrapText="0" indent="0" justifyLastLine="0" shrinkToFit="0" readingOrder="0"/>
    </dxf>
    <dxf>
      <font>
        <b/>
        <i/>
      </font>
      <fill>
        <patternFill>
          <bgColor rgb="FFFFFF00"/>
        </patternFill>
      </fill>
    </dxf>
    <dxf>
      <font>
        <b/>
        <i/>
        <color theme="0"/>
      </font>
      <fill>
        <patternFill>
          <bgColor rgb="FF002060"/>
        </patternFill>
      </fill>
    </dxf>
    <dxf>
      <font>
        <color theme="0"/>
      </font>
      <fill>
        <patternFill>
          <bgColor rgb="FF002060"/>
        </patternFill>
      </fill>
    </dxf>
    <dxf>
      <font>
        <b/>
        <i/>
      </font>
      <fill>
        <patternFill>
          <bgColor rgb="FFFFFF00"/>
        </patternFill>
      </fill>
    </dxf>
    <dxf>
      <font>
        <b/>
        <i/>
        <color theme="0"/>
      </font>
      <fill>
        <patternFill>
          <bgColor rgb="FF002060"/>
        </patternFill>
      </fill>
    </dxf>
    <dxf>
      <font>
        <color theme="0"/>
      </font>
      <fill>
        <patternFill>
          <bgColor rgb="FF002060"/>
        </patternFill>
      </fill>
    </dxf>
    <dxf>
      <font>
        <b/>
        <i/>
      </font>
      <fill>
        <patternFill>
          <bgColor rgb="FFFFFF00"/>
        </patternFill>
      </fill>
    </dxf>
    <dxf>
      <font>
        <b/>
        <i/>
        <color theme="0"/>
      </font>
      <fill>
        <patternFill>
          <bgColor rgb="FF002060"/>
        </patternFill>
      </fill>
    </dxf>
    <dxf>
      <font>
        <color theme="0"/>
      </font>
      <fill>
        <patternFill>
          <bgColor rgb="FF002060"/>
        </patternFill>
      </fill>
    </dxf>
    <dxf>
      <font>
        <b/>
        <i/>
      </font>
      <fill>
        <patternFill>
          <bgColor rgb="FFFFFF00"/>
        </patternFill>
      </fill>
    </dxf>
    <dxf>
      <font>
        <b/>
        <i/>
        <color theme="0"/>
      </font>
      <fill>
        <patternFill>
          <bgColor rgb="FF002060"/>
        </patternFill>
      </fill>
    </dxf>
    <dxf>
      <font>
        <color theme="0"/>
      </font>
      <fill>
        <patternFill>
          <bgColor rgb="FF002060"/>
        </patternFill>
      </fill>
    </dxf>
    <dxf>
      <font>
        <b/>
        <i/>
      </font>
      <fill>
        <patternFill>
          <bgColor rgb="FFFFFF00"/>
        </patternFill>
      </fill>
    </dxf>
    <dxf>
      <font>
        <b/>
        <i/>
        <color theme="0"/>
      </font>
      <fill>
        <patternFill>
          <bgColor rgb="FF002060"/>
        </patternFill>
      </fill>
    </dxf>
    <dxf>
      <font>
        <color theme="0"/>
      </font>
      <fill>
        <patternFill>
          <bgColor rgb="FF002060"/>
        </patternFill>
      </fill>
    </dxf>
    <dxf>
      <font>
        <b/>
        <i/>
      </font>
    </dxf>
    <dxf>
      <font>
        <b/>
        <i/>
      </font>
    </dxf>
    <dxf>
      <font>
        <b/>
        <i/>
      </font>
    </dxf>
    <dxf>
      <font>
        <b/>
        <i/>
      </font>
    </dxf>
    <dxf>
      <font>
        <b/>
        <i/>
      </font>
    </dxf>
    <dxf>
      <font>
        <b/>
        <i/>
      </font>
    </dxf>
    <dxf>
      <font>
        <b/>
        <i/>
      </font>
    </dxf>
    <dxf>
      <font>
        <b/>
        <i/>
      </font>
    </dxf>
    <dxf>
      <font>
        <b/>
        <i/>
      </font>
    </dxf>
    <dxf>
      <font>
        <b/>
        <i/>
      </font>
      <fill>
        <patternFill>
          <bgColor rgb="FFFFFF00"/>
        </patternFill>
      </fill>
    </dxf>
    <dxf>
      <font>
        <b/>
        <i/>
        <color theme="0"/>
      </font>
      <fill>
        <patternFill>
          <bgColor rgb="FF002060"/>
        </patternFill>
      </fill>
    </dxf>
    <dxf>
      <font>
        <color theme="0"/>
      </font>
      <fill>
        <patternFill>
          <bgColor rgb="FF002060"/>
        </patternFill>
      </fill>
    </dxf>
    <dxf>
      <font>
        <b/>
        <i/>
      </font>
      <fill>
        <patternFill>
          <bgColor rgb="FFFFFF00"/>
        </patternFill>
      </fill>
    </dxf>
    <dxf>
      <font>
        <b/>
        <i/>
        <color theme="0"/>
      </font>
      <fill>
        <patternFill>
          <bgColor rgb="FF002060"/>
        </patternFill>
      </fill>
    </dxf>
    <dxf>
      <font>
        <color theme="0"/>
      </font>
      <fill>
        <patternFill>
          <bgColor rgb="FF002060"/>
        </patternFill>
      </fill>
    </dxf>
    <dxf>
      <font>
        <b/>
        <i/>
      </font>
      <fill>
        <patternFill>
          <bgColor rgb="FFFFFF00"/>
        </patternFill>
      </fill>
    </dxf>
    <dxf>
      <font>
        <b/>
        <i/>
        <color theme="0"/>
      </font>
      <fill>
        <patternFill>
          <bgColor rgb="FF002060"/>
        </patternFill>
      </fill>
    </dxf>
    <dxf>
      <font>
        <color theme="0"/>
      </font>
      <fill>
        <patternFill>
          <bgColor rgb="FF002060"/>
        </patternFill>
      </fill>
    </dxf>
    <dxf>
      <font>
        <b/>
        <i/>
      </font>
      <fill>
        <patternFill>
          <bgColor rgb="FFFFFF00"/>
        </patternFill>
      </fill>
    </dxf>
    <dxf>
      <font>
        <b/>
        <i/>
        <color theme="0"/>
      </font>
      <fill>
        <patternFill>
          <bgColor rgb="FF002060"/>
        </patternFill>
      </fill>
    </dxf>
    <dxf>
      <font>
        <color theme="0"/>
      </font>
      <fill>
        <patternFill>
          <bgColor rgb="FF002060"/>
        </patternFill>
      </fill>
    </dxf>
    <dxf>
      <font>
        <b/>
        <i/>
      </font>
      <fill>
        <patternFill>
          <bgColor rgb="FFFFFF00"/>
        </patternFill>
      </fill>
    </dxf>
    <dxf>
      <font>
        <b/>
        <i/>
        <color theme="0"/>
      </font>
      <fill>
        <patternFill>
          <bgColor rgb="FF002060"/>
        </patternFill>
      </fill>
    </dxf>
    <dxf>
      <font>
        <color theme="0"/>
      </font>
      <fill>
        <patternFill>
          <bgColor rgb="FF002060"/>
        </patternFill>
      </fill>
    </dxf>
    <dxf>
      <font>
        <b/>
        <i/>
      </font>
    </dxf>
    <dxf>
      <font>
        <b/>
        <i/>
      </font>
    </dxf>
    <dxf>
      <font>
        <b/>
        <i/>
      </font>
    </dxf>
    <dxf>
      <font>
        <b/>
        <i/>
      </font>
    </dxf>
    <dxf>
      <font>
        <b/>
        <i/>
      </font>
    </dxf>
    <dxf>
      <font>
        <b/>
        <i/>
      </font>
    </dxf>
    <dxf>
      <font>
        <b/>
        <i/>
      </font>
    </dxf>
    <dxf>
      <font>
        <b/>
        <i/>
      </font>
    </dxf>
    <dxf>
      <font>
        <b/>
        <i/>
      </font>
    </dxf>
    <dxf>
      <font>
        <b/>
        <i/>
      </font>
      <fill>
        <patternFill>
          <bgColor rgb="FFFFFF00"/>
        </patternFill>
      </fill>
    </dxf>
    <dxf>
      <font>
        <b/>
        <i/>
        <color theme="0"/>
      </font>
      <fill>
        <patternFill>
          <bgColor rgb="FF002060"/>
        </patternFill>
      </fill>
    </dxf>
    <dxf>
      <font>
        <color theme="0"/>
      </font>
      <fill>
        <patternFill>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microsoft.com/office/2007/relationships/slicerCache" Target="slicerCaches/slicerCache4.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3.xml"/><Relationship Id="rId25" Type="http://schemas.microsoft.com/office/2017/10/relationships/person" Target="persons/person.xml"/><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haredStrings" Target="sharedStrings.xml"/><Relationship Id="rId28" Type="http://schemas.openxmlformats.org/officeDocument/2006/relationships/customXml" Target="../customXml/item2.xml"/><Relationship Id="rId10" Type="http://schemas.openxmlformats.org/officeDocument/2006/relationships/worksheet" Target="worksheets/sheet10.xml"/><Relationship Id="rId19" Type="http://schemas.microsoft.com/office/2007/relationships/slicerCache" Target="slicerCaches/slicerCache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styles" Target="styles.xml"/><Relationship Id="rId27" Type="http://schemas.openxmlformats.org/officeDocument/2006/relationships/customXml" Target="../customXml/item1.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Distribution</a:t>
            </a:r>
            <a:r>
              <a:rPr lang="en-US" baseline="0"/>
              <a:t> of Expenses</a:t>
            </a:r>
            <a:endParaRPr lang="en-US"/>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4544-452C-962B-054D14E88745}"/>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4544-452C-962B-054D14E88745}"/>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4544-452C-962B-054D14E88745}"/>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4544-452C-962B-054D14E8874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'Financial Solver'!$G$12:$G$15</c:f>
              <c:strCache>
                <c:ptCount val="4"/>
                <c:pt idx="0">
                  <c:v>Mortgage:</c:v>
                </c:pt>
                <c:pt idx="1">
                  <c:v>Bill:</c:v>
                </c:pt>
                <c:pt idx="2">
                  <c:v>Food:</c:v>
                </c:pt>
                <c:pt idx="3">
                  <c:v>Others:</c:v>
                </c:pt>
              </c:strCache>
            </c:strRef>
          </c:cat>
          <c:val>
            <c:numRef>
              <c:f>'Financial Solver'!$H$12:$H$15</c:f>
              <c:numCache>
                <c:formatCode>"$"#,##0.00</c:formatCode>
                <c:ptCount val="4"/>
                <c:pt idx="0">
                  <c:v>500</c:v>
                </c:pt>
                <c:pt idx="1">
                  <c:v>300</c:v>
                </c:pt>
                <c:pt idx="2">
                  <c:v>500</c:v>
                </c:pt>
                <c:pt idx="3">
                  <c:v>200</c:v>
                </c:pt>
              </c:numCache>
            </c:numRef>
          </c:val>
          <c:extLst>
            <c:ext xmlns:c16="http://schemas.microsoft.com/office/drawing/2014/chart" uri="{C3380CC4-5D6E-409C-BE32-E72D297353CC}">
              <c16:uniqueId val="{00000000-3207-46D5-B7B9-08E2CE5DA522}"/>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Distribution of Income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4965019556690729"/>
          <c:y val="0.17374999999999999"/>
          <c:w val="0.68136608699074896"/>
          <c:h val="0.70959135316418775"/>
        </c:manualLayout>
      </c:layout>
      <c:bar3DChart>
        <c:barDir val="bar"/>
        <c:grouping val="stack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'Financial Solver'!$G$5:$G$8</c:f>
              <c:strCache>
                <c:ptCount val="4"/>
                <c:pt idx="0">
                  <c:v>Income from Salary Annual:</c:v>
                </c:pt>
                <c:pt idx="1">
                  <c:v>Income from Other source Annual:</c:v>
                </c:pt>
                <c:pt idx="2">
                  <c:v>Income from Investments Annually:</c:v>
                </c:pt>
                <c:pt idx="3">
                  <c:v>Gross Income Annual:</c:v>
                </c:pt>
              </c:strCache>
            </c:strRef>
          </c:cat>
          <c:val>
            <c:numRef>
              <c:f>'Financial Solver'!$H$5:$H$8</c:f>
              <c:numCache>
                <c:formatCode>"$"#,##0.00</c:formatCode>
                <c:ptCount val="4"/>
                <c:pt idx="0">
                  <c:v>70000</c:v>
                </c:pt>
                <c:pt idx="1">
                  <c:v>10000</c:v>
                </c:pt>
                <c:pt idx="2">
                  <c:v>10000</c:v>
                </c:pt>
                <c:pt idx="3">
                  <c:v>90000</c:v>
                </c:pt>
              </c:numCache>
            </c:numRef>
          </c:val>
          <c:extLst>
            <c:ext xmlns:c16="http://schemas.microsoft.com/office/drawing/2014/chart" uri="{C3380CC4-5D6E-409C-BE32-E72D297353CC}">
              <c16:uniqueId val="{00000000-59CA-4A2C-9DE3-F8A12ECF4D27}"/>
            </c:ext>
          </c:extLst>
        </c:ser>
        <c:dLbls>
          <c:showLegendKey val="0"/>
          <c:showVal val="0"/>
          <c:showCatName val="0"/>
          <c:showSerName val="0"/>
          <c:showPercent val="0"/>
          <c:showBubbleSize val="0"/>
        </c:dLbls>
        <c:gapWidth val="150"/>
        <c:shape val="box"/>
        <c:axId val="572705840"/>
        <c:axId val="294931104"/>
        <c:axId val="0"/>
      </c:bar3DChart>
      <c:catAx>
        <c:axId val="5727058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94931104"/>
        <c:crosses val="autoZero"/>
        <c:auto val="1"/>
        <c:lblAlgn val="ctr"/>
        <c:lblOffset val="100"/>
        <c:noMultiLvlLbl val="0"/>
      </c:catAx>
      <c:valAx>
        <c:axId val="294931104"/>
        <c:scaling>
          <c:orientation val="minMax"/>
        </c:scaling>
        <c:delete val="0"/>
        <c:axPos val="b"/>
        <c:majorGridlines>
          <c:spPr>
            <a:ln w="9525" cap="flat" cmpd="sng" algn="ctr">
              <a:solidFill>
                <a:schemeClr val="dk1">
                  <a:lumMod val="50000"/>
                  <a:lumOff val="50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27058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 Price of Quartz Watch</a:t>
            </a:r>
          </a:p>
        </c:rich>
      </c:tx>
      <c:layout>
        <c:manualLayout>
          <c:xMode val="edge"/>
          <c:yMode val="edge"/>
          <c:x val="0.31908854751090593"/>
          <c:y val="2.6005399325084368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975377250229195"/>
          <c:y val="0.13421439820022496"/>
          <c:w val="0.85597184387196212"/>
          <c:h val="0.51638177727784029"/>
        </c:manualLayout>
      </c:layout>
      <c:bar3DChart>
        <c:barDir val="col"/>
        <c:grouping val="clustered"/>
        <c:varyColors val="0"/>
        <c:ser>
          <c:idx val="0"/>
          <c:order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'Filter 1'!$C$122:$C$425</c:f>
              <c:strCache>
                <c:ptCount val="12"/>
                <c:pt idx="0">
                  <c:v>Precisionist Stainless Steel 46.5</c:v>
                </c:pt>
                <c:pt idx="1">
                  <c:v>Conquest VHP Stainless Steel 41</c:v>
                </c:pt>
                <c:pt idx="2">
                  <c:v>True Thinline High-Tech Ceramic 39</c:v>
                </c:pt>
                <c:pt idx="3">
                  <c:v>Aquaracer Stainless Steel 32</c:v>
                </c:pt>
                <c:pt idx="4">
                  <c:v>Aquaracer Stainless Steel 43</c:v>
                </c:pt>
                <c:pt idx="5">
                  <c:v>Aquaracer Stainless Steel 43</c:v>
                </c:pt>
                <c:pt idx="6">
                  <c:v>Tank Solo Stainless Steel 31</c:v>
                </c:pt>
                <c:pt idx="7">
                  <c:v>Tank Solo Stainless Steel 31</c:v>
                </c:pt>
                <c:pt idx="8">
                  <c:v>Santos-Dumont Stainless Steel 38</c:v>
                </c:pt>
                <c:pt idx="9">
                  <c:v>Happy Sport Stainless Steel 30</c:v>
                </c:pt>
                <c:pt idx="10">
                  <c:v>Santos-Dumont Stainless Steel 43.5</c:v>
                </c:pt>
                <c:pt idx="11">
                  <c:v>Happy Sport Stainless Steel 30</c:v>
                </c:pt>
              </c:strCache>
            </c:strRef>
          </c:cat>
          <c:val>
            <c:numRef>
              <c:f>'Filter 1'!$N$122:$N$425</c:f>
              <c:numCache>
                <c:formatCode>"$"#,##0</c:formatCode>
                <c:ptCount val="12"/>
                <c:pt idx="0">
                  <c:v>650</c:v>
                </c:pt>
                <c:pt idx="1">
                  <c:v>1500</c:v>
                </c:pt>
                <c:pt idx="2">
                  <c:v>1600</c:v>
                </c:pt>
                <c:pt idx="3">
                  <c:v>1700</c:v>
                </c:pt>
                <c:pt idx="4">
                  <c:v>1800</c:v>
                </c:pt>
                <c:pt idx="5">
                  <c:v>2600</c:v>
                </c:pt>
                <c:pt idx="6">
                  <c:v>2800</c:v>
                </c:pt>
                <c:pt idx="7">
                  <c:v>2800</c:v>
                </c:pt>
                <c:pt idx="8">
                  <c:v>3500</c:v>
                </c:pt>
                <c:pt idx="9">
                  <c:v>5000</c:v>
                </c:pt>
                <c:pt idx="10">
                  <c:v>5300</c:v>
                </c:pt>
                <c:pt idx="11">
                  <c:v>5800</c:v>
                </c:pt>
              </c:numCache>
            </c:numRef>
          </c:val>
          <c:extLst>
            <c:ext xmlns:c16="http://schemas.microsoft.com/office/drawing/2014/chart" uri="{C3380CC4-5D6E-409C-BE32-E72D297353CC}">
              <c16:uniqueId val="{00000000-6804-4A70-A1B8-38E469F3E082}"/>
            </c:ext>
          </c:extLst>
        </c:ser>
        <c:dLbls>
          <c:showLegendKey val="0"/>
          <c:showVal val="0"/>
          <c:showCatName val="0"/>
          <c:showSerName val="0"/>
          <c:showPercent val="0"/>
          <c:showBubbleSize val="0"/>
        </c:dLbls>
        <c:gapWidth val="65"/>
        <c:shape val="box"/>
        <c:axId val="1562495679"/>
        <c:axId val="1578982143"/>
        <c:axId val="0"/>
      </c:bar3DChart>
      <c:catAx>
        <c:axId val="156249567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1" i="0" u="none" strike="noStrike" kern="1200" cap="all" baseline="0">
                <a:solidFill>
                  <a:schemeClr val="dk1">
                    <a:lumMod val="75000"/>
                    <a:lumOff val="25000"/>
                  </a:schemeClr>
                </a:solidFill>
                <a:latin typeface="+mn-lt"/>
                <a:ea typeface="+mn-ea"/>
                <a:cs typeface="+mn-cs"/>
              </a:defRPr>
            </a:pPr>
            <a:endParaRPr lang="en-US"/>
          </a:p>
        </c:txPr>
        <c:crossAx val="1578982143"/>
        <c:crosses val="autoZero"/>
        <c:auto val="1"/>
        <c:lblAlgn val="ctr"/>
        <c:lblOffset val="100"/>
        <c:noMultiLvlLbl val="0"/>
      </c:catAx>
      <c:valAx>
        <c:axId val="1578982143"/>
        <c:scaling>
          <c:orientation val="minMax"/>
        </c:scaling>
        <c:delete val="0"/>
        <c:axPos val="l"/>
        <c:majorGridlines>
          <c:spPr>
            <a:ln w="9525" cap="flat" cmpd="sng" algn="ctr">
              <a:solidFill>
                <a:schemeClr val="dk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crossAx val="15624956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[NguyenN_Mod3b.xlsm]Pivot 1!PivotTable1</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 Price of Watch Brands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1'!$B$3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1'!$A$4:$A$39</c:f>
              <c:strCache>
                <c:ptCount val="36"/>
                <c:pt idx="0">
                  <c:v>Tissot</c:v>
                </c:pt>
                <c:pt idx="1">
                  <c:v>Bulova</c:v>
                </c:pt>
                <c:pt idx="2">
                  <c:v>Hamilton</c:v>
                </c:pt>
                <c:pt idx="3">
                  <c:v>Seiko</c:v>
                </c:pt>
                <c:pt idx="4">
                  <c:v>Frederique Constant</c:v>
                </c:pt>
                <c:pt idx="5">
                  <c:v>Rado</c:v>
                </c:pt>
                <c:pt idx="6">
                  <c:v>Oris</c:v>
                </c:pt>
                <c:pt idx="7">
                  <c:v>Longines</c:v>
                </c:pt>
                <c:pt idx="8">
                  <c:v>Sinn</c:v>
                </c:pt>
                <c:pt idx="9">
                  <c:v>Baume &amp; Mercier</c:v>
                </c:pt>
                <c:pt idx="10">
                  <c:v>Bell &amp; Ross</c:v>
                </c:pt>
                <c:pt idx="11">
                  <c:v>TAG Heuer</c:v>
                </c:pt>
                <c:pt idx="12">
                  <c:v>Tudor</c:v>
                </c:pt>
                <c:pt idx="13">
                  <c:v>Montblanc</c:v>
                </c:pt>
                <c:pt idx="14">
                  <c:v>Breitling</c:v>
                </c:pt>
                <c:pt idx="15">
                  <c:v>Omega</c:v>
                </c:pt>
                <c:pt idx="16">
                  <c:v>Chopard</c:v>
                </c:pt>
                <c:pt idx="17">
                  <c:v>Zenith</c:v>
                </c:pt>
                <c:pt idx="18">
                  <c:v>Cartier</c:v>
                </c:pt>
                <c:pt idx="19">
                  <c:v>Jaeger-LeCoultre</c:v>
                </c:pt>
                <c:pt idx="20">
                  <c:v>IWC</c:v>
                </c:pt>
                <c:pt idx="21">
                  <c:v>Panerai</c:v>
                </c:pt>
                <c:pt idx="22">
                  <c:v>Ulysse Nardin</c:v>
                </c:pt>
                <c:pt idx="23">
                  <c:v>Jaquet Droz</c:v>
                </c:pt>
                <c:pt idx="24">
                  <c:v>Glashütte Original</c:v>
                </c:pt>
                <c:pt idx="25">
                  <c:v>Girard-Perregaux</c:v>
                </c:pt>
                <c:pt idx="26">
                  <c:v>Bulgari</c:v>
                </c:pt>
                <c:pt idx="27">
                  <c:v>Rolex</c:v>
                </c:pt>
                <c:pt idx="28">
                  <c:v>Blancpain</c:v>
                </c:pt>
                <c:pt idx="29">
                  <c:v>Hublot</c:v>
                </c:pt>
                <c:pt idx="30">
                  <c:v>Piaget</c:v>
                </c:pt>
                <c:pt idx="31">
                  <c:v>Vacheron Constantin</c:v>
                </c:pt>
                <c:pt idx="32">
                  <c:v>Breguet</c:v>
                </c:pt>
                <c:pt idx="33">
                  <c:v>A. Lange &amp; Söhne</c:v>
                </c:pt>
                <c:pt idx="34">
                  <c:v>Audemars Piguet</c:v>
                </c:pt>
                <c:pt idx="35">
                  <c:v>Patek Philippe</c:v>
                </c:pt>
              </c:strCache>
            </c:strRef>
          </c:cat>
          <c:val>
            <c:numRef>
              <c:f>'Pivot 1'!$B$4:$B$39</c:f>
              <c:numCache>
                <c:formatCode>"$"#,##0.00</c:formatCode>
                <c:ptCount val="36"/>
                <c:pt idx="0">
                  <c:v>650</c:v>
                </c:pt>
                <c:pt idx="1">
                  <c:v>650</c:v>
                </c:pt>
                <c:pt idx="2">
                  <c:v>696.25</c:v>
                </c:pt>
                <c:pt idx="3">
                  <c:v>1150</c:v>
                </c:pt>
                <c:pt idx="4">
                  <c:v>1300</c:v>
                </c:pt>
                <c:pt idx="5">
                  <c:v>1600</c:v>
                </c:pt>
                <c:pt idx="6">
                  <c:v>1650</c:v>
                </c:pt>
                <c:pt idx="7">
                  <c:v>1730</c:v>
                </c:pt>
                <c:pt idx="8">
                  <c:v>2416.6666666666665</c:v>
                </c:pt>
                <c:pt idx="9">
                  <c:v>2750</c:v>
                </c:pt>
                <c:pt idx="10">
                  <c:v>3299.75</c:v>
                </c:pt>
                <c:pt idx="11">
                  <c:v>3800</c:v>
                </c:pt>
                <c:pt idx="12">
                  <c:v>3842.8571428571427</c:v>
                </c:pt>
                <c:pt idx="13">
                  <c:v>4216.666666666667</c:v>
                </c:pt>
                <c:pt idx="14">
                  <c:v>4693.75</c:v>
                </c:pt>
                <c:pt idx="15">
                  <c:v>5321.739130434783</c:v>
                </c:pt>
                <c:pt idx="16">
                  <c:v>6028.5714285714284</c:v>
                </c:pt>
                <c:pt idx="17">
                  <c:v>6686.666666666667</c:v>
                </c:pt>
                <c:pt idx="18">
                  <c:v>6715.7894736842109</c:v>
                </c:pt>
                <c:pt idx="19">
                  <c:v>6775</c:v>
                </c:pt>
                <c:pt idx="20">
                  <c:v>7133.333333333333</c:v>
                </c:pt>
                <c:pt idx="21">
                  <c:v>7408</c:v>
                </c:pt>
                <c:pt idx="22">
                  <c:v>8420</c:v>
                </c:pt>
                <c:pt idx="23">
                  <c:v>8800</c:v>
                </c:pt>
                <c:pt idx="24">
                  <c:v>9200</c:v>
                </c:pt>
                <c:pt idx="25">
                  <c:v>9535</c:v>
                </c:pt>
                <c:pt idx="26">
                  <c:v>10933.333333333334</c:v>
                </c:pt>
                <c:pt idx="27">
                  <c:v>10964.814814814816</c:v>
                </c:pt>
                <c:pt idx="28">
                  <c:v>13134.48275862069</c:v>
                </c:pt>
                <c:pt idx="29">
                  <c:v>13350</c:v>
                </c:pt>
                <c:pt idx="30">
                  <c:v>16383.333333333334</c:v>
                </c:pt>
                <c:pt idx="31">
                  <c:v>19356</c:v>
                </c:pt>
                <c:pt idx="32">
                  <c:v>20696.153846153848</c:v>
                </c:pt>
                <c:pt idx="33">
                  <c:v>21266.666666666668</c:v>
                </c:pt>
                <c:pt idx="34">
                  <c:v>23734.21052631579</c:v>
                </c:pt>
                <c:pt idx="35">
                  <c:v>38233.333333333336</c:v>
                </c:pt>
              </c:numCache>
            </c:numRef>
          </c:val>
          <c:extLst>
            <c:ext xmlns:c16="http://schemas.microsoft.com/office/drawing/2014/chart" uri="{C3380CC4-5D6E-409C-BE32-E72D297353CC}">
              <c16:uniqueId val="{00000002-B065-4F67-95EB-737236381C01}"/>
            </c:ext>
          </c:extLst>
        </c:ser>
        <c:dLbls>
          <c:showLegendKey val="0"/>
          <c:showVal val="0"/>
          <c:showCatName val="0"/>
          <c:showSerName val="0"/>
          <c:showPercent val="0"/>
          <c:showBubbleSize val="0"/>
        </c:dLbls>
        <c:gapWidth val="115"/>
        <c:overlap val="-20"/>
        <c:axId val="572705360"/>
        <c:axId val="777447104"/>
      </c:barChart>
      <c:catAx>
        <c:axId val="572705360"/>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77447104"/>
        <c:crosses val="autoZero"/>
        <c:auto val="1"/>
        <c:lblAlgn val="ctr"/>
        <c:lblOffset val="100"/>
        <c:noMultiLvlLbl val="0"/>
      </c:catAx>
      <c:valAx>
        <c:axId val="777447104"/>
        <c:scaling>
          <c:orientation val="minMax"/>
        </c:scaling>
        <c:delete val="0"/>
        <c:axPos val="b"/>
        <c:majorGridlines>
          <c:spPr>
            <a:ln w="9525" cap="flat" cmpd="sng" algn="ctr">
              <a:solidFill>
                <a:schemeClr val="lt1">
                  <a:lumMod val="95000"/>
                  <a:alpha val="10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2705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[NguyenN_Mod3b.xlsm]Pivot 1!PivotTable3</c:name>
    <c:fmtId val="1"/>
  </c:pivotSource>
  <c:chart>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'Pivot 1'!$B$53</c:f>
              <c:strCache>
                <c:ptCount val="1"/>
                <c:pt idx="0">
                  <c:v>Average of Power Reserve</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1'!$A$54:$A$73</c:f>
              <c:strCache>
                <c:ptCount val="20"/>
                <c:pt idx="0">
                  <c:v>Blancpain</c:v>
                </c:pt>
                <c:pt idx="1">
                  <c:v>Breguet</c:v>
                </c:pt>
                <c:pt idx="2">
                  <c:v>Breitling</c:v>
                </c:pt>
                <c:pt idx="3">
                  <c:v>Bulgari</c:v>
                </c:pt>
                <c:pt idx="4">
                  <c:v>Cartier</c:v>
                </c:pt>
                <c:pt idx="5">
                  <c:v>Chopard</c:v>
                </c:pt>
                <c:pt idx="6">
                  <c:v>Girard-Perregaux</c:v>
                </c:pt>
                <c:pt idx="7">
                  <c:v>Glashütte Original</c:v>
                </c:pt>
                <c:pt idx="8">
                  <c:v>Hublot</c:v>
                </c:pt>
                <c:pt idx="9">
                  <c:v>IWC</c:v>
                </c:pt>
                <c:pt idx="10">
                  <c:v>Jaeger-LeCoultre</c:v>
                </c:pt>
                <c:pt idx="11">
                  <c:v>Jaquet Droz</c:v>
                </c:pt>
                <c:pt idx="12">
                  <c:v>Montblanc</c:v>
                </c:pt>
                <c:pt idx="13">
                  <c:v>Omega</c:v>
                </c:pt>
                <c:pt idx="14">
                  <c:v>Panerai</c:v>
                </c:pt>
                <c:pt idx="15">
                  <c:v>Piaget</c:v>
                </c:pt>
                <c:pt idx="16">
                  <c:v>Rolex</c:v>
                </c:pt>
                <c:pt idx="17">
                  <c:v>TAG Heuer</c:v>
                </c:pt>
                <c:pt idx="18">
                  <c:v>Ulysse Nardin</c:v>
                </c:pt>
                <c:pt idx="19">
                  <c:v>Zenith</c:v>
                </c:pt>
              </c:strCache>
            </c:strRef>
          </c:cat>
          <c:val>
            <c:numRef>
              <c:f>'Pivot 1'!$B$54:$B$73</c:f>
              <c:numCache>
                <c:formatCode>0.00</c:formatCode>
                <c:ptCount val="20"/>
                <c:pt idx="0">
                  <c:v>120</c:v>
                </c:pt>
                <c:pt idx="1">
                  <c:v>48</c:v>
                </c:pt>
                <c:pt idx="2">
                  <c:v>70</c:v>
                </c:pt>
                <c:pt idx="3">
                  <c:v>55</c:v>
                </c:pt>
                <c:pt idx="4">
                  <c:v>42</c:v>
                </c:pt>
                <c:pt idx="5">
                  <c:v>43.636363636363633</c:v>
                </c:pt>
                <c:pt idx="6">
                  <c:v>50.307692307692307</c:v>
                </c:pt>
                <c:pt idx="7">
                  <c:v>40</c:v>
                </c:pt>
                <c:pt idx="8">
                  <c:v>45.75</c:v>
                </c:pt>
                <c:pt idx="9">
                  <c:v>57.6875</c:v>
                </c:pt>
                <c:pt idx="10">
                  <c:v>60.93333333333333</c:v>
                </c:pt>
                <c:pt idx="11">
                  <c:v>68</c:v>
                </c:pt>
                <c:pt idx="12">
                  <c:v>42</c:v>
                </c:pt>
                <c:pt idx="13">
                  <c:v>52</c:v>
                </c:pt>
                <c:pt idx="14">
                  <c:v>66.416666666666671</c:v>
                </c:pt>
                <c:pt idx="15">
                  <c:v>50</c:v>
                </c:pt>
                <c:pt idx="16">
                  <c:v>68.086956521739125</c:v>
                </c:pt>
                <c:pt idx="17">
                  <c:v>41.333333333333336</c:v>
                </c:pt>
                <c:pt idx="18">
                  <c:v>60</c:v>
                </c:pt>
                <c:pt idx="19">
                  <c:v>50</c:v>
                </c:pt>
              </c:numCache>
            </c:numRef>
          </c:val>
          <c:extLst>
            <c:ext xmlns:c16="http://schemas.microsoft.com/office/drawing/2014/chart" uri="{C3380CC4-5D6E-409C-BE32-E72D297353CC}">
              <c16:uniqueId val="{00000000-6725-44E9-9AD6-2849E1311910}"/>
            </c:ext>
          </c:extLst>
        </c:ser>
        <c:ser>
          <c:idx val="1"/>
          <c:order val="1"/>
          <c:tx>
            <c:strRef>
              <c:f>'Pivot 1'!$C$53</c:f>
              <c:strCache>
                <c:ptCount val="1"/>
                <c:pt idx="0">
                  <c:v>Average of Water Resistance</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1'!$A$54:$A$73</c:f>
              <c:strCache>
                <c:ptCount val="20"/>
                <c:pt idx="0">
                  <c:v>Blancpain</c:v>
                </c:pt>
                <c:pt idx="1">
                  <c:v>Breguet</c:v>
                </c:pt>
                <c:pt idx="2">
                  <c:v>Breitling</c:v>
                </c:pt>
                <c:pt idx="3">
                  <c:v>Bulgari</c:v>
                </c:pt>
                <c:pt idx="4">
                  <c:v>Cartier</c:v>
                </c:pt>
                <c:pt idx="5">
                  <c:v>Chopard</c:v>
                </c:pt>
                <c:pt idx="6">
                  <c:v>Girard-Perregaux</c:v>
                </c:pt>
                <c:pt idx="7">
                  <c:v>Glashütte Original</c:v>
                </c:pt>
                <c:pt idx="8">
                  <c:v>Hublot</c:v>
                </c:pt>
                <c:pt idx="9">
                  <c:v>IWC</c:v>
                </c:pt>
                <c:pt idx="10">
                  <c:v>Jaeger-LeCoultre</c:v>
                </c:pt>
                <c:pt idx="11">
                  <c:v>Jaquet Droz</c:v>
                </c:pt>
                <c:pt idx="12">
                  <c:v>Montblanc</c:v>
                </c:pt>
                <c:pt idx="13">
                  <c:v>Omega</c:v>
                </c:pt>
                <c:pt idx="14">
                  <c:v>Panerai</c:v>
                </c:pt>
                <c:pt idx="15">
                  <c:v>Piaget</c:v>
                </c:pt>
                <c:pt idx="16">
                  <c:v>Rolex</c:v>
                </c:pt>
                <c:pt idx="17">
                  <c:v>TAG Heuer</c:v>
                </c:pt>
                <c:pt idx="18">
                  <c:v>Ulysse Nardin</c:v>
                </c:pt>
                <c:pt idx="19">
                  <c:v>Zenith</c:v>
                </c:pt>
              </c:strCache>
            </c:strRef>
          </c:cat>
          <c:val>
            <c:numRef>
              <c:f>'Pivot 1'!$C$54:$C$73</c:f>
              <c:numCache>
                <c:formatCode>0.00</c:formatCode>
                <c:ptCount val="20"/>
                <c:pt idx="0">
                  <c:v>300</c:v>
                </c:pt>
                <c:pt idx="1">
                  <c:v>100</c:v>
                </c:pt>
                <c:pt idx="2">
                  <c:v>86.666666666666671</c:v>
                </c:pt>
                <c:pt idx="3">
                  <c:v>30</c:v>
                </c:pt>
                <c:pt idx="4">
                  <c:v>72</c:v>
                </c:pt>
                <c:pt idx="5">
                  <c:v>48.333333333333336</c:v>
                </c:pt>
                <c:pt idx="6">
                  <c:v>100</c:v>
                </c:pt>
                <c:pt idx="7">
                  <c:v>50</c:v>
                </c:pt>
                <c:pt idx="8">
                  <c:v>56.25</c:v>
                </c:pt>
                <c:pt idx="9">
                  <c:v>35.625</c:v>
                </c:pt>
                <c:pt idx="10">
                  <c:v>47.333333333333336</c:v>
                </c:pt>
                <c:pt idx="11">
                  <c:v>30</c:v>
                </c:pt>
                <c:pt idx="12">
                  <c:v>100</c:v>
                </c:pt>
                <c:pt idx="13">
                  <c:v>123.33333333333333</c:v>
                </c:pt>
                <c:pt idx="14">
                  <c:v>247.08333333333334</c:v>
                </c:pt>
                <c:pt idx="15">
                  <c:v>100</c:v>
                </c:pt>
                <c:pt idx="16">
                  <c:v>117.39130434782609</c:v>
                </c:pt>
                <c:pt idx="17">
                  <c:v>100</c:v>
                </c:pt>
                <c:pt idx="18">
                  <c:v>135</c:v>
                </c:pt>
                <c:pt idx="19">
                  <c:v>91.071428571428569</c:v>
                </c:pt>
              </c:numCache>
            </c:numRef>
          </c:val>
          <c:extLst>
            <c:ext xmlns:c16="http://schemas.microsoft.com/office/drawing/2014/chart" uri="{C3380CC4-5D6E-409C-BE32-E72D297353CC}">
              <c16:uniqueId val="{00000001-6725-44E9-9AD6-2849E1311910}"/>
            </c:ext>
          </c:extLst>
        </c:ser>
        <c:dLbls>
          <c:dLblPos val="ctr"/>
          <c:showLegendKey val="0"/>
          <c:showVal val="1"/>
          <c:showCatName val="0"/>
          <c:showSerName val="0"/>
          <c:showPercent val="0"/>
          <c:showBubbleSize val="0"/>
        </c:dLbls>
        <c:gapWidth val="150"/>
        <c:overlap val="100"/>
        <c:axId val="784253824"/>
        <c:axId val="884889872"/>
      </c:barChart>
      <c:catAx>
        <c:axId val="784253824"/>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884889872"/>
        <c:crosses val="autoZero"/>
        <c:auto val="1"/>
        <c:lblAlgn val="ctr"/>
        <c:lblOffset val="100"/>
        <c:noMultiLvlLbl val="0"/>
      </c:catAx>
      <c:valAx>
        <c:axId val="884889872"/>
        <c:scaling>
          <c:orientation val="minMax"/>
        </c:scaling>
        <c:delete val="1"/>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none"/>
        <c:minorTickMark val="none"/>
        <c:tickLblPos val="nextTo"/>
        <c:crossAx val="78425382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[NguyenN_Mod3b.xlsm]Pivot 2!PivotTable2</c:name>
    <c:fmtId val="0"/>
  </c:pivotSource>
  <c:chart>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2'!$B$3</c:f>
              <c:strCache>
                <c:ptCount val="1"/>
                <c:pt idx="0">
                  <c:v>Power Reserve (hr)</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'Pivot 2'!$A$4:$A$307</c:f>
              <c:multiLvlStrCache>
                <c:ptCount val="274"/>
                <c:lvl>
                  <c:pt idx="0">
                    <c:v>104 Stainless Steel 41</c:v>
                  </c:pt>
                  <c:pt idx="1">
                    <c:v>Aquaracer Stainless Steel 32</c:v>
                  </c:pt>
                  <c:pt idx="2">
                    <c:v>Aquaracer Stainless Steel 43</c:v>
                  </c:pt>
                  <c:pt idx="3">
                    <c:v>Big Crown ProPilot Stainless Steel 41</c:v>
                  </c:pt>
                  <c:pt idx="4">
                    <c:v>Classics Stainless Steel 40</c:v>
                  </c:pt>
                  <c:pt idx="5">
                    <c:v>Conquest Classic Stainless Steel 40</c:v>
                  </c:pt>
                  <c:pt idx="6">
                    <c:v>Conquest VHP Stainless Steel 41</c:v>
                  </c:pt>
                  <c:pt idx="7">
                    <c:v>Divers Sixty-Five Stainless Steel 40</c:v>
                  </c:pt>
                  <c:pt idx="8">
                    <c:v>HydroConquest Stainless Steel 41</c:v>
                  </c:pt>
                  <c:pt idx="9">
                    <c:v>HydroConquest Stainless Steel 43</c:v>
                  </c:pt>
                  <c:pt idx="10">
                    <c:v>Jazzmaster Stainless Steel 40</c:v>
                  </c:pt>
                  <c:pt idx="11">
                    <c:v>Khaki Field Auto Stainless Steel 38</c:v>
                  </c:pt>
                  <c:pt idx="12">
                    <c:v>Khaki Field Stainless Steel 38</c:v>
                  </c:pt>
                  <c:pt idx="13">
                    <c:v>Le Locle Stainless Steel 39.3</c:v>
                  </c:pt>
                  <c:pt idx="14">
                    <c:v>Master Collection Stainless Steel 38.5</c:v>
                  </c:pt>
                  <c:pt idx="15">
                    <c:v>Master Collection Stainless Steel 40</c:v>
                  </c:pt>
                  <c:pt idx="16">
                    <c:v>Precisionist Stainless Steel 46.5</c:v>
                  </c:pt>
                  <c:pt idx="17">
                    <c:v>Prospex Stainless Steel 42.3</c:v>
                  </c:pt>
                  <c:pt idx="18">
                    <c:v>Prospex Stainless Steel 43</c:v>
                  </c:pt>
                  <c:pt idx="19">
                    <c:v>Prospex Stainless Steel 44.3</c:v>
                  </c:pt>
                  <c:pt idx="20">
                    <c:v>True Thinline High-Tech Ceramic 39</c:v>
                  </c:pt>
                  <c:pt idx="21">
                    <c:v>1858 Stainless Steel 42</c:v>
                  </c:pt>
                  <c:pt idx="22">
                    <c:v>1858 Stainless Steel 44</c:v>
                  </c:pt>
                  <c:pt idx="23">
                    <c:v>Aquaracer Stainless Steel 41</c:v>
                  </c:pt>
                  <c:pt idx="24">
                    <c:v>Aquaracer Stainless Steel 43</c:v>
                  </c:pt>
                  <c:pt idx="25">
                    <c:v>Black Bay Stainless Steel 41</c:v>
                  </c:pt>
                  <c:pt idx="26">
                    <c:v>BR 03-92 Ceramic 42</c:v>
                  </c:pt>
                  <c:pt idx="27">
                    <c:v>BR V2-92 Stainless Steel 41</c:v>
                  </c:pt>
                  <c:pt idx="28">
                    <c:v>Clifton Baumatic Stainless Steel 40</c:v>
                  </c:pt>
                  <c:pt idx="29">
                    <c:v>Conquest Stainless Steel 41</c:v>
                  </c:pt>
                  <c:pt idx="30">
                    <c:v>Heritage Stainless Steel 40</c:v>
                  </c:pt>
                  <c:pt idx="31">
                    <c:v>Luminor Base Logo Stainless Steel 44</c:v>
                  </c:pt>
                  <c:pt idx="32">
                    <c:v>Master Collection Stainless Steel 40</c:v>
                  </c:pt>
                  <c:pt idx="33">
                    <c:v>Pilot's Watch Mark XVIII Stainless Steel 40</c:v>
                  </c:pt>
                  <c:pt idx="34">
                    <c:v>Pilot's Watch Stainless Steel 41</c:v>
                  </c:pt>
                  <c:pt idx="35">
                    <c:v>Santos-Dumont Stainless Steel 38</c:v>
                  </c:pt>
                  <c:pt idx="36">
                    <c:v>Star Legacy Stainless Steel 39</c:v>
                  </c:pt>
                  <c:pt idx="37">
                    <c:v>Star Legacy Stainless Steel 42</c:v>
                  </c:pt>
                  <c:pt idx="38">
                    <c:v>Superocean Heritage Stainless Steel 44</c:v>
                  </c:pt>
                  <c:pt idx="39">
                    <c:v>Superocean Stainless Steel 42</c:v>
                  </c:pt>
                  <c:pt idx="40">
                    <c:v>Superocean Stainless Steel 44</c:v>
                  </c:pt>
                  <c:pt idx="41">
                    <c:v>Tank Solo Stainless Steel 31</c:v>
                  </c:pt>
                  <c:pt idx="42">
                    <c:v>U1 Stainless Steel 44</c:v>
                  </c:pt>
                  <c:pt idx="43">
                    <c:v>U50 German Submarine Steel 45</c:v>
                  </c:pt>
                  <c:pt idx="44">
                    <c:v>1858 Bronze 44</c:v>
                  </c:pt>
                  <c:pt idx="45">
                    <c:v>Aqua Terra Stainless Steel 41.5</c:v>
                  </c:pt>
                  <c:pt idx="46">
                    <c:v>Avenger II Stainless Steel 43</c:v>
                  </c:pt>
                  <c:pt idx="47">
                    <c:v>Aviation Stainless Steel 42</c:v>
                  </c:pt>
                  <c:pt idx="48">
                    <c:v>Ballon Bleu Stainless Steel 33</c:v>
                  </c:pt>
                  <c:pt idx="49">
                    <c:v>Ballon Bleu Stainless Steel 36.6</c:v>
                  </c:pt>
                  <c:pt idx="50">
                    <c:v>Black Bay GMT Stainless Steel 41</c:v>
                  </c:pt>
                  <c:pt idx="51">
                    <c:v>Black Bay Stainless Steel 41</c:v>
                  </c:pt>
                  <c:pt idx="52">
                    <c:v>Carrera Stainless Steel 41</c:v>
                  </c:pt>
                  <c:pt idx="53">
                    <c:v>Constellation Stainless Steel 39</c:v>
                  </c:pt>
                  <c:pt idx="54">
                    <c:v>El Primero Stainless Steel 38</c:v>
                  </c:pt>
                  <c:pt idx="55">
                    <c:v>El Primero Stainless Steel 42</c:v>
                  </c:pt>
                  <c:pt idx="56">
                    <c:v>Elite Classic Stainless Steel 39</c:v>
                  </c:pt>
                  <c:pt idx="57">
                    <c:v>Elite Stainless Steel 40.5</c:v>
                  </c:pt>
                  <c:pt idx="58">
                    <c:v>Happy Sport Stainless Steel 30</c:v>
                  </c:pt>
                  <c:pt idx="59">
                    <c:v>Luminor Base Stainless Steel 44</c:v>
                  </c:pt>
                  <c:pt idx="60">
                    <c:v>Luminor Marina Stainless Steel 44</c:v>
                  </c:pt>
                  <c:pt idx="61">
                    <c:v>Luminor Marina Titanium 44</c:v>
                  </c:pt>
                  <c:pt idx="62">
                    <c:v>Master Ultra Thin Stainless Steel 38</c:v>
                  </c:pt>
                  <c:pt idx="63">
                    <c:v>Mille Miglia Stainless Steel 42</c:v>
                  </c:pt>
                  <c:pt idx="64">
                    <c:v>Mille Miglia Stainless Steel 44</c:v>
                  </c:pt>
                  <c:pt idx="65">
                    <c:v>Monaco Stainless Steel 39</c:v>
                  </c:pt>
                  <c:pt idx="66">
                    <c:v>Pilot's Watch Mark XVIII Stainless Steel 40</c:v>
                  </c:pt>
                  <c:pt idx="67">
                    <c:v>Pilot's Watch Stainless Steel 39</c:v>
                  </c:pt>
                  <c:pt idx="68">
                    <c:v>Pilot's Watch Stainless Steel 41</c:v>
                  </c:pt>
                  <c:pt idx="69">
                    <c:v>Pilot's Watch Stainless Steel 43</c:v>
                  </c:pt>
                  <c:pt idx="70">
                    <c:v>Reverso Stainless Steel 42.9</c:v>
                  </c:pt>
                  <c:pt idx="71">
                    <c:v>Santos Stainless Steel 35.1</c:v>
                  </c:pt>
                  <c:pt idx="72">
                    <c:v>Santos-Dumont Stainless Steel 31.4</c:v>
                  </c:pt>
                  <c:pt idx="73">
                    <c:v>Santos-Dumont Stainless Steel 43.5</c:v>
                  </c:pt>
                  <c:pt idx="74">
                    <c:v>Seamaster Titanium 43.5</c:v>
                  </c:pt>
                  <c:pt idx="75">
                    <c:v>Speedmaster Moonwatch Stainless Steel 42</c:v>
                  </c:pt>
                  <c:pt idx="76">
                    <c:v>Speedmaster Stainless Steel 42</c:v>
                  </c:pt>
                  <c:pt idx="77">
                    <c:v>Superocean Heritage II Stainless Steel 44</c:v>
                  </c:pt>
                  <c:pt idx="78">
                    <c:v>Superocean Heritage Stainless Steel 42</c:v>
                  </c:pt>
                  <c:pt idx="79">
                    <c:v>Superocean Stainless Steel 42</c:v>
                  </c:pt>
                  <c:pt idx="80">
                    <c:v>Superocean Stainless Steel 44</c:v>
                  </c:pt>
                  <c:pt idx="81">
                    <c:v>1858 Geosphere Stainless Steel 42</c:v>
                  </c:pt>
                  <c:pt idx="82">
                    <c:v>1858 Geosphere Titanium 42</c:v>
                  </c:pt>
                  <c:pt idx="83">
                    <c:v>Ballon Bleu Stainless Steel 33</c:v>
                  </c:pt>
                  <c:pt idx="84">
                    <c:v>Ballon Bleu Stainless Steel 42</c:v>
                  </c:pt>
                  <c:pt idx="85">
                    <c:v>Chronomaster El Primero Stainless Steel 38</c:v>
                  </c:pt>
                  <c:pt idx="86">
                    <c:v>Chronomaster Stainless Steel 38</c:v>
                  </c:pt>
                  <c:pt idx="87">
                    <c:v>Chronomaster Stainless Steel 42</c:v>
                  </c:pt>
                  <c:pt idx="88">
                    <c:v>Chronomat Stainless Steel 44</c:v>
                  </c:pt>
                  <c:pt idx="89">
                    <c:v>Classic Fusion Titanium 42</c:v>
                  </c:pt>
                  <c:pt idx="90">
                    <c:v>Classic Fusion Titanium 45</c:v>
                  </c:pt>
                  <c:pt idx="91">
                    <c:v>Datejust Stainless Steel 36</c:v>
                  </c:pt>
                  <c:pt idx="92">
                    <c:v>Datejust Stainless Steel 41</c:v>
                  </c:pt>
                  <c:pt idx="93">
                    <c:v>El Primero Stainless Steel 38</c:v>
                  </c:pt>
                  <c:pt idx="94">
                    <c:v>El Primero Stainless Steel 42</c:v>
                  </c:pt>
                  <c:pt idx="95">
                    <c:v>Grande Seconde Stainless Steel 43</c:v>
                  </c:pt>
                  <c:pt idx="96">
                    <c:v>Laureato Stainless Steel 38</c:v>
                  </c:pt>
                  <c:pt idx="97">
                    <c:v>Laureato Stainless Steel 42</c:v>
                  </c:pt>
                  <c:pt idx="98">
                    <c:v>Luminor Due Stainless Steel 38</c:v>
                  </c:pt>
                  <c:pt idx="99">
                    <c:v>Luminor Marina Stainless Steel 42</c:v>
                  </c:pt>
                  <c:pt idx="100">
                    <c:v>Luminor Marina Stainless Steel 44</c:v>
                  </c:pt>
                  <c:pt idx="101">
                    <c:v>Luminor Stainless Steel 44</c:v>
                  </c:pt>
                  <c:pt idx="102">
                    <c:v>Luminor Titanium 44</c:v>
                  </c:pt>
                  <c:pt idx="103">
                    <c:v>Marine Stainless Steel 42.2</c:v>
                  </c:pt>
                  <c:pt idx="104">
                    <c:v>Marine Stainless Steel 43</c:v>
                  </c:pt>
                  <c:pt idx="105">
                    <c:v>Marine Stainless Steel 44</c:v>
                  </c:pt>
                  <c:pt idx="106">
                    <c:v>Marine Torpilleur Stainless Steel 42</c:v>
                  </c:pt>
                  <c:pt idx="107">
                    <c:v>Master Control Stainless Steel 39</c:v>
                  </c:pt>
                  <c:pt idx="108">
                    <c:v>Master Control Stainless Steel 40</c:v>
                  </c:pt>
                  <c:pt idx="109">
                    <c:v>Master Ultra Thin Stainless Steel 39</c:v>
                  </c:pt>
                  <c:pt idx="110">
                    <c:v>Master Ultra Thin Stainless Steel 40</c:v>
                  </c:pt>
                  <c:pt idx="111">
                    <c:v>Mille Miglia Stainless Steel 42</c:v>
                  </c:pt>
                  <c:pt idx="112">
                    <c:v>Mille Miglia Stainless Steel 44</c:v>
                  </c:pt>
                  <c:pt idx="113">
                    <c:v>Monaco Stainless Steel 39</c:v>
                  </c:pt>
                  <c:pt idx="114">
                    <c:v>Navitimer Stainless Steel 43</c:v>
                  </c:pt>
                  <c:pt idx="115">
                    <c:v>Pilot's Watch Mark Stainless Steel 41</c:v>
                  </c:pt>
                  <c:pt idx="116">
                    <c:v>Pilot's Watch Stainless Steel 46.2</c:v>
                  </c:pt>
                  <c:pt idx="117">
                    <c:v>Portugieser Chronograph Stainless Steel 41</c:v>
                  </c:pt>
                  <c:pt idx="118">
                    <c:v>Portugieser Stainless Steel 40.4</c:v>
                  </c:pt>
                  <c:pt idx="119">
                    <c:v>Portugieser Stainless Steel 40.9</c:v>
                  </c:pt>
                  <c:pt idx="120">
                    <c:v>Portugieser Stainless Steel 41</c:v>
                  </c:pt>
                  <c:pt idx="121">
                    <c:v>Portugieser Stainless Steel 41.5</c:v>
                  </c:pt>
                  <c:pt idx="122">
                    <c:v>Portugieser Stainless Steel 42.3</c:v>
                  </c:pt>
                  <c:pt idx="123">
                    <c:v>Santos de Cartier Stainless Steel 39.8</c:v>
                  </c:pt>
                  <c:pt idx="124">
                    <c:v>Santos Stainless Steel 39.8</c:v>
                  </c:pt>
                  <c:pt idx="125">
                    <c:v>Speedmaster Stainless Steel 42</c:v>
                  </c:pt>
                  <c:pt idx="126">
                    <c:v>Big Bang Titanium 42</c:v>
                  </c:pt>
                  <c:pt idx="127">
                    <c:v>Chronomaster Stainless Steel 42</c:v>
                  </c:pt>
                  <c:pt idx="128">
                    <c:v>Classic Fusion Titanium 42</c:v>
                  </c:pt>
                  <c:pt idx="129">
                    <c:v>Classic Fusion Titanium 45</c:v>
                  </c:pt>
                  <c:pt idx="130">
                    <c:v>Datejust Stainless Steel 36</c:v>
                  </c:pt>
                  <c:pt idx="131">
                    <c:v>Datejust Stainless Steel 41</c:v>
                  </c:pt>
                  <c:pt idx="132">
                    <c:v>Defy Titanium 41</c:v>
                  </c:pt>
                  <c:pt idx="133">
                    <c:v>GMT-Master II Stainless Steel 40</c:v>
                  </c:pt>
                  <c:pt idx="134">
                    <c:v>Grande Seconde Stainless Steel 43</c:v>
                  </c:pt>
                  <c:pt idx="135">
                    <c:v>Laureato Stainless Steel 38</c:v>
                  </c:pt>
                  <c:pt idx="136">
                    <c:v>Laureato Stainless Steel 41</c:v>
                  </c:pt>
                  <c:pt idx="137">
                    <c:v>Laureato Stainless Steel 42</c:v>
                  </c:pt>
                  <c:pt idx="138">
                    <c:v>Luminor Marina Stainless Steel 44</c:v>
                  </c:pt>
                  <c:pt idx="139">
                    <c:v>Luminor Marina Titanium 44</c:v>
                  </c:pt>
                  <c:pt idx="140">
                    <c:v>Luminor Titanium 44</c:v>
                  </c:pt>
                  <c:pt idx="141">
                    <c:v>Marine Stainless Steel 42</c:v>
                  </c:pt>
                  <c:pt idx="142">
                    <c:v>Marine Stainless Steel 42.2</c:v>
                  </c:pt>
                  <c:pt idx="143">
                    <c:v>Marine Stainless Steel 44</c:v>
                  </c:pt>
                  <c:pt idx="144">
                    <c:v>Marine Titanium 44</c:v>
                  </c:pt>
                  <c:pt idx="145">
                    <c:v>Master Control Stainless Steel 39</c:v>
                  </c:pt>
                  <c:pt idx="146">
                    <c:v>Master Control Stainless Steel 40</c:v>
                  </c:pt>
                  <c:pt idx="147">
                    <c:v>Master Ultra Thin Stainless Steel 39</c:v>
                  </c:pt>
                  <c:pt idx="148">
                    <c:v>Portugieser Stainless Steel 40.4</c:v>
                  </c:pt>
                  <c:pt idx="149">
                    <c:v>Portugieser Stainless Steel 41</c:v>
                  </c:pt>
                  <c:pt idx="150">
                    <c:v>Portugieser Stainless Steel 42.3</c:v>
                  </c:pt>
                  <c:pt idx="151">
                    <c:v>Portuguese Stainless Steel 42.3</c:v>
                  </c:pt>
                  <c:pt idx="152">
                    <c:v>Senator Stainless Steel 42</c:v>
                  </c:pt>
                  <c:pt idx="153">
                    <c:v>Submariner Stainless Steel 40</c:v>
                  </c:pt>
                  <c:pt idx="154">
                    <c:v>Type XX Stainless Steel 39.5</c:v>
                  </c:pt>
                  <c:pt idx="155">
                    <c:v>Type XXI Stainless Steel 42</c:v>
                  </c:pt>
                  <c:pt idx="156">
                    <c:v>Fifty Fathoms Stainless Steel 45</c:v>
                  </c:pt>
                  <c:pt idx="157">
                    <c:v>Grande Seconde Stainless Steel 43</c:v>
                  </c:pt>
                  <c:pt idx="158">
                    <c:v>Laureato Stainless Steel 41</c:v>
                  </c:pt>
                  <c:pt idx="159">
                    <c:v>Laureato Stainless Steel 42</c:v>
                  </c:pt>
                  <c:pt idx="160">
                    <c:v>Octo Finissimo Titanium 40</c:v>
                  </c:pt>
                  <c:pt idx="161">
                    <c:v>Polo S Stainless Steel 42</c:v>
                  </c:pt>
                  <c:pt idx="162">
                    <c:v>Polo Stainless Steel 42</c:v>
                  </c:pt>
                  <c:pt idx="163">
                    <c:v>Ballon Bleu 18k Rose Gold 33</c:v>
                  </c:pt>
                  <c:pt idx="164">
                    <c:v>Big Bang Carbon Fiber 44</c:v>
                  </c:pt>
                  <c:pt idx="165">
                    <c:v>Big Bang Ceramic 42</c:v>
                  </c:pt>
                  <c:pt idx="166">
                    <c:v>Big Bang Titanium 44</c:v>
                  </c:pt>
                  <c:pt idx="167">
                    <c:v>Daytona Stainless Steel 40</c:v>
                  </c:pt>
                  <c:pt idx="168">
                    <c:v>Fifty Fathoms Stainless Steel 43.6</c:v>
                  </c:pt>
                  <c:pt idx="169">
                    <c:v>Fifty Fathoms Stainless Steel 45</c:v>
                  </c:pt>
                  <c:pt idx="170">
                    <c:v>Fifty Fathoms Titanium 45</c:v>
                  </c:pt>
                  <c:pt idx="171">
                    <c:v>Laureato Stainless Steel 38</c:v>
                  </c:pt>
                  <c:pt idx="172">
                    <c:v>Laureato Stainless Steel 41</c:v>
                  </c:pt>
                  <c:pt idx="173">
                    <c:v>Laureato Stainless Steel 42</c:v>
                  </c:pt>
                  <c:pt idx="174">
                    <c:v>Octo Finissimo Titanium 40</c:v>
                  </c:pt>
                  <c:pt idx="175">
                    <c:v>Overseas Stainless Steel 41</c:v>
                  </c:pt>
                  <c:pt idx="176">
                    <c:v>Big Bang Carbon Fiber 44</c:v>
                  </c:pt>
                  <c:pt idx="177">
                    <c:v>Big Bang Ceramic 41</c:v>
                  </c:pt>
                  <c:pt idx="178">
                    <c:v>Big Bang Ceramic 44</c:v>
                  </c:pt>
                  <c:pt idx="179">
                    <c:v>Big Bang Ceramic 44.5</c:v>
                  </c:pt>
                  <c:pt idx="180">
                    <c:v>Big Bang Titanium 44</c:v>
                  </c:pt>
                  <c:pt idx="181">
                    <c:v>Classique 18K Rose Gold 39</c:v>
                  </c:pt>
                  <c:pt idx="182">
                    <c:v>Fifty Fathoms Stainless Steel 43</c:v>
                  </c:pt>
                  <c:pt idx="183">
                    <c:v>Fifty Fathoms Stainless Steel 45</c:v>
                  </c:pt>
                  <c:pt idx="184">
                    <c:v>Fifty Fathoms Titanium 45</c:v>
                  </c:pt>
                  <c:pt idx="185">
                    <c:v>GMT-Master II Stainless Steel 40</c:v>
                  </c:pt>
                  <c:pt idx="186">
                    <c:v>Overseas Stainless Steel 41</c:v>
                  </c:pt>
                  <c:pt idx="187">
                    <c:v>Patrimony Rose Gold 40</c:v>
                  </c:pt>
                  <c:pt idx="188">
                    <c:v>Santos-Dumont 18K Yellow Gold 27.5</c:v>
                  </c:pt>
                  <c:pt idx="189">
                    <c:v>Altiplano White Gold 38</c:v>
                  </c:pt>
                  <c:pt idx="190">
                    <c:v>Big Bang Ceramic 41</c:v>
                  </c:pt>
                  <c:pt idx="191">
                    <c:v>Big Bang Ceramic 42</c:v>
                  </c:pt>
                  <c:pt idx="192">
                    <c:v>Big Bang Ceramic 44</c:v>
                  </c:pt>
                  <c:pt idx="193">
                    <c:v>Big Bang Titanium 44</c:v>
                  </c:pt>
                  <c:pt idx="194">
                    <c:v>Classique 18k White Gold 38</c:v>
                  </c:pt>
                  <c:pt idx="195">
                    <c:v>Classique 18K White Gold 40</c:v>
                  </c:pt>
                  <c:pt idx="196">
                    <c:v>Fifty Fathoms Titanium 45</c:v>
                  </c:pt>
                  <c:pt idx="197">
                    <c:v>Overseas Stainless Steel 41</c:v>
                  </c:pt>
                  <c:pt idx="198">
                    <c:v>Royal Oak Stainless Steel 41</c:v>
                  </c:pt>
                  <c:pt idx="199">
                    <c:v>Saxonia 18k Rose Gold 37</c:v>
                  </c:pt>
                  <c:pt idx="200">
                    <c:v>Altiplano 18k White Gold 40</c:v>
                  </c:pt>
                  <c:pt idx="201">
                    <c:v>Big Bang Carbon Fiber 44</c:v>
                  </c:pt>
                  <c:pt idx="202">
                    <c:v>Big Bang Titanium 44</c:v>
                  </c:pt>
                  <c:pt idx="203">
                    <c:v>Calatrava Rose Gold 36</c:v>
                  </c:pt>
                  <c:pt idx="204">
                    <c:v>Classique 18K Rose Gold 39</c:v>
                  </c:pt>
                  <c:pt idx="205">
                    <c:v>Classique 18K Rose Gold 40</c:v>
                  </c:pt>
                  <c:pt idx="206">
                    <c:v>Classique 18k White Gold 39</c:v>
                  </c:pt>
                  <c:pt idx="207">
                    <c:v>Classique White Gold 39</c:v>
                  </c:pt>
                  <c:pt idx="208">
                    <c:v>Overseas Stainless Steel 41</c:v>
                  </c:pt>
                  <c:pt idx="209">
                    <c:v>Overseas Stainless Steel 41.5</c:v>
                  </c:pt>
                  <c:pt idx="210">
                    <c:v>Patrimony 18K White Gold 40</c:v>
                  </c:pt>
                  <c:pt idx="211">
                    <c:v>Royal Oak Stainless Steel 37</c:v>
                  </c:pt>
                  <c:pt idx="212">
                    <c:v>Royal Oak Stainless Steel 39</c:v>
                  </c:pt>
                  <c:pt idx="213">
                    <c:v>Royal Oak Stainless Steel 41</c:v>
                  </c:pt>
                  <c:pt idx="214">
                    <c:v>Altiplano 18k Rose Gold 38</c:v>
                  </c:pt>
                  <c:pt idx="215">
                    <c:v>Classic Fusion 18k King Gold 42</c:v>
                  </c:pt>
                  <c:pt idx="216">
                    <c:v>Classique 18k Rose Gold 38.5</c:v>
                  </c:pt>
                  <c:pt idx="217">
                    <c:v>Classique Rose Gold 38</c:v>
                  </c:pt>
                  <c:pt idx="218">
                    <c:v>Classique Rose Gold 40</c:v>
                  </c:pt>
                  <c:pt idx="219">
                    <c:v>Classique White Gold 39</c:v>
                  </c:pt>
                  <c:pt idx="220">
                    <c:v>Overseas Stainless Steel 41</c:v>
                  </c:pt>
                  <c:pt idx="221">
                    <c:v>Overseas Stainless Steel 41.5</c:v>
                  </c:pt>
                  <c:pt idx="222">
                    <c:v>Overseas Stainless Steel 42.5</c:v>
                  </c:pt>
                  <c:pt idx="223">
                    <c:v>Royal Oak Stainless Steel 41</c:v>
                  </c:pt>
                  <c:pt idx="224">
                    <c:v>Altiplano White Gold 40</c:v>
                  </c:pt>
                  <c:pt idx="225">
                    <c:v>Calatrava 18k Rose Gold 38</c:v>
                  </c:pt>
                  <c:pt idx="226">
                    <c:v>Calatrava 18k White Gold 39</c:v>
                  </c:pt>
                  <c:pt idx="227">
                    <c:v>Classique 18K Rose Gold 39</c:v>
                  </c:pt>
                  <c:pt idx="228">
                    <c:v>Classique 18k White Gold 38</c:v>
                  </c:pt>
                  <c:pt idx="229">
                    <c:v>Classique 18K White Gold 40</c:v>
                  </c:pt>
                  <c:pt idx="230">
                    <c:v>Classique Rose Gold 38.5</c:v>
                  </c:pt>
                  <c:pt idx="231">
                    <c:v>Classique Rose Gold 39</c:v>
                  </c:pt>
                  <c:pt idx="232">
                    <c:v>Overseas Stainless Steel 41</c:v>
                  </c:pt>
                  <c:pt idx="233">
                    <c:v>Patrimony 18k Rose Gold 42</c:v>
                  </c:pt>
                  <c:pt idx="234">
                    <c:v>Royal Oak Stainless Steel 41</c:v>
                  </c:pt>
                  <c:pt idx="235">
                    <c:v>Saxonia Rose Gold 38.5</c:v>
                  </c:pt>
                  <c:pt idx="236">
                    <c:v>Saxonia White Gold 38.5</c:v>
                  </c:pt>
                  <c:pt idx="237">
                    <c:v>Calatrava 18K White Gold 38</c:v>
                  </c:pt>
                  <c:pt idx="238">
                    <c:v>Calatrava White Gold 37</c:v>
                  </c:pt>
                  <c:pt idx="239">
                    <c:v>Calatrava White Gold 39</c:v>
                  </c:pt>
                  <c:pt idx="240">
                    <c:v>Classique 18k White Gold 39</c:v>
                  </c:pt>
                  <c:pt idx="241">
                    <c:v>Classique 18K White Gold 40</c:v>
                  </c:pt>
                  <c:pt idx="242">
                    <c:v>Classique Rose Gold 39</c:v>
                  </c:pt>
                  <c:pt idx="243">
                    <c:v>Classique Rose Gold 40</c:v>
                  </c:pt>
                  <c:pt idx="244">
                    <c:v>Royal Oak Stainless Steel 41</c:v>
                  </c:pt>
                  <c:pt idx="245">
                    <c:v>Classique 18K Rose Gold 39</c:v>
                  </c:pt>
                  <c:pt idx="246">
                    <c:v>Classique 18K Yellow Gold 39</c:v>
                  </c:pt>
                  <c:pt idx="247">
                    <c:v>Nautilus Stainless Steel 40</c:v>
                  </c:pt>
                  <c:pt idx="248">
                    <c:v>Royal Oak Stainless Steel 41</c:v>
                  </c:pt>
                  <c:pt idx="249">
                    <c:v>Daytona 18k Yellow Gold 40</c:v>
                  </c:pt>
                  <c:pt idx="250">
                    <c:v>Nautilus Stainless Steel 40.5</c:v>
                  </c:pt>
                  <c:pt idx="251">
                    <c:v>Nautilus Stainless Steel 40.8</c:v>
                  </c:pt>
                  <c:pt idx="252">
                    <c:v>Patrimony White Gold 40</c:v>
                  </c:pt>
                  <c:pt idx="253">
                    <c:v>Royal Oak Stainless Steel 41</c:v>
                  </c:pt>
                  <c:pt idx="254">
                    <c:v>Nautilus Stainless Steel 40.5</c:v>
                  </c:pt>
                  <c:pt idx="255">
                    <c:v>Nautilus Stainless Steel 40</c:v>
                  </c:pt>
                  <c:pt idx="256">
                    <c:v>Royal Oak Rose Gold 37</c:v>
                  </c:pt>
                  <c:pt idx="257">
                    <c:v>Daytona Yellow Gold 40</c:v>
                  </c:pt>
                  <c:pt idx="258">
                    <c:v>Nautilus Stainless Steel 40.5</c:v>
                  </c:pt>
                  <c:pt idx="259">
                    <c:v>Nautilus Stainless Steel 40.8</c:v>
                  </c:pt>
                  <c:pt idx="260">
                    <c:v>Royal Oak Rose Gold 37</c:v>
                  </c:pt>
                  <c:pt idx="261">
                    <c:v>Nautilus Stainless Steel 40.5</c:v>
                  </c:pt>
                  <c:pt idx="262">
                    <c:v>Nautilus Stainless Steel 40.5</c:v>
                  </c:pt>
                  <c:pt idx="263">
                    <c:v>Nautilus Stainless Steel 40.8</c:v>
                  </c:pt>
                  <c:pt idx="264">
                    <c:v>Nautilus Stainless Steel 40.8</c:v>
                  </c:pt>
                  <c:pt idx="265">
                    <c:v>Nautilus Stainless Steel 40.5</c:v>
                  </c:pt>
                  <c:pt idx="266">
                    <c:v>Nautilus Stainless Steel 40.5</c:v>
                  </c:pt>
                  <c:pt idx="267">
                    <c:v>Nautilus Stainless Steel 40.8</c:v>
                  </c:pt>
                  <c:pt idx="268">
                    <c:v>Nautilus Stainless Steel 40.8</c:v>
                  </c:pt>
                  <c:pt idx="269">
                    <c:v>Royal Oak Rose Gold 41</c:v>
                  </c:pt>
                  <c:pt idx="270">
                    <c:v>Nautilus Stainless Steel 40.8</c:v>
                  </c:pt>
                  <c:pt idx="271">
                    <c:v>Nautilus Stainless Steel 40.8</c:v>
                  </c:pt>
                  <c:pt idx="272">
                    <c:v>Nautilus Stainless Steel 40.5</c:v>
                  </c:pt>
                  <c:pt idx="273">
                    <c:v>Nautilus Stainless Steel 40.5</c:v>
                  </c:pt>
                </c:lvl>
                <c:lvl>
                  <c:pt idx="0">
                    <c:v>0-1999</c:v>
                  </c:pt>
                  <c:pt idx="21">
                    <c:v>2000-3999</c:v>
                  </c:pt>
                  <c:pt idx="44">
                    <c:v>4000-5999</c:v>
                  </c:pt>
                  <c:pt idx="81">
                    <c:v>6000-7999</c:v>
                  </c:pt>
                  <c:pt idx="126">
                    <c:v>8000-9999</c:v>
                  </c:pt>
                  <c:pt idx="156">
                    <c:v>10000-11999</c:v>
                  </c:pt>
                  <c:pt idx="163">
                    <c:v>12000-13999</c:v>
                  </c:pt>
                  <c:pt idx="176">
                    <c:v>14000-15999</c:v>
                  </c:pt>
                  <c:pt idx="189">
                    <c:v>16000-17999</c:v>
                  </c:pt>
                  <c:pt idx="200">
                    <c:v>18000-19999</c:v>
                  </c:pt>
                  <c:pt idx="214">
                    <c:v>20000-21999</c:v>
                  </c:pt>
                  <c:pt idx="224">
                    <c:v>22000-23999</c:v>
                  </c:pt>
                  <c:pt idx="237">
                    <c:v>24000-25999</c:v>
                  </c:pt>
                  <c:pt idx="245">
                    <c:v>26000-27999</c:v>
                  </c:pt>
                  <c:pt idx="249">
                    <c:v>28000-29999</c:v>
                  </c:pt>
                  <c:pt idx="254">
                    <c:v>34000-35999</c:v>
                  </c:pt>
                  <c:pt idx="255">
                    <c:v>36000-37999</c:v>
                  </c:pt>
                  <c:pt idx="257">
                    <c:v>38000-39999</c:v>
                  </c:pt>
                  <c:pt idx="261">
                    <c:v>40000-41999</c:v>
                  </c:pt>
                  <c:pt idx="262">
                    <c:v>44000-45999</c:v>
                  </c:pt>
                  <c:pt idx="264">
                    <c:v>46000-47999</c:v>
                  </c:pt>
                  <c:pt idx="265">
                    <c:v>48000-49999</c:v>
                  </c:pt>
                  <c:pt idx="266">
                    <c:v>50000-51999</c:v>
                  </c:pt>
                  <c:pt idx="268">
                    <c:v>52000-53999</c:v>
                  </c:pt>
                  <c:pt idx="269">
                    <c:v>54000-55999</c:v>
                  </c:pt>
                  <c:pt idx="270">
                    <c:v>56000-57999</c:v>
                  </c:pt>
                  <c:pt idx="271">
                    <c:v>62000-63999</c:v>
                  </c:pt>
                  <c:pt idx="272">
                    <c:v>66000-67999</c:v>
                  </c:pt>
                  <c:pt idx="273">
                    <c:v>68000-70000</c:v>
                  </c:pt>
                </c:lvl>
              </c:multiLvlStrCache>
            </c:multiLvlStrRef>
          </c:cat>
          <c:val>
            <c:numRef>
              <c:f>'Pivot 2'!$B$4:$B$307</c:f>
              <c:numCache>
                <c:formatCode>General</c:formatCode>
                <c:ptCount val="274"/>
                <c:pt idx="0">
                  <c:v>42</c:v>
                </c:pt>
                <c:pt idx="1">
                  <c:v>0</c:v>
                </c:pt>
                <c:pt idx="2">
                  <c:v>0</c:v>
                </c:pt>
                <c:pt idx="3">
                  <c:v>38</c:v>
                </c:pt>
                <c:pt idx="4">
                  <c:v>76</c:v>
                </c:pt>
                <c:pt idx="5">
                  <c:v>54</c:v>
                </c:pt>
                <c:pt idx="6">
                  <c:v>0</c:v>
                </c:pt>
                <c:pt idx="7">
                  <c:v>38</c:v>
                </c:pt>
                <c:pt idx="8">
                  <c:v>64</c:v>
                </c:pt>
                <c:pt idx="9">
                  <c:v>64</c:v>
                </c:pt>
                <c:pt idx="10">
                  <c:v>80</c:v>
                </c:pt>
                <c:pt idx="11">
                  <c:v>80</c:v>
                </c:pt>
                <c:pt idx="12">
                  <c:v>160</c:v>
                </c:pt>
                <c:pt idx="13">
                  <c:v>76</c:v>
                </c:pt>
                <c:pt idx="14">
                  <c:v>170</c:v>
                </c:pt>
                <c:pt idx="15">
                  <c:v>64</c:v>
                </c:pt>
                <c:pt idx="16">
                  <c:v>0</c:v>
                </c:pt>
                <c:pt idx="17">
                  <c:v>50</c:v>
                </c:pt>
                <c:pt idx="18">
                  <c:v>50</c:v>
                </c:pt>
                <c:pt idx="19">
                  <c:v>141</c:v>
                </c:pt>
                <c:pt idx="20">
                  <c:v>0</c:v>
                </c:pt>
                <c:pt idx="21">
                  <c:v>38</c:v>
                </c:pt>
                <c:pt idx="22">
                  <c:v>50</c:v>
                </c:pt>
                <c:pt idx="23">
                  <c:v>76</c:v>
                </c:pt>
                <c:pt idx="24">
                  <c:v>76</c:v>
                </c:pt>
                <c:pt idx="25">
                  <c:v>700</c:v>
                </c:pt>
                <c:pt idx="26">
                  <c:v>82</c:v>
                </c:pt>
                <c:pt idx="27">
                  <c:v>40</c:v>
                </c:pt>
                <c:pt idx="28">
                  <c:v>120</c:v>
                </c:pt>
                <c:pt idx="29">
                  <c:v>54</c:v>
                </c:pt>
                <c:pt idx="30">
                  <c:v>80</c:v>
                </c:pt>
                <c:pt idx="31">
                  <c:v>56</c:v>
                </c:pt>
                <c:pt idx="32">
                  <c:v>64</c:v>
                </c:pt>
                <c:pt idx="33">
                  <c:v>42</c:v>
                </c:pt>
                <c:pt idx="34">
                  <c:v>42</c:v>
                </c:pt>
                <c:pt idx="35">
                  <c:v>0</c:v>
                </c:pt>
                <c:pt idx="36">
                  <c:v>42</c:v>
                </c:pt>
                <c:pt idx="37">
                  <c:v>42</c:v>
                </c:pt>
                <c:pt idx="38">
                  <c:v>38</c:v>
                </c:pt>
                <c:pt idx="39">
                  <c:v>152</c:v>
                </c:pt>
                <c:pt idx="40">
                  <c:v>38</c:v>
                </c:pt>
                <c:pt idx="41">
                  <c:v>0</c:v>
                </c:pt>
                <c:pt idx="42">
                  <c:v>38</c:v>
                </c:pt>
                <c:pt idx="43">
                  <c:v>38</c:v>
                </c:pt>
                <c:pt idx="44">
                  <c:v>42</c:v>
                </c:pt>
                <c:pt idx="45">
                  <c:v>60</c:v>
                </c:pt>
                <c:pt idx="46">
                  <c:v>42</c:v>
                </c:pt>
                <c:pt idx="47">
                  <c:v>42</c:v>
                </c:pt>
                <c:pt idx="48">
                  <c:v>42</c:v>
                </c:pt>
                <c:pt idx="49">
                  <c:v>42</c:v>
                </c:pt>
                <c:pt idx="50">
                  <c:v>140</c:v>
                </c:pt>
                <c:pt idx="51">
                  <c:v>140</c:v>
                </c:pt>
                <c:pt idx="52">
                  <c:v>84</c:v>
                </c:pt>
                <c:pt idx="53">
                  <c:v>50</c:v>
                </c:pt>
                <c:pt idx="54">
                  <c:v>100</c:v>
                </c:pt>
                <c:pt idx="55">
                  <c:v>50</c:v>
                </c:pt>
                <c:pt idx="56">
                  <c:v>50</c:v>
                </c:pt>
                <c:pt idx="57">
                  <c:v>100</c:v>
                </c:pt>
                <c:pt idx="58">
                  <c:v>0</c:v>
                </c:pt>
                <c:pt idx="59">
                  <c:v>56</c:v>
                </c:pt>
                <c:pt idx="60">
                  <c:v>56</c:v>
                </c:pt>
                <c:pt idx="61">
                  <c:v>56</c:v>
                </c:pt>
                <c:pt idx="62">
                  <c:v>70</c:v>
                </c:pt>
                <c:pt idx="63">
                  <c:v>138</c:v>
                </c:pt>
                <c:pt idx="64">
                  <c:v>42</c:v>
                </c:pt>
                <c:pt idx="65">
                  <c:v>122</c:v>
                </c:pt>
                <c:pt idx="66">
                  <c:v>42</c:v>
                </c:pt>
                <c:pt idx="67">
                  <c:v>42</c:v>
                </c:pt>
                <c:pt idx="68">
                  <c:v>284</c:v>
                </c:pt>
                <c:pt idx="69">
                  <c:v>72</c:v>
                </c:pt>
                <c:pt idx="70">
                  <c:v>90</c:v>
                </c:pt>
                <c:pt idx="71">
                  <c:v>84</c:v>
                </c:pt>
                <c:pt idx="72">
                  <c:v>0</c:v>
                </c:pt>
                <c:pt idx="73">
                  <c:v>0</c:v>
                </c:pt>
                <c:pt idx="74">
                  <c:v>120</c:v>
                </c:pt>
                <c:pt idx="75">
                  <c:v>192</c:v>
                </c:pt>
                <c:pt idx="76">
                  <c:v>588</c:v>
                </c:pt>
                <c:pt idx="77">
                  <c:v>70</c:v>
                </c:pt>
                <c:pt idx="78">
                  <c:v>114</c:v>
                </c:pt>
                <c:pt idx="79">
                  <c:v>38</c:v>
                </c:pt>
                <c:pt idx="80">
                  <c:v>42</c:v>
                </c:pt>
                <c:pt idx="81">
                  <c:v>42</c:v>
                </c:pt>
                <c:pt idx="82">
                  <c:v>42</c:v>
                </c:pt>
                <c:pt idx="83">
                  <c:v>42</c:v>
                </c:pt>
                <c:pt idx="84">
                  <c:v>84</c:v>
                </c:pt>
                <c:pt idx="85">
                  <c:v>50</c:v>
                </c:pt>
                <c:pt idx="86">
                  <c:v>50</c:v>
                </c:pt>
                <c:pt idx="87">
                  <c:v>200</c:v>
                </c:pt>
                <c:pt idx="88">
                  <c:v>70</c:v>
                </c:pt>
                <c:pt idx="89">
                  <c:v>84</c:v>
                </c:pt>
                <c:pt idx="90">
                  <c:v>42</c:v>
                </c:pt>
                <c:pt idx="91">
                  <c:v>280</c:v>
                </c:pt>
                <c:pt idx="92">
                  <c:v>70</c:v>
                </c:pt>
                <c:pt idx="93">
                  <c:v>250</c:v>
                </c:pt>
                <c:pt idx="94">
                  <c:v>550</c:v>
                </c:pt>
                <c:pt idx="95">
                  <c:v>68</c:v>
                </c:pt>
                <c:pt idx="96">
                  <c:v>54</c:v>
                </c:pt>
                <c:pt idx="97">
                  <c:v>162</c:v>
                </c:pt>
                <c:pt idx="98">
                  <c:v>72</c:v>
                </c:pt>
                <c:pt idx="99">
                  <c:v>122</c:v>
                </c:pt>
                <c:pt idx="100">
                  <c:v>272</c:v>
                </c:pt>
                <c:pt idx="101">
                  <c:v>112</c:v>
                </c:pt>
                <c:pt idx="102">
                  <c:v>200</c:v>
                </c:pt>
                <c:pt idx="103">
                  <c:v>60</c:v>
                </c:pt>
                <c:pt idx="104">
                  <c:v>60</c:v>
                </c:pt>
                <c:pt idx="105">
                  <c:v>60</c:v>
                </c:pt>
                <c:pt idx="106">
                  <c:v>60</c:v>
                </c:pt>
                <c:pt idx="107">
                  <c:v>70</c:v>
                </c:pt>
                <c:pt idx="108">
                  <c:v>280</c:v>
                </c:pt>
                <c:pt idx="109">
                  <c:v>221</c:v>
                </c:pt>
                <c:pt idx="110">
                  <c:v>43</c:v>
                </c:pt>
                <c:pt idx="111">
                  <c:v>222</c:v>
                </c:pt>
                <c:pt idx="112">
                  <c:v>126</c:v>
                </c:pt>
                <c:pt idx="113">
                  <c:v>42</c:v>
                </c:pt>
                <c:pt idx="114">
                  <c:v>140</c:v>
                </c:pt>
                <c:pt idx="115">
                  <c:v>44</c:v>
                </c:pt>
                <c:pt idx="116">
                  <c:v>68</c:v>
                </c:pt>
                <c:pt idx="117">
                  <c:v>46</c:v>
                </c:pt>
                <c:pt idx="118">
                  <c:v>210</c:v>
                </c:pt>
                <c:pt idx="119">
                  <c:v>44</c:v>
                </c:pt>
                <c:pt idx="120">
                  <c:v>346</c:v>
                </c:pt>
                <c:pt idx="121">
                  <c:v>60</c:v>
                </c:pt>
                <c:pt idx="122">
                  <c:v>46</c:v>
                </c:pt>
                <c:pt idx="123">
                  <c:v>42</c:v>
                </c:pt>
                <c:pt idx="124">
                  <c:v>126</c:v>
                </c:pt>
                <c:pt idx="125">
                  <c:v>180</c:v>
                </c:pt>
                <c:pt idx="126">
                  <c:v>72</c:v>
                </c:pt>
                <c:pt idx="127">
                  <c:v>50</c:v>
                </c:pt>
                <c:pt idx="128">
                  <c:v>126</c:v>
                </c:pt>
                <c:pt idx="129">
                  <c:v>42</c:v>
                </c:pt>
                <c:pt idx="130">
                  <c:v>350</c:v>
                </c:pt>
                <c:pt idx="131">
                  <c:v>280</c:v>
                </c:pt>
                <c:pt idx="132">
                  <c:v>50</c:v>
                </c:pt>
                <c:pt idx="133">
                  <c:v>490</c:v>
                </c:pt>
                <c:pt idx="134">
                  <c:v>204</c:v>
                </c:pt>
                <c:pt idx="135">
                  <c:v>92</c:v>
                </c:pt>
                <c:pt idx="136">
                  <c:v>46</c:v>
                </c:pt>
                <c:pt idx="137">
                  <c:v>300</c:v>
                </c:pt>
                <c:pt idx="138">
                  <c:v>288</c:v>
                </c:pt>
                <c:pt idx="139">
                  <c:v>72</c:v>
                </c:pt>
                <c:pt idx="140">
                  <c:v>288</c:v>
                </c:pt>
                <c:pt idx="141">
                  <c:v>60</c:v>
                </c:pt>
                <c:pt idx="142">
                  <c:v>120</c:v>
                </c:pt>
                <c:pt idx="143">
                  <c:v>120</c:v>
                </c:pt>
                <c:pt idx="144">
                  <c:v>60</c:v>
                </c:pt>
                <c:pt idx="145">
                  <c:v>70</c:v>
                </c:pt>
                <c:pt idx="146">
                  <c:v>70</c:v>
                </c:pt>
                <c:pt idx="147">
                  <c:v>70</c:v>
                </c:pt>
                <c:pt idx="148">
                  <c:v>60</c:v>
                </c:pt>
                <c:pt idx="149">
                  <c:v>602</c:v>
                </c:pt>
                <c:pt idx="150">
                  <c:v>60</c:v>
                </c:pt>
                <c:pt idx="151">
                  <c:v>60</c:v>
                </c:pt>
                <c:pt idx="152">
                  <c:v>40</c:v>
                </c:pt>
                <c:pt idx="153">
                  <c:v>96</c:v>
                </c:pt>
                <c:pt idx="154">
                  <c:v>48</c:v>
                </c:pt>
                <c:pt idx="155">
                  <c:v>48</c:v>
                </c:pt>
                <c:pt idx="156">
                  <c:v>600</c:v>
                </c:pt>
                <c:pt idx="157">
                  <c:v>68</c:v>
                </c:pt>
                <c:pt idx="158">
                  <c:v>54</c:v>
                </c:pt>
                <c:pt idx="159">
                  <c:v>162</c:v>
                </c:pt>
                <c:pt idx="160">
                  <c:v>110</c:v>
                </c:pt>
                <c:pt idx="161">
                  <c:v>50</c:v>
                </c:pt>
                <c:pt idx="162">
                  <c:v>44</c:v>
                </c:pt>
                <c:pt idx="163">
                  <c:v>84</c:v>
                </c:pt>
                <c:pt idx="164">
                  <c:v>72</c:v>
                </c:pt>
                <c:pt idx="165">
                  <c:v>42</c:v>
                </c:pt>
                <c:pt idx="166">
                  <c:v>72</c:v>
                </c:pt>
                <c:pt idx="167">
                  <c:v>72</c:v>
                </c:pt>
                <c:pt idx="168">
                  <c:v>120</c:v>
                </c:pt>
                <c:pt idx="169">
                  <c:v>1440</c:v>
                </c:pt>
                <c:pt idx="170">
                  <c:v>120</c:v>
                </c:pt>
                <c:pt idx="171">
                  <c:v>54</c:v>
                </c:pt>
                <c:pt idx="172">
                  <c:v>46</c:v>
                </c:pt>
                <c:pt idx="173">
                  <c:v>54</c:v>
                </c:pt>
                <c:pt idx="174">
                  <c:v>60</c:v>
                </c:pt>
                <c:pt idx="175">
                  <c:v>40</c:v>
                </c:pt>
                <c:pt idx="176">
                  <c:v>72</c:v>
                </c:pt>
                <c:pt idx="177">
                  <c:v>42</c:v>
                </c:pt>
                <c:pt idx="178">
                  <c:v>72</c:v>
                </c:pt>
                <c:pt idx="179">
                  <c:v>72</c:v>
                </c:pt>
                <c:pt idx="180">
                  <c:v>144</c:v>
                </c:pt>
                <c:pt idx="181">
                  <c:v>40</c:v>
                </c:pt>
                <c:pt idx="182">
                  <c:v>120</c:v>
                </c:pt>
                <c:pt idx="183">
                  <c:v>720</c:v>
                </c:pt>
                <c:pt idx="184">
                  <c:v>240</c:v>
                </c:pt>
                <c:pt idx="185">
                  <c:v>48</c:v>
                </c:pt>
                <c:pt idx="186">
                  <c:v>120</c:v>
                </c:pt>
                <c:pt idx="187">
                  <c:v>40</c:v>
                </c:pt>
                <c:pt idx="188">
                  <c:v>0</c:v>
                </c:pt>
                <c:pt idx="189">
                  <c:v>43</c:v>
                </c:pt>
                <c:pt idx="190">
                  <c:v>72</c:v>
                </c:pt>
                <c:pt idx="191">
                  <c:v>72</c:v>
                </c:pt>
                <c:pt idx="192">
                  <c:v>72</c:v>
                </c:pt>
                <c:pt idx="193">
                  <c:v>216</c:v>
                </c:pt>
                <c:pt idx="194">
                  <c:v>40</c:v>
                </c:pt>
                <c:pt idx="195">
                  <c:v>65</c:v>
                </c:pt>
                <c:pt idx="196">
                  <c:v>120</c:v>
                </c:pt>
                <c:pt idx="197">
                  <c:v>120</c:v>
                </c:pt>
                <c:pt idx="198">
                  <c:v>180</c:v>
                </c:pt>
                <c:pt idx="199">
                  <c:v>45</c:v>
                </c:pt>
                <c:pt idx="200">
                  <c:v>43</c:v>
                </c:pt>
                <c:pt idx="201">
                  <c:v>72</c:v>
                </c:pt>
                <c:pt idx="202">
                  <c:v>72</c:v>
                </c:pt>
                <c:pt idx="203">
                  <c:v>44</c:v>
                </c:pt>
                <c:pt idx="204">
                  <c:v>40</c:v>
                </c:pt>
                <c:pt idx="205">
                  <c:v>55</c:v>
                </c:pt>
                <c:pt idx="206">
                  <c:v>40</c:v>
                </c:pt>
                <c:pt idx="207">
                  <c:v>45</c:v>
                </c:pt>
                <c:pt idx="208">
                  <c:v>180</c:v>
                </c:pt>
                <c:pt idx="209">
                  <c:v>120</c:v>
                </c:pt>
                <c:pt idx="210">
                  <c:v>65</c:v>
                </c:pt>
                <c:pt idx="211">
                  <c:v>100</c:v>
                </c:pt>
                <c:pt idx="212">
                  <c:v>60</c:v>
                </c:pt>
                <c:pt idx="213">
                  <c:v>240</c:v>
                </c:pt>
                <c:pt idx="214">
                  <c:v>43</c:v>
                </c:pt>
                <c:pt idx="215">
                  <c:v>42</c:v>
                </c:pt>
                <c:pt idx="216">
                  <c:v>38</c:v>
                </c:pt>
                <c:pt idx="217">
                  <c:v>45</c:v>
                </c:pt>
                <c:pt idx="218">
                  <c:v>65</c:v>
                </c:pt>
                <c:pt idx="219">
                  <c:v>55</c:v>
                </c:pt>
                <c:pt idx="220">
                  <c:v>220</c:v>
                </c:pt>
                <c:pt idx="221">
                  <c:v>120</c:v>
                </c:pt>
                <c:pt idx="222">
                  <c:v>40</c:v>
                </c:pt>
                <c:pt idx="223">
                  <c:v>300</c:v>
                </c:pt>
                <c:pt idx="224">
                  <c:v>44</c:v>
                </c:pt>
                <c:pt idx="225">
                  <c:v>44</c:v>
                </c:pt>
                <c:pt idx="226">
                  <c:v>48</c:v>
                </c:pt>
                <c:pt idx="227">
                  <c:v>45</c:v>
                </c:pt>
                <c:pt idx="228">
                  <c:v>105</c:v>
                </c:pt>
                <c:pt idx="229">
                  <c:v>65</c:v>
                </c:pt>
                <c:pt idx="230">
                  <c:v>65</c:v>
                </c:pt>
                <c:pt idx="231">
                  <c:v>65</c:v>
                </c:pt>
                <c:pt idx="232">
                  <c:v>120</c:v>
                </c:pt>
                <c:pt idx="233">
                  <c:v>65</c:v>
                </c:pt>
                <c:pt idx="234">
                  <c:v>530</c:v>
                </c:pt>
                <c:pt idx="235">
                  <c:v>72</c:v>
                </c:pt>
                <c:pt idx="236">
                  <c:v>45</c:v>
                </c:pt>
                <c:pt idx="237">
                  <c:v>44</c:v>
                </c:pt>
                <c:pt idx="238">
                  <c:v>89</c:v>
                </c:pt>
                <c:pt idx="239">
                  <c:v>48</c:v>
                </c:pt>
                <c:pt idx="240">
                  <c:v>55</c:v>
                </c:pt>
                <c:pt idx="241">
                  <c:v>50</c:v>
                </c:pt>
                <c:pt idx="242">
                  <c:v>65</c:v>
                </c:pt>
                <c:pt idx="243">
                  <c:v>55</c:v>
                </c:pt>
                <c:pt idx="244">
                  <c:v>420</c:v>
                </c:pt>
                <c:pt idx="245">
                  <c:v>105</c:v>
                </c:pt>
                <c:pt idx="246">
                  <c:v>38</c:v>
                </c:pt>
                <c:pt idx="247">
                  <c:v>45</c:v>
                </c:pt>
                <c:pt idx="248">
                  <c:v>120</c:v>
                </c:pt>
                <c:pt idx="249">
                  <c:v>72</c:v>
                </c:pt>
                <c:pt idx="250">
                  <c:v>180</c:v>
                </c:pt>
                <c:pt idx="251">
                  <c:v>55</c:v>
                </c:pt>
                <c:pt idx="252">
                  <c:v>65</c:v>
                </c:pt>
                <c:pt idx="253">
                  <c:v>120</c:v>
                </c:pt>
                <c:pt idx="254">
                  <c:v>180</c:v>
                </c:pt>
                <c:pt idx="255">
                  <c:v>45</c:v>
                </c:pt>
                <c:pt idx="256">
                  <c:v>60</c:v>
                </c:pt>
                <c:pt idx="257">
                  <c:v>72</c:v>
                </c:pt>
                <c:pt idx="258">
                  <c:v>45</c:v>
                </c:pt>
                <c:pt idx="259">
                  <c:v>90</c:v>
                </c:pt>
                <c:pt idx="260">
                  <c:v>60</c:v>
                </c:pt>
                <c:pt idx="261">
                  <c:v>45</c:v>
                </c:pt>
                <c:pt idx="262">
                  <c:v>55</c:v>
                </c:pt>
                <c:pt idx="263">
                  <c:v>48</c:v>
                </c:pt>
                <c:pt idx="264">
                  <c:v>45</c:v>
                </c:pt>
                <c:pt idx="265">
                  <c:v>45</c:v>
                </c:pt>
                <c:pt idx="266">
                  <c:v>45</c:v>
                </c:pt>
                <c:pt idx="267">
                  <c:v>55</c:v>
                </c:pt>
                <c:pt idx="268">
                  <c:v>45</c:v>
                </c:pt>
                <c:pt idx="269">
                  <c:v>60</c:v>
                </c:pt>
                <c:pt idx="270">
                  <c:v>45</c:v>
                </c:pt>
                <c:pt idx="271">
                  <c:v>45</c:v>
                </c:pt>
                <c:pt idx="272">
                  <c:v>55</c:v>
                </c:pt>
                <c:pt idx="273">
                  <c:v>45</c:v>
                </c:pt>
              </c:numCache>
            </c:numRef>
          </c:val>
          <c:extLst>
            <c:ext xmlns:c16="http://schemas.microsoft.com/office/drawing/2014/chart" uri="{C3380CC4-5D6E-409C-BE32-E72D297353CC}">
              <c16:uniqueId val="{00000000-C1EB-49C6-80B2-2398956C5E3D}"/>
            </c:ext>
          </c:extLst>
        </c:ser>
        <c:ser>
          <c:idx val="1"/>
          <c:order val="1"/>
          <c:tx>
            <c:strRef>
              <c:f>'Pivot 2'!$C$3</c:f>
              <c:strCache>
                <c:ptCount val="1"/>
                <c:pt idx="0">
                  <c:v>Water Resistance (m)</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'Pivot 2'!$A$4:$A$307</c:f>
              <c:multiLvlStrCache>
                <c:ptCount val="274"/>
                <c:lvl>
                  <c:pt idx="0">
                    <c:v>104 Stainless Steel 41</c:v>
                  </c:pt>
                  <c:pt idx="1">
                    <c:v>Aquaracer Stainless Steel 32</c:v>
                  </c:pt>
                  <c:pt idx="2">
                    <c:v>Aquaracer Stainless Steel 43</c:v>
                  </c:pt>
                  <c:pt idx="3">
                    <c:v>Big Crown ProPilot Stainless Steel 41</c:v>
                  </c:pt>
                  <c:pt idx="4">
                    <c:v>Classics Stainless Steel 40</c:v>
                  </c:pt>
                  <c:pt idx="5">
                    <c:v>Conquest Classic Stainless Steel 40</c:v>
                  </c:pt>
                  <c:pt idx="6">
                    <c:v>Conquest VHP Stainless Steel 41</c:v>
                  </c:pt>
                  <c:pt idx="7">
                    <c:v>Divers Sixty-Five Stainless Steel 40</c:v>
                  </c:pt>
                  <c:pt idx="8">
                    <c:v>HydroConquest Stainless Steel 41</c:v>
                  </c:pt>
                  <c:pt idx="9">
                    <c:v>HydroConquest Stainless Steel 43</c:v>
                  </c:pt>
                  <c:pt idx="10">
                    <c:v>Jazzmaster Stainless Steel 40</c:v>
                  </c:pt>
                  <c:pt idx="11">
                    <c:v>Khaki Field Auto Stainless Steel 38</c:v>
                  </c:pt>
                  <c:pt idx="12">
                    <c:v>Khaki Field Stainless Steel 38</c:v>
                  </c:pt>
                  <c:pt idx="13">
                    <c:v>Le Locle Stainless Steel 39.3</c:v>
                  </c:pt>
                  <c:pt idx="14">
                    <c:v>Master Collection Stainless Steel 38.5</c:v>
                  </c:pt>
                  <c:pt idx="15">
                    <c:v>Master Collection Stainless Steel 40</c:v>
                  </c:pt>
                  <c:pt idx="16">
                    <c:v>Precisionist Stainless Steel 46.5</c:v>
                  </c:pt>
                  <c:pt idx="17">
                    <c:v>Prospex Stainless Steel 42.3</c:v>
                  </c:pt>
                  <c:pt idx="18">
                    <c:v>Prospex Stainless Steel 43</c:v>
                  </c:pt>
                  <c:pt idx="19">
                    <c:v>Prospex Stainless Steel 44.3</c:v>
                  </c:pt>
                  <c:pt idx="20">
                    <c:v>True Thinline High-Tech Ceramic 39</c:v>
                  </c:pt>
                  <c:pt idx="21">
                    <c:v>1858 Stainless Steel 42</c:v>
                  </c:pt>
                  <c:pt idx="22">
                    <c:v>1858 Stainless Steel 44</c:v>
                  </c:pt>
                  <c:pt idx="23">
                    <c:v>Aquaracer Stainless Steel 41</c:v>
                  </c:pt>
                  <c:pt idx="24">
                    <c:v>Aquaracer Stainless Steel 43</c:v>
                  </c:pt>
                  <c:pt idx="25">
                    <c:v>Black Bay Stainless Steel 41</c:v>
                  </c:pt>
                  <c:pt idx="26">
                    <c:v>BR 03-92 Ceramic 42</c:v>
                  </c:pt>
                  <c:pt idx="27">
                    <c:v>BR V2-92 Stainless Steel 41</c:v>
                  </c:pt>
                  <c:pt idx="28">
                    <c:v>Clifton Baumatic Stainless Steel 40</c:v>
                  </c:pt>
                  <c:pt idx="29">
                    <c:v>Conquest Stainless Steel 41</c:v>
                  </c:pt>
                  <c:pt idx="30">
                    <c:v>Heritage Stainless Steel 40</c:v>
                  </c:pt>
                  <c:pt idx="31">
                    <c:v>Luminor Base Logo Stainless Steel 44</c:v>
                  </c:pt>
                  <c:pt idx="32">
                    <c:v>Master Collection Stainless Steel 40</c:v>
                  </c:pt>
                  <c:pt idx="33">
                    <c:v>Pilot's Watch Mark XVIII Stainless Steel 40</c:v>
                  </c:pt>
                  <c:pt idx="34">
                    <c:v>Pilot's Watch Stainless Steel 41</c:v>
                  </c:pt>
                  <c:pt idx="35">
                    <c:v>Santos-Dumont Stainless Steel 38</c:v>
                  </c:pt>
                  <c:pt idx="36">
                    <c:v>Star Legacy Stainless Steel 39</c:v>
                  </c:pt>
                  <c:pt idx="37">
                    <c:v>Star Legacy Stainless Steel 42</c:v>
                  </c:pt>
                  <c:pt idx="38">
                    <c:v>Superocean Heritage Stainless Steel 44</c:v>
                  </c:pt>
                  <c:pt idx="39">
                    <c:v>Superocean Stainless Steel 42</c:v>
                  </c:pt>
                  <c:pt idx="40">
                    <c:v>Superocean Stainless Steel 44</c:v>
                  </c:pt>
                  <c:pt idx="41">
                    <c:v>Tank Solo Stainless Steel 31</c:v>
                  </c:pt>
                  <c:pt idx="42">
                    <c:v>U1 Stainless Steel 44</c:v>
                  </c:pt>
                  <c:pt idx="43">
                    <c:v>U50 German Submarine Steel 45</c:v>
                  </c:pt>
                  <c:pt idx="44">
                    <c:v>1858 Bronze 44</c:v>
                  </c:pt>
                  <c:pt idx="45">
                    <c:v>Aqua Terra Stainless Steel 41.5</c:v>
                  </c:pt>
                  <c:pt idx="46">
                    <c:v>Avenger II Stainless Steel 43</c:v>
                  </c:pt>
                  <c:pt idx="47">
                    <c:v>Aviation Stainless Steel 42</c:v>
                  </c:pt>
                  <c:pt idx="48">
                    <c:v>Ballon Bleu Stainless Steel 33</c:v>
                  </c:pt>
                  <c:pt idx="49">
                    <c:v>Ballon Bleu Stainless Steel 36.6</c:v>
                  </c:pt>
                  <c:pt idx="50">
                    <c:v>Black Bay GMT Stainless Steel 41</c:v>
                  </c:pt>
                  <c:pt idx="51">
                    <c:v>Black Bay Stainless Steel 41</c:v>
                  </c:pt>
                  <c:pt idx="52">
                    <c:v>Carrera Stainless Steel 41</c:v>
                  </c:pt>
                  <c:pt idx="53">
                    <c:v>Constellation Stainless Steel 39</c:v>
                  </c:pt>
                  <c:pt idx="54">
                    <c:v>El Primero Stainless Steel 38</c:v>
                  </c:pt>
                  <c:pt idx="55">
                    <c:v>El Primero Stainless Steel 42</c:v>
                  </c:pt>
                  <c:pt idx="56">
                    <c:v>Elite Classic Stainless Steel 39</c:v>
                  </c:pt>
                  <c:pt idx="57">
                    <c:v>Elite Stainless Steel 40.5</c:v>
                  </c:pt>
                  <c:pt idx="58">
                    <c:v>Happy Sport Stainless Steel 30</c:v>
                  </c:pt>
                  <c:pt idx="59">
                    <c:v>Luminor Base Stainless Steel 44</c:v>
                  </c:pt>
                  <c:pt idx="60">
                    <c:v>Luminor Marina Stainless Steel 44</c:v>
                  </c:pt>
                  <c:pt idx="61">
                    <c:v>Luminor Marina Titanium 44</c:v>
                  </c:pt>
                  <c:pt idx="62">
                    <c:v>Master Ultra Thin Stainless Steel 38</c:v>
                  </c:pt>
                  <c:pt idx="63">
                    <c:v>Mille Miglia Stainless Steel 42</c:v>
                  </c:pt>
                  <c:pt idx="64">
                    <c:v>Mille Miglia Stainless Steel 44</c:v>
                  </c:pt>
                  <c:pt idx="65">
                    <c:v>Monaco Stainless Steel 39</c:v>
                  </c:pt>
                  <c:pt idx="66">
                    <c:v>Pilot's Watch Mark XVIII Stainless Steel 40</c:v>
                  </c:pt>
                  <c:pt idx="67">
                    <c:v>Pilot's Watch Stainless Steel 39</c:v>
                  </c:pt>
                  <c:pt idx="68">
                    <c:v>Pilot's Watch Stainless Steel 41</c:v>
                  </c:pt>
                  <c:pt idx="69">
                    <c:v>Pilot's Watch Stainless Steel 43</c:v>
                  </c:pt>
                  <c:pt idx="70">
                    <c:v>Reverso Stainless Steel 42.9</c:v>
                  </c:pt>
                  <c:pt idx="71">
                    <c:v>Santos Stainless Steel 35.1</c:v>
                  </c:pt>
                  <c:pt idx="72">
                    <c:v>Santos-Dumont Stainless Steel 31.4</c:v>
                  </c:pt>
                  <c:pt idx="73">
                    <c:v>Santos-Dumont Stainless Steel 43.5</c:v>
                  </c:pt>
                  <c:pt idx="74">
                    <c:v>Seamaster Titanium 43.5</c:v>
                  </c:pt>
                  <c:pt idx="75">
                    <c:v>Speedmaster Moonwatch Stainless Steel 42</c:v>
                  </c:pt>
                  <c:pt idx="76">
                    <c:v>Speedmaster Stainless Steel 42</c:v>
                  </c:pt>
                  <c:pt idx="77">
                    <c:v>Superocean Heritage II Stainless Steel 44</c:v>
                  </c:pt>
                  <c:pt idx="78">
                    <c:v>Superocean Heritage Stainless Steel 42</c:v>
                  </c:pt>
                  <c:pt idx="79">
                    <c:v>Superocean Stainless Steel 42</c:v>
                  </c:pt>
                  <c:pt idx="80">
                    <c:v>Superocean Stainless Steel 44</c:v>
                  </c:pt>
                  <c:pt idx="81">
                    <c:v>1858 Geosphere Stainless Steel 42</c:v>
                  </c:pt>
                  <c:pt idx="82">
                    <c:v>1858 Geosphere Titanium 42</c:v>
                  </c:pt>
                  <c:pt idx="83">
                    <c:v>Ballon Bleu Stainless Steel 33</c:v>
                  </c:pt>
                  <c:pt idx="84">
                    <c:v>Ballon Bleu Stainless Steel 42</c:v>
                  </c:pt>
                  <c:pt idx="85">
                    <c:v>Chronomaster El Primero Stainless Steel 38</c:v>
                  </c:pt>
                  <c:pt idx="86">
                    <c:v>Chronomaster Stainless Steel 38</c:v>
                  </c:pt>
                  <c:pt idx="87">
                    <c:v>Chronomaster Stainless Steel 42</c:v>
                  </c:pt>
                  <c:pt idx="88">
                    <c:v>Chronomat Stainless Steel 44</c:v>
                  </c:pt>
                  <c:pt idx="89">
                    <c:v>Classic Fusion Titanium 42</c:v>
                  </c:pt>
                  <c:pt idx="90">
                    <c:v>Classic Fusion Titanium 45</c:v>
                  </c:pt>
                  <c:pt idx="91">
                    <c:v>Datejust Stainless Steel 36</c:v>
                  </c:pt>
                  <c:pt idx="92">
                    <c:v>Datejust Stainless Steel 41</c:v>
                  </c:pt>
                  <c:pt idx="93">
                    <c:v>El Primero Stainless Steel 38</c:v>
                  </c:pt>
                  <c:pt idx="94">
                    <c:v>El Primero Stainless Steel 42</c:v>
                  </c:pt>
                  <c:pt idx="95">
                    <c:v>Grande Seconde Stainless Steel 43</c:v>
                  </c:pt>
                  <c:pt idx="96">
                    <c:v>Laureato Stainless Steel 38</c:v>
                  </c:pt>
                  <c:pt idx="97">
                    <c:v>Laureato Stainless Steel 42</c:v>
                  </c:pt>
                  <c:pt idx="98">
                    <c:v>Luminor Due Stainless Steel 38</c:v>
                  </c:pt>
                  <c:pt idx="99">
                    <c:v>Luminor Marina Stainless Steel 42</c:v>
                  </c:pt>
                  <c:pt idx="100">
                    <c:v>Luminor Marina Stainless Steel 44</c:v>
                  </c:pt>
                  <c:pt idx="101">
                    <c:v>Luminor Stainless Steel 44</c:v>
                  </c:pt>
                  <c:pt idx="102">
                    <c:v>Luminor Titanium 44</c:v>
                  </c:pt>
                  <c:pt idx="103">
                    <c:v>Marine Stainless Steel 42.2</c:v>
                  </c:pt>
                  <c:pt idx="104">
                    <c:v>Marine Stainless Steel 43</c:v>
                  </c:pt>
                  <c:pt idx="105">
                    <c:v>Marine Stainless Steel 44</c:v>
                  </c:pt>
                  <c:pt idx="106">
                    <c:v>Marine Torpilleur Stainless Steel 42</c:v>
                  </c:pt>
                  <c:pt idx="107">
                    <c:v>Master Control Stainless Steel 39</c:v>
                  </c:pt>
                  <c:pt idx="108">
                    <c:v>Master Control Stainless Steel 40</c:v>
                  </c:pt>
                  <c:pt idx="109">
                    <c:v>Master Ultra Thin Stainless Steel 39</c:v>
                  </c:pt>
                  <c:pt idx="110">
                    <c:v>Master Ultra Thin Stainless Steel 40</c:v>
                  </c:pt>
                  <c:pt idx="111">
                    <c:v>Mille Miglia Stainless Steel 42</c:v>
                  </c:pt>
                  <c:pt idx="112">
                    <c:v>Mille Miglia Stainless Steel 44</c:v>
                  </c:pt>
                  <c:pt idx="113">
                    <c:v>Monaco Stainless Steel 39</c:v>
                  </c:pt>
                  <c:pt idx="114">
                    <c:v>Navitimer Stainless Steel 43</c:v>
                  </c:pt>
                  <c:pt idx="115">
                    <c:v>Pilot's Watch Mark Stainless Steel 41</c:v>
                  </c:pt>
                  <c:pt idx="116">
                    <c:v>Pilot's Watch Stainless Steel 46.2</c:v>
                  </c:pt>
                  <c:pt idx="117">
                    <c:v>Portugieser Chronograph Stainless Steel 41</c:v>
                  </c:pt>
                  <c:pt idx="118">
                    <c:v>Portugieser Stainless Steel 40.4</c:v>
                  </c:pt>
                  <c:pt idx="119">
                    <c:v>Portugieser Stainless Steel 40.9</c:v>
                  </c:pt>
                  <c:pt idx="120">
                    <c:v>Portugieser Stainless Steel 41</c:v>
                  </c:pt>
                  <c:pt idx="121">
                    <c:v>Portugieser Stainless Steel 41.5</c:v>
                  </c:pt>
                  <c:pt idx="122">
                    <c:v>Portugieser Stainless Steel 42.3</c:v>
                  </c:pt>
                  <c:pt idx="123">
                    <c:v>Santos de Cartier Stainless Steel 39.8</c:v>
                  </c:pt>
                  <c:pt idx="124">
                    <c:v>Santos Stainless Steel 39.8</c:v>
                  </c:pt>
                  <c:pt idx="125">
                    <c:v>Speedmaster Stainless Steel 42</c:v>
                  </c:pt>
                  <c:pt idx="126">
                    <c:v>Big Bang Titanium 42</c:v>
                  </c:pt>
                  <c:pt idx="127">
                    <c:v>Chronomaster Stainless Steel 42</c:v>
                  </c:pt>
                  <c:pt idx="128">
                    <c:v>Classic Fusion Titanium 42</c:v>
                  </c:pt>
                  <c:pt idx="129">
                    <c:v>Classic Fusion Titanium 45</c:v>
                  </c:pt>
                  <c:pt idx="130">
                    <c:v>Datejust Stainless Steel 36</c:v>
                  </c:pt>
                  <c:pt idx="131">
                    <c:v>Datejust Stainless Steel 41</c:v>
                  </c:pt>
                  <c:pt idx="132">
                    <c:v>Defy Titanium 41</c:v>
                  </c:pt>
                  <c:pt idx="133">
                    <c:v>GMT-Master II Stainless Steel 40</c:v>
                  </c:pt>
                  <c:pt idx="134">
                    <c:v>Grande Seconde Stainless Steel 43</c:v>
                  </c:pt>
                  <c:pt idx="135">
                    <c:v>Laureato Stainless Steel 38</c:v>
                  </c:pt>
                  <c:pt idx="136">
                    <c:v>Laureato Stainless Steel 41</c:v>
                  </c:pt>
                  <c:pt idx="137">
                    <c:v>Laureato Stainless Steel 42</c:v>
                  </c:pt>
                  <c:pt idx="138">
                    <c:v>Luminor Marina Stainless Steel 44</c:v>
                  </c:pt>
                  <c:pt idx="139">
                    <c:v>Luminor Marina Titanium 44</c:v>
                  </c:pt>
                  <c:pt idx="140">
                    <c:v>Luminor Titanium 44</c:v>
                  </c:pt>
                  <c:pt idx="141">
                    <c:v>Marine Stainless Steel 42</c:v>
                  </c:pt>
                  <c:pt idx="142">
                    <c:v>Marine Stainless Steel 42.2</c:v>
                  </c:pt>
                  <c:pt idx="143">
                    <c:v>Marine Stainless Steel 44</c:v>
                  </c:pt>
                  <c:pt idx="144">
                    <c:v>Marine Titanium 44</c:v>
                  </c:pt>
                  <c:pt idx="145">
                    <c:v>Master Control Stainless Steel 39</c:v>
                  </c:pt>
                  <c:pt idx="146">
                    <c:v>Master Control Stainless Steel 40</c:v>
                  </c:pt>
                  <c:pt idx="147">
                    <c:v>Master Ultra Thin Stainless Steel 39</c:v>
                  </c:pt>
                  <c:pt idx="148">
                    <c:v>Portugieser Stainless Steel 40.4</c:v>
                  </c:pt>
                  <c:pt idx="149">
                    <c:v>Portugieser Stainless Steel 41</c:v>
                  </c:pt>
                  <c:pt idx="150">
                    <c:v>Portugieser Stainless Steel 42.3</c:v>
                  </c:pt>
                  <c:pt idx="151">
                    <c:v>Portuguese Stainless Steel 42.3</c:v>
                  </c:pt>
                  <c:pt idx="152">
                    <c:v>Senator Stainless Steel 42</c:v>
                  </c:pt>
                  <c:pt idx="153">
                    <c:v>Submariner Stainless Steel 40</c:v>
                  </c:pt>
                  <c:pt idx="154">
                    <c:v>Type XX Stainless Steel 39.5</c:v>
                  </c:pt>
                  <c:pt idx="155">
                    <c:v>Type XXI Stainless Steel 42</c:v>
                  </c:pt>
                  <c:pt idx="156">
                    <c:v>Fifty Fathoms Stainless Steel 45</c:v>
                  </c:pt>
                  <c:pt idx="157">
                    <c:v>Grande Seconde Stainless Steel 43</c:v>
                  </c:pt>
                  <c:pt idx="158">
                    <c:v>Laureato Stainless Steel 41</c:v>
                  </c:pt>
                  <c:pt idx="159">
                    <c:v>Laureato Stainless Steel 42</c:v>
                  </c:pt>
                  <c:pt idx="160">
                    <c:v>Octo Finissimo Titanium 40</c:v>
                  </c:pt>
                  <c:pt idx="161">
                    <c:v>Polo S Stainless Steel 42</c:v>
                  </c:pt>
                  <c:pt idx="162">
                    <c:v>Polo Stainless Steel 42</c:v>
                  </c:pt>
                  <c:pt idx="163">
                    <c:v>Ballon Bleu 18k Rose Gold 33</c:v>
                  </c:pt>
                  <c:pt idx="164">
                    <c:v>Big Bang Carbon Fiber 44</c:v>
                  </c:pt>
                  <c:pt idx="165">
                    <c:v>Big Bang Ceramic 42</c:v>
                  </c:pt>
                  <c:pt idx="166">
                    <c:v>Big Bang Titanium 44</c:v>
                  </c:pt>
                  <c:pt idx="167">
                    <c:v>Daytona Stainless Steel 40</c:v>
                  </c:pt>
                  <c:pt idx="168">
                    <c:v>Fifty Fathoms Stainless Steel 43.6</c:v>
                  </c:pt>
                  <c:pt idx="169">
                    <c:v>Fifty Fathoms Stainless Steel 45</c:v>
                  </c:pt>
                  <c:pt idx="170">
                    <c:v>Fifty Fathoms Titanium 45</c:v>
                  </c:pt>
                  <c:pt idx="171">
                    <c:v>Laureato Stainless Steel 38</c:v>
                  </c:pt>
                  <c:pt idx="172">
                    <c:v>Laureato Stainless Steel 41</c:v>
                  </c:pt>
                  <c:pt idx="173">
                    <c:v>Laureato Stainless Steel 42</c:v>
                  </c:pt>
                  <c:pt idx="174">
                    <c:v>Octo Finissimo Titanium 40</c:v>
                  </c:pt>
                  <c:pt idx="175">
                    <c:v>Overseas Stainless Steel 41</c:v>
                  </c:pt>
                  <c:pt idx="176">
                    <c:v>Big Bang Carbon Fiber 44</c:v>
                  </c:pt>
                  <c:pt idx="177">
                    <c:v>Big Bang Ceramic 41</c:v>
                  </c:pt>
                  <c:pt idx="178">
                    <c:v>Big Bang Ceramic 44</c:v>
                  </c:pt>
                  <c:pt idx="179">
                    <c:v>Big Bang Ceramic 44.5</c:v>
                  </c:pt>
                  <c:pt idx="180">
                    <c:v>Big Bang Titanium 44</c:v>
                  </c:pt>
                  <c:pt idx="181">
                    <c:v>Classique 18K Rose Gold 39</c:v>
                  </c:pt>
                  <c:pt idx="182">
                    <c:v>Fifty Fathoms Stainless Steel 43</c:v>
                  </c:pt>
                  <c:pt idx="183">
                    <c:v>Fifty Fathoms Stainless Steel 45</c:v>
                  </c:pt>
                  <c:pt idx="184">
                    <c:v>Fifty Fathoms Titanium 45</c:v>
                  </c:pt>
                  <c:pt idx="185">
                    <c:v>GMT-Master II Stainless Steel 40</c:v>
                  </c:pt>
                  <c:pt idx="186">
                    <c:v>Overseas Stainless Steel 41</c:v>
                  </c:pt>
                  <c:pt idx="187">
                    <c:v>Patrimony Rose Gold 40</c:v>
                  </c:pt>
                  <c:pt idx="188">
                    <c:v>Santos-Dumont 18K Yellow Gold 27.5</c:v>
                  </c:pt>
                  <c:pt idx="189">
                    <c:v>Altiplano White Gold 38</c:v>
                  </c:pt>
                  <c:pt idx="190">
                    <c:v>Big Bang Ceramic 41</c:v>
                  </c:pt>
                  <c:pt idx="191">
                    <c:v>Big Bang Ceramic 42</c:v>
                  </c:pt>
                  <c:pt idx="192">
                    <c:v>Big Bang Ceramic 44</c:v>
                  </c:pt>
                  <c:pt idx="193">
                    <c:v>Big Bang Titanium 44</c:v>
                  </c:pt>
                  <c:pt idx="194">
                    <c:v>Classique 18k White Gold 38</c:v>
                  </c:pt>
                  <c:pt idx="195">
                    <c:v>Classique 18K White Gold 40</c:v>
                  </c:pt>
                  <c:pt idx="196">
                    <c:v>Fifty Fathoms Titanium 45</c:v>
                  </c:pt>
                  <c:pt idx="197">
                    <c:v>Overseas Stainless Steel 41</c:v>
                  </c:pt>
                  <c:pt idx="198">
                    <c:v>Royal Oak Stainless Steel 41</c:v>
                  </c:pt>
                  <c:pt idx="199">
                    <c:v>Saxonia 18k Rose Gold 37</c:v>
                  </c:pt>
                  <c:pt idx="200">
                    <c:v>Altiplano 18k White Gold 40</c:v>
                  </c:pt>
                  <c:pt idx="201">
                    <c:v>Big Bang Carbon Fiber 44</c:v>
                  </c:pt>
                  <c:pt idx="202">
                    <c:v>Big Bang Titanium 44</c:v>
                  </c:pt>
                  <c:pt idx="203">
                    <c:v>Calatrava Rose Gold 36</c:v>
                  </c:pt>
                  <c:pt idx="204">
                    <c:v>Classique 18K Rose Gold 39</c:v>
                  </c:pt>
                  <c:pt idx="205">
                    <c:v>Classique 18K Rose Gold 40</c:v>
                  </c:pt>
                  <c:pt idx="206">
                    <c:v>Classique 18k White Gold 39</c:v>
                  </c:pt>
                  <c:pt idx="207">
                    <c:v>Classique White Gold 39</c:v>
                  </c:pt>
                  <c:pt idx="208">
                    <c:v>Overseas Stainless Steel 41</c:v>
                  </c:pt>
                  <c:pt idx="209">
                    <c:v>Overseas Stainless Steel 41.5</c:v>
                  </c:pt>
                  <c:pt idx="210">
                    <c:v>Patrimony 18K White Gold 40</c:v>
                  </c:pt>
                  <c:pt idx="211">
                    <c:v>Royal Oak Stainless Steel 37</c:v>
                  </c:pt>
                  <c:pt idx="212">
                    <c:v>Royal Oak Stainless Steel 39</c:v>
                  </c:pt>
                  <c:pt idx="213">
                    <c:v>Royal Oak Stainless Steel 41</c:v>
                  </c:pt>
                  <c:pt idx="214">
                    <c:v>Altiplano 18k Rose Gold 38</c:v>
                  </c:pt>
                  <c:pt idx="215">
                    <c:v>Classic Fusion 18k King Gold 42</c:v>
                  </c:pt>
                  <c:pt idx="216">
                    <c:v>Classique 18k Rose Gold 38.5</c:v>
                  </c:pt>
                  <c:pt idx="217">
                    <c:v>Classique Rose Gold 38</c:v>
                  </c:pt>
                  <c:pt idx="218">
                    <c:v>Classique Rose Gold 40</c:v>
                  </c:pt>
                  <c:pt idx="219">
                    <c:v>Classique White Gold 39</c:v>
                  </c:pt>
                  <c:pt idx="220">
                    <c:v>Overseas Stainless Steel 41</c:v>
                  </c:pt>
                  <c:pt idx="221">
                    <c:v>Overseas Stainless Steel 41.5</c:v>
                  </c:pt>
                  <c:pt idx="222">
                    <c:v>Overseas Stainless Steel 42.5</c:v>
                  </c:pt>
                  <c:pt idx="223">
                    <c:v>Royal Oak Stainless Steel 41</c:v>
                  </c:pt>
                  <c:pt idx="224">
                    <c:v>Altiplano White Gold 40</c:v>
                  </c:pt>
                  <c:pt idx="225">
                    <c:v>Calatrava 18k Rose Gold 38</c:v>
                  </c:pt>
                  <c:pt idx="226">
                    <c:v>Calatrava 18k White Gold 39</c:v>
                  </c:pt>
                  <c:pt idx="227">
                    <c:v>Classique 18K Rose Gold 39</c:v>
                  </c:pt>
                  <c:pt idx="228">
                    <c:v>Classique 18k White Gold 38</c:v>
                  </c:pt>
                  <c:pt idx="229">
                    <c:v>Classique 18K White Gold 40</c:v>
                  </c:pt>
                  <c:pt idx="230">
                    <c:v>Classique Rose Gold 38.5</c:v>
                  </c:pt>
                  <c:pt idx="231">
                    <c:v>Classique Rose Gold 39</c:v>
                  </c:pt>
                  <c:pt idx="232">
                    <c:v>Overseas Stainless Steel 41</c:v>
                  </c:pt>
                  <c:pt idx="233">
                    <c:v>Patrimony 18k Rose Gold 42</c:v>
                  </c:pt>
                  <c:pt idx="234">
                    <c:v>Royal Oak Stainless Steel 41</c:v>
                  </c:pt>
                  <c:pt idx="235">
                    <c:v>Saxonia Rose Gold 38.5</c:v>
                  </c:pt>
                  <c:pt idx="236">
                    <c:v>Saxonia White Gold 38.5</c:v>
                  </c:pt>
                  <c:pt idx="237">
                    <c:v>Calatrava 18K White Gold 38</c:v>
                  </c:pt>
                  <c:pt idx="238">
                    <c:v>Calatrava White Gold 37</c:v>
                  </c:pt>
                  <c:pt idx="239">
                    <c:v>Calatrava White Gold 39</c:v>
                  </c:pt>
                  <c:pt idx="240">
                    <c:v>Classique 18k White Gold 39</c:v>
                  </c:pt>
                  <c:pt idx="241">
                    <c:v>Classique 18K White Gold 40</c:v>
                  </c:pt>
                  <c:pt idx="242">
                    <c:v>Classique Rose Gold 39</c:v>
                  </c:pt>
                  <c:pt idx="243">
                    <c:v>Classique Rose Gold 40</c:v>
                  </c:pt>
                  <c:pt idx="244">
                    <c:v>Royal Oak Stainless Steel 41</c:v>
                  </c:pt>
                  <c:pt idx="245">
                    <c:v>Classique 18K Rose Gold 39</c:v>
                  </c:pt>
                  <c:pt idx="246">
                    <c:v>Classique 18K Yellow Gold 39</c:v>
                  </c:pt>
                  <c:pt idx="247">
                    <c:v>Nautilus Stainless Steel 40</c:v>
                  </c:pt>
                  <c:pt idx="248">
                    <c:v>Royal Oak Stainless Steel 41</c:v>
                  </c:pt>
                  <c:pt idx="249">
                    <c:v>Daytona 18k Yellow Gold 40</c:v>
                  </c:pt>
                  <c:pt idx="250">
                    <c:v>Nautilus Stainless Steel 40.5</c:v>
                  </c:pt>
                  <c:pt idx="251">
                    <c:v>Nautilus Stainless Steel 40.8</c:v>
                  </c:pt>
                  <c:pt idx="252">
                    <c:v>Patrimony White Gold 40</c:v>
                  </c:pt>
                  <c:pt idx="253">
                    <c:v>Royal Oak Stainless Steel 41</c:v>
                  </c:pt>
                  <c:pt idx="254">
                    <c:v>Nautilus Stainless Steel 40.5</c:v>
                  </c:pt>
                  <c:pt idx="255">
                    <c:v>Nautilus Stainless Steel 40</c:v>
                  </c:pt>
                  <c:pt idx="256">
                    <c:v>Royal Oak Rose Gold 37</c:v>
                  </c:pt>
                  <c:pt idx="257">
                    <c:v>Daytona Yellow Gold 40</c:v>
                  </c:pt>
                  <c:pt idx="258">
                    <c:v>Nautilus Stainless Steel 40.5</c:v>
                  </c:pt>
                  <c:pt idx="259">
                    <c:v>Nautilus Stainless Steel 40.8</c:v>
                  </c:pt>
                  <c:pt idx="260">
                    <c:v>Royal Oak Rose Gold 37</c:v>
                  </c:pt>
                  <c:pt idx="261">
                    <c:v>Nautilus Stainless Steel 40.5</c:v>
                  </c:pt>
                  <c:pt idx="262">
                    <c:v>Nautilus Stainless Steel 40.5</c:v>
                  </c:pt>
                  <c:pt idx="263">
                    <c:v>Nautilus Stainless Steel 40.8</c:v>
                  </c:pt>
                  <c:pt idx="264">
                    <c:v>Nautilus Stainless Steel 40.8</c:v>
                  </c:pt>
                  <c:pt idx="265">
                    <c:v>Nautilus Stainless Steel 40.5</c:v>
                  </c:pt>
                  <c:pt idx="266">
                    <c:v>Nautilus Stainless Steel 40.5</c:v>
                  </c:pt>
                  <c:pt idx="267">
                    <c:v>Nautilus Stainless Steel 40.8</c:v>
                  </c:pt>
                  <c:pt idx="268">
                    <c:v>Nautilus Stainless Steel 40.8</c:v>
                  </c:pt>
                  <c:pt idx="269">
                    <c:v>Royal Oak Rose Gold 41</c:v>
                  </c:pt>
                  <c:pt idx="270">
                    <c:v>Nautilus Stainless Steel 40.8</c:v>
                  </c:pt>
                  <c:pt idx="271">
                    <c:v>Nautilus Stainless Steel 40.8</c:v>
                  </c:pt>
                  <c:pt idx="272">
                    <c:v>Nautilus Stainless Steel 40.5</c:v>
                  </c:pt>
                  <c:pt idx="273">
                    <c:v>Nautilus Stainless Steel 40.5</c:v>
                  </c:pt>
                </c:lvl>
                <c:lvl>
                  <c:pt idx="0">
                    <c:v>0-1999</c:v>
                  </c:pt>
                  <c:pt idx="21">
                    <c:v>2000-3999</c:v>
                  </c:pt>
                  <c:pt idx="44">
                    <c:v>4000-5999</c:v>
                  </c:pt>
                  <c:pt idx="81">
                    <c:v>6000-7999</c:v>
                  </c:pt>
                  <c:pt idx="126">
                    <c:v>8000-9999</c:v>
                  </c:pt>
                  <c:pt idx="156">
                    <c:v>10000-11999</c:v>
                  </c:pt>
                  <c:pt idx="163">
                    <c:v>12000-13999</c:v>
                  </c:pt>
                  <c:pt idx="176">
                    <c:v>14000-15999</c:v>
                  </c:pt>
                  <c:pt idx="189">
                    <c:v>16000-17999</c:v>
                  </c:pt>
                  <c:pt idx="200">
                    <c:v>18000-19999</c:v>
                  </c:pt>
                  <c:pt idx="214">
                    <c:v>20000-21999</c:v>
                  </c:pt>
                  <c:pt idx="224">
                    <c:v>22000-23999</c:v>
                  </c:pt>
                  <c:pt idx="237">
                    <c:v>24000-25999</c:v>
                  </c:pt>
                  <c:pt idx="245">
                    <c:v>26000-27999</c:v>
                  </c:pt>
                  <c:pt idx="249">
                    <c:v>28000-29999</c:v>
                  </c:pt>
                  <c:pt idx="254">
                    <c:v>34000-35999</c:v>
                  </c:pt>
                  <c:pt idx="255">
                    <c:v>36000-37999</c:v>
                  </c:pt>
                  <c:pt idx="257">
                    <c:v>38000-39999</c:v>
                  </c:pt>
                  <c:pt idx="261">
                    <c:v>40000-41999</c:v>
                  </c:pt>
                  <c:pt idx="262">
                    <c:v>44000-45999</c:v>
                  </c:pt>
                  <c:pt idx="264">
                    <c:v>46000-47999</c:v>
                  </c:pt>
                  <c:pt idx="265">
                    <c:v>48000-49999</c:v>
                  </c:pt>
                  <c:pt idx="266">
                    <c:v>50000-51999</c:v>
                  </c:pt>
                  <c:pt idx="268">
                    <c:v>52000-53999</c:v>
                  </c:pt>
                  <c:pt idx="269">
                    <c:v>54000-55999</c:v>
                  </c:pt>
                  <c:pt idx="270">
                    <c:v>56000-57999</c:v>
                  </c:pt>
                  <c:pt idx="271">
                    <c:v>62000-63999</c:v>
                  </c:pt>
                  <c:pt idx="272">
                    <c:v>66000-67999</c:v>
                  </c:pt>
                  <c:pt idx="273">
                    <c:v>68000-70000</c:v>
                  </c:pt>
                </c:lvl>
              </c:multiLvlStrCache>
            </c:multiLvlStrRef>
          </c:cat>
          <c:val>
            <c:numRef>
              <c:f>'Pivot 2'!$C$4:$C$307</c:f>
              <c:numCache>
                <c:formatCode>General</c:formatCode>
                <c:ptCount val="274"/>
                <c:pt idx="0">
                  <c:v>200</c:v>
                </c:pt>
                <c:pt idx="1">
                  <c:v>300</c:v>
                </c:pt>
                <c:pt idx="2">
                  <c:v>300</c:v>
                </c:pt>
                <c:pt idx="3">
                  <c:v>100</c:v>
                </c:pt>
                <c:pt idx="4">
                  <c:v>100</c:v>
                </c:pt>
                <c:pt idx="5">
                  <c:v>50</c:v>
                </c:pt>
                <c:pt idx="6">
                  <c:v>50</c:v>
                </c:pt>
                <c:pt idx="7">
                  <c:v>100</c:v>
                </c:pt>
                <c:pt idx="8">
                  <c:v>300</c:v>
                </c:pt>
                <c:pt idx="9">
                  <c:v>300</c:v>
                </c:pt>
                <c:pt idx="10">
                  <c:v>50</c:v>
                </c:pt>
                <c:pt idx="11">
                  <c:v>100</c:v>
                </c:pt>
                <c:pt idx="12">
                  <c:v>200</c:v>
                </c:pt>
                <c:pt idx="13">
                  <c:v>60</c:v>
                </c:pt>
                <c:pt idx="14">
                  <c:v>90</c:v>
                </c:pt>
                <c:pt idx="15">
                  <c:v>30</c:v>
                </c:pt>
                <c:pt idx="16">
                  <c:v>300</c:v>
                </c:pt>
                <c:pt idx="17">
                  <c:v>200</c:v>
                </c:pt>
                <c:pt idx="18">
                  <c:v>200</c:v>
                </c:pt>
                <c:pt idx="19">
                  <c:v>600</c:v>
                </c:pt>
                <c:pt idx="20">
                  <c:v>30</c:v>
                </c:pt>
                <c:pt idx="21">
                  <c:v>100</c:v>
                </c:pt>
                <c:pt idx="22">
                  <c:v>30</c:v>
                </c:pt>
                <c:pt idx="23">
                  <c:v>600</c:v>
                </c:pt>
                <c:pt idx="24">
                  <c:v>900</c:v>
                </c:pt>
                <c:pt idx="25">
                  <c:v>2000</c:v>
                </c:pt>
                <c:pt idx="26">
                  <c:v>200</c:v>
                </c:pt>
                <c:pt idx="27">
                  <c:v>100</c:v>
                </c:pt>
                <c:pt idx="28">
                  <c:v>50</c:v>
                </c:pt>
                <c:pt idx="29">
                  <c:v>300</c:v>
                </c:pt>
                <c:pt idx="30">
                  <c:v>100</c:v>
                </c:pt>
                <c:pt idx="31">
                  <c:v>100</c:v>
                </c:pt>
                <c:pt idx="32">
                  <c:v>30</c:v>
                </c:pt>
                <c:pt idx="33">
                  <c:v>60</c:v>
                </c:pt>
                <c:pt idx="34">
                  <c:v>60</c:v>
                </c:pt>
                <c:pt idx="35">
                  <c:v>30</c:v>
                </c:pt>
                <c:pt idx="36">
                  <c:v>50</c:v>
                </c:pt>
                <c:pt idx="37">
                  <c:v>50</c:v>
                </c:pt>
                <c:pt idx="38">
                  <c:v>200</c:v>
                </c:pt>
                <c:pt idx="39">
                  <c:v>4000</c:v>
                </c:pt>
                <c:pt idx="40">
                  <c:v>1000</c:v>
                </c:pt>
                <c:pt idx="41">
                  <c:v>60</c:v>
                </c:pt>
                <c:pt idx="42">
                  <c:v>1000</c:v>
                </c:pt>
                <c:pt idx="43">
                  <c:v>500</c:v>
                </c:pt>
                <c:pt idx="44">
                  <c:v>100</c:v>
                </c:pt>
                <c:pt idx="45">
                  <c:v>150</c:v>
                </c:pt>
                <c:pt idx="46">
                  <c:v>300</c:v>
                </c:pt>
                <c:pt idx="47">
                  <c:v>100</c:v>
                </c:pt>
                <c:pt idx="48">
                  <c:v>30</c:v>
                </c:pt>
                <c:pt idx="49">
                  <c:v>30</c:v>
                </c:pt>
                <c:pt idx="50">
                  <c:v>400</c:v>
                </c:pt>
                <c:pt idx="51">
                  <c:v>400</c:v>
                </c:pt>
                <c:pt idx="52">
                  <c:v>200</c:v>
                </c:pt>
                <c:pt idx="53">
                  <c:v>100</c:v>
                </c:pt>
                <c:pt idx="54">
                  <c:v>200</c:v>
                </c:pt>
                <c:pt idx="55">
                  <c:v>100</c:v>
                </c:pt>
                <c:pt idx="56">
                  <c:v>50</c:v>
                </c:pt>
                <c:pt idx="57">
                  <c:v>100</c:v>
                </c:pt>
                <c:pt idx="58">
                  <c:v>60</c:v>
                </c:pt>
                <c:pt idx="59">
                  <c:v>100</c:v>
                </c:pt>
                <c:pt idx="60">
                  <c:v>300</c:v>
                </c:pt>
                <c:pt idx="61">
                  <c:v>300</c:v>
                </c:pt>
                <c:pt idx="62">
                  <c:v>50</c:v>
                </c:pt>
                <c:pt idx="63">
                  <c:v>150</c:v>
                </c:pt>
                <c:pt idx="64">
                  <c:v>50</c:v>
                </c:pt>
                <c:pt idx="65">
                  <c:v>300</c:v>
                </c:pt>
                <c:pt idx="66">
                  <c:v>60</c:v>
                </c:pt>
                <c:pt idx="67">
                  <c:v>60</c:v>
                </c:pt>
                <c:pt idx="68">
                  <c:v>360</c:v>
                </c:pt>
                <c:pt idx="69">
                  <c:v>60</c:v>
                </c:pt>
                <c:pt idx="70">
                  <c:v>60</c:v>
                </c:pt>
                <c:pt idx="71">
                  <c:v>200</c:v>
                </c:pt>
                <c:pt idx="72">
                  <c:v>30</c:v>
                </c:pt>
                <c:pt idx="73">
                  <c:v>30</c:v>
                </c:pt>
                <c:pt idx="74">
                  <c:v>1200</c:v>
                </c:pt>
                <c:pt idx="75">
                  <c:v>200</c:v>
                </c:pt>
                <c:pt idx="76">
                  <c:v>600</c:v>
                </c:pt>
                <c:pt idx="77">
                  <c:v>200</c:v>
                </c:pt>
                <c:pt idx="78">
                  <c:v>600</c:v>
                </c:pt>
                <c:pt idx="79">
                  <c:v>1000</c:v>
                </c:pt>
                <c:pt idx="80">
                  <c:v>200</c:v>
                </c:pt>
                <c:pt idx="81">
                  <c:v>100</c:v>
                </c:pt>
                <c:pt idx="82">
                  <c:v>100</c:v>
                </c:pt>
                <c:pt idx="83">
                  <c:v>30</c:v>
                </c:pt>
                <c:pt idx="84">
                  <c:v>60</c:v>
                </c:pt>
                <c:pt idx="85">
                  <c:v>100</c:v>
                </c:pt>
                <c:pt idx="86">
                  <c:v>50</c:v>
                </c:pt>
                <c:pt idx="87">
                  <c:v>250</c:v>
                </c:pt>
                <c:pt idx="88">
                  <c:v>200</c:v>
                </c:pt>
                <c:pt idx="89">
                  <c:v>100</c:v>
                </c:pt>
                <c:pt idx="90">
                  <c:v>50</c:v>
                </c:pt>
                <c:pt idx="91">
                  <c:v>400</c:v>
                </c:pt>
                <c:pt idx="92">
                  <c:v>100</c:v>
                </c:pt>
                <c:pt idx="93">
                  <c:v>500</c:v>
                </c:pt>
                <c:pt idx="94">
                  <c:v>1100</c:v>
                </c:pt>
                <c:pt idx="95">
                  <c:v>30</c:v>
                </c:pt>
                <c:pt idx="96">
                  <c:v>100</c:v>
                </c:pt>
                <c:pt idx="97">
                  <c:v>300</c:v>
                </c:pt>
                <c:pt idx="98">
                  <c:v>30</c:v>
                </c:pt>
                <c:pt idx="99">
                  <c:v>600</c:v>
                </c:pt>
                <c:pt idx="100">
                  <c:v>1200</c:v>
                </c:pt>
                <c:pt idx="101">
                  <c:v>200</c:v>
                </c:pt>
                <c:pt idx="102">
                  <c:v>500</c:v>
                </c:pt>
                <c:pt idx="103">
                  <c:v>100</c:v>
                </c:pt>
                <c:pt idx="104">
                  <c:v>100</c:v>
                </c:pt>
                <c:pt idx="105">
                  <c:v>100</c:v>
                </c:pt>
                <c:pt idx="106">
                  <c:v>50</c:v>
                </c:pt>
                <c:pt idx="107">
                  <c:v>50</c:v>
                </c:pt>
                <c:pt idx="108">
                  <c:v>200</c:v>
                </c:pt>
                <c:pt idx="109">
                  <c:v>200</c:v>
                </c:pt>
                <c:pt idx="110">
                  <c:v>50</c:v>
                </c:pt>
                <c:pt idx="111">
                  <c:v>250</c:v>
                </c:pt>
                <c:pt idx="112">
                  <c:v>150</c:v>
                </c:pt>
                <c:pt idx="113">
                  <c:v>100</c:v>
                </c:pt>
                <c:pt idx="114">
                  <c:v>60</c:v>
                </c:pt>
                <c:pt idx="115">
                  <c:v>60</c:v>
                </c:pt>
                <c:pt idx="116">
                  <c:v>60</c:v>
                </c:pt>
                <c:pt idx="117">
                  <c:v>30</c:v>
                </c:pt>
                <c:pt idx="118">
                  <c:v>120</c:v>
                </c:pt>
                <c:pt idx="119">
                  <c:v>30</c:v>
                </c:pt>
                <c:pt idx="120">
                  <c:v>180</c:v>
                </c:pt>
                <c:pt idx="121">
                  <c:v>30</c:v>
                </c:pt>
                <c:pt idx="122">
                  <c:v>30</c:v>
                </c:pt>
                <c:pt idx="123">
                  <c:v>100</c:v>
                </c:pt>
                <c:pt idx="124">
                  <c:v>300</c:v>
                </c:pt>
                <c:pt idx="125">
                  <c:v>150</c:v>
                </c:pt>
                <c:pt idx="126">
                  <c:v>100</c:v>
                </c:pt>
                <c:pt idx="127">
                  <c:v>100</c:v>
                </c:pt>
                <c:pt idx="128">
                  <c:v>150</c:v>
                </c:pt>
                <c:pt idx="129">
                  <c:v>50</c:v>
                </c:pt>
                <c:pt idx="130">
                  <c:v>500</c:v>
                </c:pt>
                <c:pt idx="131">
                  <c:v>400</c:v>
                </c:pt>
                <c:pt idx="132">
                  <c:v>100</c:v>
                </c:pt>
                <c:pt idx="133">
                  <c:v>700</c:v>
                </c:pt>
                <c:pt idx="134">
                  <c:v>90</c:v>
                </c:pt>
                <c:pt idx="135">
                  <c:v>200</c:v>
                </c:pt>
                <c:pt idx="136">
                  <c:v>100</c:v>
                </c:pt>
                <c:pt idx="137">
                  <c:v>600</c:v>
                </c:pt>
                <c:pt idx="138">
                  <c:v>1200</c:v>
                </c:pt>
                <c:pt idx="139">
                  <c:v>300</c:v>
                </c:pt>
                <c:pt idx="140">
                  <c:v>1200</c:v>
                </c:pt>
                <c:pt idx="141">
                  <c:v>100</c:v>
                </c:pt>
                <c:pt idx="142">
                  <c:v>200</c:v>
                </c:pt>
                <c:pt idx="143">
                  <c:v>400</c:v>
                </c:pt>
                <c:pt idx="144">
                  <c:v>300</c:v>
                </c:pt>
                <c:pt idx="145">
                  <c:v>50</c:v>
                </c:pt>
                <c:pt idx="146">
                  <c:v>50</c:v>
                </c:pt>
                <c:pt idx="147">
                  <c:v>50</c:v>
                </c:pt>
                <c:pt idx="148">
                  <c:v>30</c:v>
                </c:pt>
                <c:pt idx="149">
                  <c:v>270</c:v>
                </c:pt>
                <c:pt idx="150">
                  <c:v>30</c:v>
                </c:pt>
                <c:pt idx="151">
                  <c:v>30</c:v>
                </c:pt>
                <c:pt idx="152">
                  <c:v>50</c:v>
                </c:pt>
                <c:pt idx="153">
                  <c:v>600</c:v>
                </c:pt>
                <c:pt idx="154">
                  <c:v>100</c:v>
                </c:pt>
                <c:pt idx="155">
                  <c:v>100</c:v>
                </c:pt>
                <c:pt idx="156">
                  <c:v>1500</c:v>
                </c:pt>
                <c:pt idx="157">
                  <c:v>30</c:v>
                </c:pt>
                <c:pt idx="158">
                  <c:v>100</c:v>
                </c:pt>
                <c:pt idx="159">
                  <c:v>300</c:v>
                </c:pt>
                <c:pt idx="160">
                  <c:v>60</c:v>
                </c:pt>
                <c:pt idx="161">
                  <c:v>100</c:v>
                </c:pt>
                <c:pt idx="162">
                  <c:v>100</c:v>
                </c:pt>
                <c:pt idx="163">
                  <c:v>60</c:v>
                </c:pt>
                <c:pt idx="164">
                  <c:v>100</c:v>
                </c:pt>
                <c:pt idx="165">
                  <c:v>100</c:v>
                </c:pt>
                <c:pt idx="166">
                  <c:v>100</c:v>
                </c:pt>
                <c:pt idx="167">
                  <c:v>100</c:v>
                </c:pt>
                <c:pt idx="168">
                  <c:v>300</c:v>
                </c:pt>
                <c:pt idx="169">
                  <c:v>3600</c:v>
                </c:pt>
                <c:pt idx="170">
                  <c:v>300</c:v>
                </c:pt>
                <c:pt idx="171">
                  <c:v>100</c:v>
                </c:pt>
                <c:pt idx="172">
                  <c:v>100</c:v>
                </c:pt>
                <c:pt idx="173">
                  <c:v>100</c:v>
                </c:pt>
                <c:pt idx="174">
                  <c:v>100</c:v>
                </c:pt>
                <c:pt idx="175">
                  <c:v>150</c:v>
                </c:pt>
                <c:pt idx="176">
                  <c:v>100</c:v>
                </c:pt>
                <c:pt idx="177">
                  <c:v>100</c:v>
                </c:pt>
                <c:pt idx="178">
                  <c:v>100</c:v>
                </c:pt>
                <c:pt idx="179">
                  <c:v>100</c:v>
                </c:pt>
                <c:pt idx="180">
                  <c:v>200</c:v>
                </c:pt>
                <c:pt idx="181">
                  <c:v>30</c:v>
                </c:pt>
                <c:pt idx="182">
                  <c:v>300</c:v>
                </c:pt>
                <c:pt idx="183">
                  <c:v>1800</c:v>
                </c:pt>
                <c:pt idx="184">
                  <c:v>600</c:v>
                </c:pt>
                <c:pt idx="185">
                  <c:v>100</c:v>
                </c:pt>
                <c:pt idx="186">
                  <c:v>200</c:v>
                </c:pt>
                <c:pt idx="187">
                  <c:v>30</c:v>
                </c:pt>
                <c:pt idx="188">
                  <c:v>30</c:v>
                </c:pt>
                <c:pt idx="189">
                  <c:v>30</c:v>
                </c:pt>
                <c:pt idx="190">
                  <c:v>100</c:v>
                </c:pt>
                <c:pt idx="191">
                  <c:v>100</c:v>
                </c:pt>
                <c:pt idx="192">
                  <c:v>100</c:v>
                </c:pt>
                <c:pt idx="193">
                  <c:v>300</c:v>
                </c:pt>
                <c:pt idx="194">
                  <c:v>30</c:v>
                </c:pt>
                <c:pt idx="195">
                  <c:v>30</c:v>
                </c:pt>
                <c:pt idx="196">
                  <c:v>300</c:v>
                </c:pt>
                <c:pt idx="197">
                  <c:v>300</c:v>
                </c:pt>
                <c:pt idx="198">
                  <c:v>150</c:v>
                </c:pt>
                <c:pt idx="199">
                  <c:v>30</c:v>
                </c:pt>
                <c:pt idx="200">
                  <c:v>30</c:v>
                </c:pt>
                <c:pt idx="201">
                  <c:v>100</c:v>
                </c:pt>
                <c:pt idx="202">
                  <c:v>100</c:v>
                </c:pt>
                <c:pt idx="203">
                  <c:v>30</c:v>
                </c:pt>
                <c:pt idx="204">
                  <c:v>30</c:v>
                </c:pt>
                <c:pt idx="205">
                  <c:v>30</c:v>
                </c:pt>
                <c:pt idx="206">
                  <c:v>30</c:v>
                </c:pt>
                <c:pt idx="207">
                  <c:v>30</c:v>
                </c:pt>
                <c:pt idx="208">
                  <c:v>500</c:v>
                </c:pt>
                <c:pt idx="209">
                  <c:v>450</c:v>
                </c:pt>
                <c:pt idx="210">
                  <c:v>30</c:v>
                </c:pt>
                <c:pt idx="211">
                  <c:v>100</c:v>
                </c:pt>
                <c:pt idx="212">
                  <c:v>50</c:v>
                </c:pt>
                <c:pt idx="213">
                  <c:v>200</c:v>
                </c:pt>
                <c:pt idx="214">
                  <c:v>30</c:v>
                </c:pt>
                <c:pt idx="215">
                  <c:v>50</c:v>
                </c:pt>
                <c:pt idx="216">
                  <c:v>30</c:v>
                </c:pt>
                <c:pt idx="217">
                  <c:v>30</c:v>
                </c:pt>
                <c:pt idx="218">
                  <c:v>30</c:v>
                </c:pt>
                <c:pt idx="219">
                  <c:v>30</c:v>
                </c:pt>
                <c:pt idx="220">
                  <c:v>600</c:v>
                </c:pt>
                <c:pt idx="221">
                  <c:v>300</c:v>
                </c:pt>
                <c:pt idx="222">
                  <c:v>150</c:v>
                </c:pt>
                <c:pt idx="223">
                  <c:v>250</c:v>
                </c:pt>
                <c:pt idx="224">
                  <c:v>30</c:v>
                </c:pt>
                <c:pt idx="225">
                  <c:v>30</c:v>
                </c:pt>
                <c:pt idx="226">
                  <c:v>30</c:v>
                </c:pt>
                <c:pt idx="227">
                  <c:v>30</c:v>
                </c:pt>
                <c:pt idx="228">
                  <c:v>60</c:v>
                </c:pt>
                <c:pt idx="229">
                  <c:v>30</c:v>
                </c:pt>
                <c:pt idx="230">
                  <c:v>30</c:v>
                </c:pt>
                <c:pt idx="231">
                  <c:v>30</c:v>
                </c:pt>
                <c:pt idx="232">
                  <c:v>300</c:v>
                </c:pt>
                <c:pt idx="233">
                  <c:v>30</c:v>
                </c:pt>
                <c:pt idx="234">
                  <c:v>450</c:v>
                </c:pt>
                <c:pt idx="235">
                  <c:v>30</c:v>
                </c:pt>
                <c:pt idx="236">
                  <c:v>30</c:v>
                </c:pt>
                <c:pt idx="237">
                  <c:v>30</c:v>
                </c:pt>
                <c:pt idx="238">
                  <c:v>60</c:v>
                </c:pt>
                <c:pt idx="239">
                  <c:v>30</c:v>
                </c:pt>
                <c:pt idx="240">
                  <c:v>30</c:v>
                </c:pt>
                <c:pt idx="241">
                  <c:v>30</c:v>
                </c:pt>
                <c:pt idx="242">
                  <c:v>30</c:v>
                </c:pt>
                <c:pt idx="243">
                  <c:v>30</c:v>
                </c:pt>
                <c:pt idx="244">
                  <c:v>350</c:v>
                </c:pt>
                <c:pt idx="245">
                  <c:v>60</c:v>
                </c:pt>
                <c:pt idx="246">
                  <c:v>30</c:v>
                </c:pt>
                <c:pt idx="247">
                  <c:v>120</c:v>
                </c:pt>
                <c:pt idx="248">
                  <c:v>100</c:v>
                </c:pt>
                <c:pt idx="249">
                  <c:v>100</c:v>
                </c:pt>
                <c:pt idx="250">
                  <c:v>480</c:v>
                </c:pt>
                <c:pt idx="251">
                  <c:v>120</c:v>
                </c:pt>
                <c:pt idx="252">
                  <c:v>30</c:v>
                </c:pt>
                <c:pt idx="253">
                  <c:v>100</c:v>
                </c:pt>
                <c:pt idx="254">
                  <c:v>480</c:v>
                </c:pt>
                <c:pt idx="255">
                  <c:v>120</c:v>
                </c:pt>
                <c:pt idx="256">
                  <c:v>50</c:v>
                </c:pt>
                <c:pt idx="257">
                  <c:v>100</c:v>
                </c:pt>
                <c:pt idx="258">
                  <c:v>120</c:v>
                </c:pt>
                <c:pt idx="259">
                  <c:v>240</c:v>
                </c:pt>
                <c:pt idx="260">
                  <c:v>50</c:v>
                </c:pt>
                <c:pt idx="261">
                  <c:v>120</c:v>
                </c:pt>
                <c:pt idx="262">
                  <c:v>120</c:v>
                </c:pt>
                <c:pt idx="263">
                  <c:v>120</c:v>
                </c:pt>
                <c:pt idx="264">
                  <c:v>120</c:v>
                </c:pt>
                <c:pt idx="265">
                  <c:v>120</c:v>
                </c:pt>
                <c:pt idx="266">
                  <c:v>120</c:v>
                </c:pt>
                <c:pt idx="267">
                  <c:v>120</c:v>
                </c:pt>
                <c:pt idx="268">
                  <c:v>120</c:v>
                </c:pt>
                <c:pt idx="269">
                  <c:v>50</c:v>
                </c:pt>
                <c:pt idx="270">
                  <c:v>120</c:v>
                </c:pt>
                <c:pt idx="271">
                  <c:v>120</c:v>
                </c:pt>
                <c:pt idx="272">
                  <c:v>120</c:v>
                </c:pt>
                <c:pt idx="273">
                  <c:v>120</c:v>
                </c:pt>
              </c:numCache>
            </c:numRef>
          </c:val>
          <c:extLst>
            <c:ext xmlns:c16="http://schemas.microsoft.com/office/drawing/2014/chart" uri="{C3380CC4-5D6E-409C-BE32-E72D297353CC}">
              <c16:uniqueId val="{00000001-C1EB-49C6-80B2-2398956C5E3D}"/>
            </c:ext>
          </c:extLst>
        </c:ser>
        <c:dLbls>
          <c:dLblPos val="inEnd"/>
          <c:showLegendKey val="0"/>
          <c:showVal val="1"/>
          <c:showCatName val="0"/>
          <c:showSerName val="0"/>
          <c:showPercent val="0"/>
          <c:showBubbleSize val="0"/>
        </c:dLbls>
        <c:gapWidth val="65"/>
        <c:axId val="2043055520"/>
        <c:axId val="566771776"/>
      </c:barChart>
      <c:catAx>
        <c:axId val="2043055520"/>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66771776"/>
        <c:crosses val="autoZero"/>
        <c:auto val="1"/>
        <c:lblAlgn val="ctr"/>
        <c:lblOffset val="100"/>
        <c:noMultiLvlLbl val="0"/>
      </c:catAx>
      <c:valAx>
        <c:axId val="566771776"/>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043055520"/>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val">
        <cx:f>_xlchart.v1.5</cx:f>
      </cx:numDim>
    </cx:data>
  </cx:chartData>
  <cx:chart>
    <cx:title pos="t" align="ctr" overlay="0">
      <cx:tx>
        <cx:txData>
          <cx:v>Histogram of Automatic Watch's Thickness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Histogram of Automatic Watch's Thickness</a:t>
          </a:r>
        </a:p>
      </cx:txPr>
    </cx:title>
    <cx:plotArea>
      <cx:plotAreaRegion>
        <cx:series layoutId="clusteredColumn" uniqueId="{23F9A571-0290-43C5-8645-64DECB2A60BF}">
          <cx:dataLabels pos="inEnd">
            <cx:visibility seriesName="0" categoryName="0" value="1"/>
          </cx:dataLabels>
          <cx:dataId val="0"/>
          <cx:layoutPr>
            <cx:binning intervalClosed="r"/>
          </cx:layoutPr>
        </cx:series>
      </cx:plotAreaRegion>
      <cx:axis id="0">
        <cx:catScaling gapWidth="0"/>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_xlchart.v1.7</cx:f>
      </cx:numDim>
    </cx:data>
  </cx:chartData>
  <cx:chart>
    <cx:title pos="t" align="ctr" overlay="0">
      <cx:tx>
        <cx:txData>
          <cx:v>Histogram of Manual Watch's Thickness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Histogram of Manual Watch's Thickness</a:t>
          </a:r>
        </a:p>
      </cx:txPr>
    </cx:title>
    <cx:plotArea>
      <cx:plotAreaRegion>
        <cx:series layoutId="clusteredColumn" uniqueId="{BBE81242-012C-40C9-838E-54D8546953ED}">
          <cx:dataLabels/>
          <cx:dataId val="0"/>
          <cx:layoutPr>
            <cx:binning intervalClosed="r"/>
          </cx:layoutPr>
        </cx:series>
      </cx:plotAreaRegion>
      <cx:axis id="0">
        <cx:catScaling gapWidth="0"/>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title pos="t" align="ctr" overlay="0">
      <cx:tx>
        <cx:txData>
          <cx:v>Histogram of Quartz Watch's Thickness</cx:v>
        </cx:txData>
      </cx:tx>
      <cx:txPr>
        <a:bodyPr spcFirstLastPara="1" vertOverflow="ellipsis" horzOverflow="overflow" wrap="square" lIns="0" tIns="0" rIns="0" bIns="0" anchor="ctr" anchorCtr="1"/>
        <a:lstStyle/>
        <a:p>
          <a:pPr algn="ctr" rtl="0">
            <a:defRPr>
              <a:solidFill>
                <a:schemeClr val="bg1"/>
              </a:solidFill>
            </a:defRPr>
          </a:pPr>
          <a:r>
            <a:rPr lang="en-US" sz="1400" b="0" i="0" u="none" strike="noStrike" baseline="0">
              <a:solidFill>
                <a:schemeClr val="bg1"/>
              </a:solidFill>
              <a:latin typeface="Calibri" panose="020F0502020204030204"/>
            </a:rPr>
            <a:t>Histogram of Quartz Watch's Thickness</a:t>
          </a:r>
        </a:p>
      </cx:txPr>
    </cx:title>
    <cx:plotArea>
      <cx:plotAreaRegion>
        <cx:series layoutId="clusteredColumn" uniqueId="{6A5C2E7E-5107-4486-9FA1-EE02227CBC8A}">
          <cx:dataLabels/>
          <cx:dataId val="0"/>
          <cx:layoutPr>
            <cx:binning intervalClosed="r"/>
          </cx:layoutPr>
        </cx:series>
      </cx:plotAreaRegion>
      <cx:axis id="0">
        <cx:catScaling gapWidth="0"/>
        <cx:tickLabels/>
      </cx:axis>
      <cx:axis id="1">
        <cx:valScaling/>
        <cx:majorGridlines/>
        <cx:tickLabels/>
      </cx:axis>
    </cx:plotArea>
  </cx:chart>
  <cx:spPr>
    <a:ln>
      <a:solidFill>
        <a:schemeClr val="accent2">
          <a:shade val="15000"/>
          <a:alpha val="99000"/>
        </a:schemeClr>
      </a:solid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rich>
          <a:bodyPr spcFirstLastPara="1" vertOverflow="ellipsis" horzOverflow="overflow" wrap="square" lIns="0" tIns="0" rIns="0" bIns="0" anchor="ctr" anchorCtr="1"/>
          <a:lstStyle/>
          <a:p>
            <a:pPr rtl="0"/>
            <a:r>
              <a:rPr lang="en-US" sz="1800" b="1" i="0" baseline="0">
                <a:effectLst/>
              </a:rPr>
              <a:t>Histogram of Quartz Watch's Thickness</a:t>
            </a:r>
            <a:endParaRPr lang="en-US">
              <a:effectLst/>
            </a:endParaRPr>
          </a:p>
        </cx:rich>
      </cx:tx>
    </cx:title>
    <cx:plotArea>
      <cx:plotAreaRegion>
        <cx:series layoutId="clusteredColumn" uniqueId="{16C38ECD-ADE3-4509-980B-2F6465FC11BF}">
          <cx:dataLabels pos="inEnd">
            <cx:visibility seriesName="0" categoryName="0" value="1"/>
          </cx:dataLabels>
          <cx:dataId val="0"/>
          <cx:layoutPr>
            <cx:binning intervalClosed="r"/>
          </cx:layoutPr>
        </cx:series>
      </cx:plotAreaRegion>
      <cx:axis id="0">
        <cx:catScaling gapWidth="0"/>
        <cx:tickLabels/>
      </cx:axis>
      <cx:axis id="1" hidden="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69">
  <cs:axisTitle>
    <cs:lnRef idx="0"/>
    <cs:fillRef idx="0"/>
    <cs:effectRef idx="0"/>
    <cs:fontRef idx="minor">
      <a:schemeClr val="tx1">
        <a:lumMod val="50000"/>
        <a:lumOff val="50000"/>
      </a:schemeClr>
    </cs:fontRef>
    <cs:defRPr sz="900"/>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50000"/>
        <a:lumOff val="50000"/>
      </a:schemeClr>
    </cs:fontRef>
    <cs:defRPr sz="900"/>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ln w="9525" cap="flat" cmpd="sng" algn="ctr">
        <a:solidFill>
          <a:schemeClr val="phClr">
            <a:alpha val="50000"/>
          </a:schemeClr>
        </a:solidFill>
        <a:round/>
      </a:ln>
    </cs:spPr>
  </cs:dataPoint>
  <cs:dataPoint3D>
    <cs:lnRef idx="0">
      <cs:styleClr val="auto"/>
    </cs:lnRef>
    <cs:fillRef idx="0">
      <cs:styleClr val="auto"/>
    </cs:fillRef>
    <cs:effectRef idx="0"/>
    <cs:fontRef idx="minor">
      <a:schemeClr val="dk1"/>
    </cs:fontRef>
    <cs:spPr>
      <a:solidFill>
        <a:schemeClr val="phClr"/>
      </a:solidFill>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4"/>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400" cap="none" spc="2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69">
  <cs:axisTitle>
    <cs:lnRef idx="0"/>
    <cs:fillRef idx="0"/>
    <cs:effectRef idx="0"/>
    <cs:fontRef idx="minor">
      <a:schemeClr val="tx1">
        <a:lumMod val="50000"/>
        <a:lumOff val="50000"/>
      </a:schemeClr>
    </cs:fontRef>
    <cs:defRPr sz="900"/>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50000"/>
        <a:lumOff val="50000"/>
      </a:schemeClr>
    </cs:fontRef>
    <cs:defRPr sz="900"/>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ln w="9525" cap="flat" cmpd="sng" algn="ctr">
        <a:solidFill>
          <a:schemeClr val="phClr">
            <a:alpha val="50000"/>
          </a:schemeClr>
        </a:solidFill>
        <a:round/>
      </a:ln>
    </cs:spPr>
  </cs:dataPoint>
  <cs:dataPoint3D>
    <cs:lnRef idx="0">
      <cs:styleClr val="auto"/>
    </cs:lnRef>
    <cs:fillRef idx="0">
      <cs:styleClr val="auto"/>
    </cs:fillRef>
    <cs:effectRef idx="0"/>
    <cs:fontRef idx="minor">
      <a:schemeClr val="dk1"/>
    </cs:fontRef>
    <cs:spPr>
      <a:solidFill>
        <a:schemeClr val="phClr"/>
      </a:solidFill>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4"/>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400" cap="none" spc="2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70">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368">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Drop" dropStyle="combo" dx="22" fmlaLink="WIP!$E$3" fmlaRange="WIP!$C$3:$C$38" noThreeD="1" sel="28" val="27"/>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Radio" checked="Checked" firstButton="1" fmlaLink="WIP!$J$3"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fmlaLink="WIP!$O$3"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Drop" dropStyle="combo" dx="22" fmlaLink="WIP!$T$3" fmlaRange="WIP!$R$3:$R$9" noThreeD="1" sel="1" val="0"/>
</file>

<file path=xl/ctrlProps/ctrlProp14.xml><?xml version="1.0" encoding="utf-8"?>
<formControlPr xmlns="http://schemas.microsoft.com/office/spreadsheetml/2009/9/main" objectType="Drop" dropStyle="combo" dx="22" fmlaLink="WIP!$Y$3" fmlaRange="WIP!$W$3:$W$9" noThreeD="1" sel="5" val="0"/>
</file>

<file path=xl/ctrlProps/ctrlProp15.xml><?xml version="1.0" encoding="utf-8"?>
<formControlPr xmlns="http://schemas.microsoft.com/office/spreadsheetml/2009/9/main" objectType="CheckBox" checked="Checked" fmlaLink="WIP!$J$11" lockText="1" noThreeD="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 Id="rId4" Type="http://schemas.microsoft.com/office/2014/relationships/chartEx" Target="../charts/chartEx4.xml"/></Relationships>
</file>

<file path=xl/drawings/_rels/drawing7.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15</xdr:col>
      <xdr:colOff>323852</xdr:colOff>
      <xdr:row>9</xdr:row>
      <xdr:rowOff>161924</xdr:rowOff>
    </xdr:from>
    <xdr:to>
      <xdr:col>19</xdr:col>
      <xdr:colOff>57151</xdr:colOff>
      <xdr:row>12</xdr:row>
      <xdr:rowOff>180975</xdr:rowOff>
    </xdr:to>
    <xdr:sp macro="[0]!Merge_Column" textlink="">
      <xdr:nvSpPr>
        <xdr:cNvPr id="2" name="Rectangle 1">
          <a:extLst>
            <a:ext uri="{FF2B5EF4-FFF2-40B4-BE49-F238E27FC236}">
              <a16:creationId xmlns:a16="http://schemas.microsoft.com/office/drawing/2014/main" id="{00000000-0008-0000-0200-000002000000}"/>
            </a:ext>
          </a:extLst>
        </xdr:cNvPr>
        <xdr:cNvSpPr/>
      </xdr:nvSpPr>
      <xdr:spPr>
        <a:xfrm>
          <a:off x="19088102" y="1876424"/>
          <a:ext cx="2171699" cy="590551"/>
        </a:xfrm>
        <a:prstGeom prst="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Merge</a:t>
          </a:r>
          <a:r>
            <a:rPr lang="en-US" sz="1100" baseline="0"/>
            <a:t> Model and Case Material</a:t>
          </a:r>
          <a:endParaRPr lang="en-US" sz="1100"/>
        </a:p>
      </xdr:txBody>
    </xdr:sp>
    <xdr:clientData/>
  </xdr:twoCellAnchor>
  <xdr:twoCellAnchor>
    <xdr:from>
      <xdr:col>15</xdr:col>
      <xdr:colOff>323852</xdr:colOff>
      <xdr:row>13</xdr:row>
      <xdr:rowOff>171449</xdr:rowOff>
    </xdr:from>
    <xdr:to>
      <xdr:col>19</xdr:col>
      <xdr:colOff>57151</xdr:colOff>
      <xdr:row>16</xdr:row>
      <xdr:rowOff>0</xdr:rowOff>
    </xdr:to>
    <xdr:sp macro="[0]!Clean_WR" textlink="">
      <xdr:nvSpPr>
        <xdr:cNvPr id="3" name="Rectangle 2">
          <a:extLst>
            <a:ext uri="{FF2B5EF4-FFF2-40B4-BE49-F238E27FC236}">
              <a16:creationId xmlns:a16="http://schemas.microsoft.com/office/drawing/2014/main" id="{00000000-0008-0000-0200-000003000000}"/>
            </a:ext>
          </a:extLst>
        </xdr:cNvPr>
        <xdr:cNvSpPr/>
      </xdr:nvSpPr>
      <xdr:spPr>
        <a:xfrm>
          <a:off x="19088102" y="2647949"/>
          <a:ext cx="2171699" cy="400051"/>
        </a:xfrm>
        <a:prstGeom prst="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Clean</a:t>
          </a:r>
          <a:r>
            <a:rPr lang="en-US" sz="1100" baseline="0"/>
            <a:t> Water Resistance Column</a:t>
          </a:r>
          <a:endParaRPr lang="en-US" sz="1100"/>
        </a:p>
      </xdr:txBody>
    </xdr:sp>
    <xdr:clientData/>
  </xdr:twoCellAnchor>
  <xdr:twoCellAnchor>
    <xdr:from>
      <xdr:col>15</xdr:col>
      <xdr:colOff>314327</xdr:colOff>
      <xdr:row>16</xdr:row>
      <xdr:rowOff>180974</xdr:rowOff>
    </xdr:from>
    <xdr:to>
      <xdr:col>19</xdr:col>
      <xdr:colOff>47626</xdr:colOff>
      <xdr:row>19</xdr:row>
      <xdr:rowOff>9525</xdr:rowOff>
    </xdr:to>
    <xdr:sp macro="[0]!Clean_PR" textlink="">
      <xdr:nvSpPr>
        <xdr:cNvPr id="4" name="Rectangle 3">
          <a:extLst>
            <a:ext uri="{FF2B5EF4-FFF2-40B4-BE49-F238E27FC236}">
              <a16:creationId xmlns:a16="http://schemas.microsoft.com/office/drawing/2014/main" id="{00000000-0008-0000-0200-000004000000}"/>
            </a:ext>
          </a:extLst>
        </xdr:cNvPr>
        <xdr:cNvSpPr/>
      </xdr:nvSpPr>
      <xdr:spPr>
        <a:xfrm>
          <a:off x="19078577" y="3228974"/>
          <a:ext cx="2171699" cy="400051"/>
        </a:xfrm>
        <a:prstGeom prst="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Clean</a:t>
          </a:r>
          <a:r>
            <a:rPr lang="en-US" sz="1100" baseline="0"/>
            <a:t> Power Reserve</a:t>
          </a:r>
          <a:endParaRPr lang="en-US" sz="1100"/>
        </a:p>
      </xdr:txBody>
    </xdr:sp>
    <xdr:clientData/>
  </xdr:twoCellAnchor>
  <xdr:twoCellAnchor>
    <xdr:from>
      <xdr:col>15</xdr:col>
      <xdr:colOff>323852</xdr:colOff>
      <xdr:row>19</xdr:row>
      <xdr:rowOff>171449</xdr:rowOff>
    </xdr:from>
    <xdr:to>
      <xdr:col>19</xdr:col>
      <xdr:colOff>57151</xdr:colOff>
      <xdr:row>22</xdr:row>
      <xdr:rowOff>0</xdr:rowOff>
    </xdr:to>
    <xdr:sp macro="[0]!_xludf.Sort" textlink="">
      <xdr:nvSpPr>
        <xdr:cNvPr id="5" name="Rectangle 4">
          <a:extLst>
            <a:ext uri="{FF2B5EF4-FFF2-40B4-BE49-F238E27FC236}">
              <a16:creationId xmlns:a16="http://schemas.microsoft.com/office/drawing/2014/main" id="{00000000-0008-0000-0200-000005000000}"/>
            </a:ext>
          </a:extLst>
        </xdr:cNvPr>
        <xdr:cNvSpPr/>
      </xdr:nvSpPr>
      <xdr:spPr>
        <a:xfrm>
          <a:off x="19088102" y="3790949"/>
          <a:ext cx="2171699" cy="400051"/>
        </a:xfrm>
        <a:prstGeom prst="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Sort by Brand and</a:t>
          </a:r>
          <a:r>
            <a:rPr lang="en-US" sz="1100" baseline="0"/>
            <a:t> Price</a:t>
          </a:r>
          <a:endParaRPr lang="en-US" sz="1100"/>
        </a:p>
      </xdr:txBody>
    </xdr:sp>
    <xdr:clientData/>
  </xdr:twoCellAnchor>
  <xdr:twoCellAnchor>
    <xdr:from>
      <xdr:col>15</xdr:col>
      <xdr:colOff>323852</xdr:colOff>
      <xdr:row>22</xdr:row>
      <xdr:rowOff>142874</xdr:rowOff>
    </xdr:from>
    <xdr:to>
      <xdr:col>19</xdr:col>
      <xdr:colOff>57151</xdr:colOff>
      <xdr:row>24</xdr:row>
      <xdr:rowOff>161925</xdr:rowOff>
    </xdr:to>
    <xdr:sp macro="[0]!AddDiameterToModel" textlink="">
      <xdr:nvSpPr>
        <xdr:cNvPr id="6" name="Rectangle 5">
          <a:extLst>
            <a:ext uri="{FF2B5EF4-FFF2-40B4-BE49-F238E27FC236}">
              <a16:creationId xmlns:a16="http://schemas.microsoft.com/office/drawing/2014/main" id="{00000000-0008-0000-0200-000006000000}"/>
            </a:ext>
          </a:extLst>
        </xdr:cNvPr>
        <xdr:cNvSpPr/>
      </xdr:nvSpPr>
      <xdr:spPr>
        <a:xfrm>
          <a:off x="19088102" y="4333874"/>
          <a:ext cx="2171699" cy="400051"/>
        </a:xfrm>
        <a:prstGeom prst="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Clean</a:t>
          </a:r>
          <a:r>
            <a:rPr lang="en-US" sz="1100" baseline="0"/>
            <a:t> Model</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23</xdr:col>
      <xdr:colOff>257177</xdr:colOff>
      <xdr:row>1</xdr:row>
      <xdr:rowOff>47624</xdr:rowOff>
    </xdr:from>
    <xdr:to>
      <xdr:col>26</xdr:col>
      <xdr:colOff>19051</xdr:colOff>
      <xdr:row>4</xdr:row>
      <xdr:rowOff>66675</xdr:rowOff>
    </xdr:to>
    <xdr:sp macro="[0]!Merge_Column" textlink="">
      <xdr:nvSpPr>
        <xdr:cNvPr id="2" name="Rectangle 1">
          <a:extLst>
            <a:ext uri="{FF2B5EF4-FFF2-40B4-BE49-F238E27FC236}">
              <a16:creationId xmlns:a16="http://schemas.microsoft.com/office/drawing/2014/main" id="{00000000-0008-0000-0300-000002000000}"/>
            </a:ext>
          </a:extLst>
        </xdr:cNvPr>
        <xdr:cNvSpPr/>
      </xdr:nvSpPr>
      <xdr:spPr>
        <a:xfrm>
          <a:off x="14277977" y="238124"/>
          <a:ext cx="1590674" cy="590551"/>
        </a:xfrm>
        <a:prstGeom prst="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Merge</a:t>
          </a:r>
          <a:r>
            <a:rPr lang="en-US" sz="1100" baseline="0"/>
            <a:t> Model and Case Material</a:t>
          </a:r>
          <a:endParaRPr lang="en-US" sz="1100"/>
        </a:p>
      </xdr:txBody>
    </xdr:sp>
    <xdr:clientData/>
  </xdr:twoCellAnchor>
  <xdr:twoCellAnchor>
    <xdr:from>
      <xdr:col>23</xdr:col>
      <xdr:colOff>257177</xdr:colOff>
      <xdr:row>5</xdr:row>
      <xdr:rowOff>57149</xdr:rowOff>
    </xdr:from>
    <xdr:to>
      <xdr:col>26</xdr:col>
      <xdr:colOff>19051</xdr:colOff>
      <xdr:row>7</xdr:row>
      <xdr:rowOff>76200</xdr:rowOff>
    </xdr:to>
    <xdr:sp macro="[0]!Clean_WR" textlink="">
      <xdr:nvSpPr>
        <xdr:cNvPr id="3" name="Rectangle 2">
          <a:extLst>
            <a:ext uri="{FF2B5EF4-FFF2-40B4-BE49-F238E27FC236}">
              <a16:creationId xmlns:a16="http://schemas.microsoft.com/office/drawing/2014/main" id="{00000000-0008-0000-0300-000003000000}"/>
            </a:ext>
          </a:extLst>
        </xdr:cNvPr>
        <xdr:cNvSpPr/>
      </xdr:nvSpPr>
      <xdr:spPr>
        <a:xfrm>
          <a:off x="14277977" y="1009649"/>
          <a:ext cx="1590674" cy="400051"/>
        </a:xfrm>
        <a:prstGeom prst="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Clean</a:t>
          </a:r>
          <a:r>
            <a:rPr lang="en-US" sz="1100" baseline="0"/>
            <a:t> Water Resistance Column</a:t>
          </a:r>
          <a:endParaRPr lang="en-US" sz="1100"/>
        </a:p>
      </xdr:txBody>
    </xdr:sp>
    <xdr:clientData/>
  </xdr:twoCellAnchor>
  <xdr:twoCellAnchor>
    <xdr:from>
      <xdr:col>23</xdr:col>
      <xdr:colOff>247652</xdr:colOff>
      <xdr:row>8</xdr:row>
      <xdr:rowOff>66674</xdr:rowOff>
    </xdr:from>
    <xdr:to>
      <xdr:col>26</xdr:col>
      <xdr:colOff>9526</xdr:colOff>
      <xdr:row>10</xdr:row>
      <xdr:rowOff>85725</xdr:rowOff>
    </xdr:to>
    <xdr:sp macro="[0]!Clean_PR" textlink="">
      <xdr:nvSpPr>
        <xdr:cNvPr id="4" name="Rectangle 3">
          <a:extLst>
            <a:ext uri="{FF2B5EF4-FFF2-40B4-BE49-F238E27FC236}">
              <a16:creationId xmlns:a16="http://schemas.microsoft.com/office/drawing/2014/main" id="{00000000-0008-0000-0300-000004000000}"/>
            </a:ext>
          </a:extLst>
        </xdr:cNvPr>
        <xdr:cNvSpPr/>
      </xdr:nvSpPr>
      <xdr:spPr>
        <a:xfrm>
          <a:off x="14268452" y="1590674"/>
          <a:ext cx="1590674" cy="400051"/>
        </a:xfrm>
        <a:prstGeom prst="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Clean</a:t>
          </a:r>
          <a:r>
            <a:rPr lang="en-US" sz="1100" baseline="0"/>
            <a:t> Power Reserve</a:t>
          </a:r>
          <a:endParaRPr lang="en-US" sz="1100"/>
        </a:p>
      </xdr:txBody>
    </xdr:sp>
    <xdr:clientData/>
  </xdr:twoCellAnchor>
  <xdr:twoCellAnchor>
    <xdr:from>
      <xdr:col>23</xdr:col>
      <xdr:colOff>257177</xdr:colOff>
      <xdr:row>11</xdr:row>
      <xdr:rowOff>57149</xdr:rowOff>
    </xdr:from>
    <xdr:to>
      <xdr:col>26</xdr:col>
      <xdr:colOff>19051</xdr:colOff>
      <xdr:row>13</xdr:row>
      <xdr:rowOff>76200</xdr:rowOff>
    </xdr:to>
    <xdr:sp macro="[0]!_xludf.Sort" textlink="">
      <xdr:nvSpPr>
        <xdr:cNvPr id="5" name="Rectangle 4">
          <a:extLst>
            <a:ext uri="{FF2B5EF4-FFF2-40B4-BE49-F238E27FC236}">
              <a16:creationId xmlns:a16="http://schemas.microsoft.com/office/drawing/2014/main" id="{00000000-0008-0000-0300-000005000000}"/>
            </a:ext>
          </a:extLst>
        </xdr:cNvPr>
        <xdr:cNvSpPr/>
      </xdr:nvSpPr>
      <xdr:spPr>
        <a:xfrm>
          <a:off x="14277977" y="2152649"/>
          <a:ext cx="1590674" cy="400051"/>
        </a:xfrm>
        <a:prstGeom prst="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Sort by Brand and</a:t>
          </a:r>
          <a:r>
            <a:rPr lang="en-US" sz="1100" baseline="0"/>
            <a:t> Price</a:t>
          </a:r>
          <a:endParaRPr lang="en-US" sz="1100"/>
        </a:p>
      </xdr:txBody>
    </xdr:sp>
    <xdr:clientData/>
  </xdr:twoCellAnchor>
  <xdr:twoCellAnchor>
    <xdr:from>
      <xdr:col>23</xdr:col>
      <xdr:colOff>257177</xdr:colOff>
      <xdr:row>14</xdr:row>
      <xdr:rowOff>28574</xdr:rowOff>
    </xdr:from>
    <xdr:to>
      <xdr:col>26</xdr:col>
      <xdr:colOff>19051</xdr:colOff>
      <xdr:row>16</xdr:row>
      <xdr:rowOff>47625</xdr:rowOff>
    </xdr:to>
    <xdr:sp macro="[0]!AddDiameterToModel" textlink="">
      <xdr:nvSpPr>
        <xdr:cNvPr id="6" name="Rectangle 5">
          <a:extLst>
            <a:ext uri="{FF2B5EF4-FFF2-40B4-BE49-F238E27FC236}">
              <a16:creationId xmlns:a16="http://schemas.microsoft.com/office/drawing/2014/main" id="{00000000-0008-0000-0300-000006000000}"/>
            </a:ext>
          </a:extLst>
        </xdr:cNvPr>
        <xdr:cNvSpPr/>
      </xdr:nvSpPr>
      <xdr:spPr>
        <a:xfrm>
          <a:off x="14277977" y="2695574"/>
          <a:ext cx="1590674" cy="400051"/>
        </a:xfrm>
        <a:prstGeom prst="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Clean</a:t>
          </a:r>
          <a:r>
            <a:rPr lang="en-US" sz="1100" baseline="0"/>
            <a:t> Model</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7</xdr:row>
          <xdr:rowOff>9525</xdr:rowOff>
        </xdr:from>
        <xdr:to>
          <xdr:col>4</xdr:col>
          <xdr:colOff>9525</xdr:colOff>
          <xdr:row>8</xdr:row>
          <xdr:rowOff>0</xdr:rowOff>
        </xdr:to>
        <xdr:sp macro="" textlink="">
          <xdr:nvSpPr>
            <xdr:cNvPr id="2049" name="Drop Dow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8</xdr:row>
          <xdr:rowOff>0</xdr:rowOff>
        </xdr:from>
        <xdr:to>
          <xdr:col>4</xdr:col>
          <xdr:colOff>0</xdr:colOff>
          <xdr:row>9</xdr:row>
          <xdr:rowOff>0</xdr:rowOff>
        </xdr:to>
        <xdr:sp macro="" textlink="">
          <xdr:nvSpPr>
            <xdr:cNvPr id="2053" name="Group Box 5" hidden="1">
              <a:extLst>
                <a:ext uri="{63B3BB69-23CF-44E3-9099-C40C66FF867C}">
                  <a14:compatExt spid="_x0000_s2053"/>
                </a:ext>
                <a:ext uri="{FF2B5EF4-FFF2-40B4-BE49-F238E27FC236}">
                  <a16:creationId xmlns:a16="http://schemas.microsoft.com/office/drawing/2014/main" id="{00000000-0008-0000-0500-000005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8</xdr:row>
          <xdr:rowOff>95250</xdr:rowOff>
        </xdr:from>
        <xdr:to>
          <xdr:col>3</xdr:col>
          <xdr:colOff>1104900</xdr:colOff>
          <xdr:row>8</xdr:row>
          <xdr:rowOff>304800</xdr:rowOff>
        </xdr:to>
        <xdr:sp macro="" textlink="">
          <xdr:nvSpPr>
            <xdr:cNvPr id="2054" name="Option Button 6" hidden="1">
              <a:extLst>
                <a:ext uri="{63B3BB69-23CF-44E3-9099-C40C66FF867C}">
                  <a14:compatExt spid="_x0000_s2054"/>
                </a:ext>
                <a:ext uri="{FF2B5EF4-FFF2-40B4-BE49-F238E27FC236}">
                  <a16:creationId xmlns:a16="http://schemas.microsoft.com/office/drawing/2014/main" id="{00000000-0008-0000-05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&lt;=100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1171575</xdr:colOff>
          <xdr:row>8</xdr:row>
          <xdr:rowOff>114300</xdr:rowOff>
        </xdr:from>
        <xdr:to>
          <xdr:col>3</xdr:col>
          <xdr:colOff>2190750</xdr:colOff>
          <xdr:row>8</xdr:row>
          <xdr:rowOff>323850</xdr:rowOff>
        </xdr:to>
        <xdr:sp macro="" textlink="">
          <xdr:nvSpPr>
            <xdr:cNvPr id="2055" name="Option Button 7" hidden="1">
              <a:extLst>
                <a:ext uri="{63B3BB69-23CF-44E3-9099-C40C66FF867C}">
                  <a14:compatExt spid="_x0000_s2055"/>
                </a:ext>
                <a:ext uri="{FF2B5EF4-FFF2-40B4-BE49-F238E27FC236}">
                  <a16:creationId xmlns:a16="http://schemas.microsoft.com/office/drawing/2014/main" id="{00000000-0008-0000-05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200-300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2305050</xdr:colOff>
          <xdr:row>8</xdr:row>
          <xdr:rowOff>85725</xdr:rowOff>
        </xdr:from>
        <xdr:to>
          <xdr:col>3</xdr:col>
          <xdr:colOff>3324225</xdr:colOff>
          <xdr:row>8</xdr:row>
          <xdr:rowOff>295275</xdr:rowOff>
        </xdr:to>
        <xdr:sp macro="" textlink="">
          <xdr:nvSpPr>
            <xdr:cNvPr id="2056" name="Option Button 8" hidden="1">
              <a:extLst>
                <a:ext uri="{63B3BB69-23CF-44E3-9099-C40C66FF867C}">
                  <a14:compatExt spid="_x0000_s2056"/>
                </a:ext>
                <a:ext uri="{FF2B5EF4-FFF2-40B4-BE49-F238E27FC236}">
                  <a16:creationId xmlns:a16="http://schemas.microsoft.com/office/drawing/2014/main" id="{00000000-0008-0000-05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100-200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8</xdr:row>
          <xdr:rowOff>381000</xdr:rowOff>
        </xdr:from>
        <xdr:to>
          <xdr:col>3</xdr:col>
          <xdr:colOff>1104900</xdr:colOff>
          <xdr:row>8</xdr:row>
          <xdr:rowOff>590550</xdr:rowOff>
        </xdr:to>
        <xdr:sp macro="" textlink="">
          <xdr:nvSpPr>
            <xdr:cNvPr id="2057" name="Option Button 9" hidden="1">
              <a:extLst>
                <a:ext uri="{63B3BB69-23CF-44E3-9099-C40C66FF867C}">
                  <a14:compatExt spid="_x0000_s2057"/>
                </a:ext>
                <a:ext uri="{FF2B5EF4-FFF2-40B4-BE49-F238E27FC236}">
                  <a16:creationId xmlns:a16="http://schemas.microsoft.com/office/drawing/2014/main" id="{00000000-0008-0000-05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1181100</xdr:colOff>
          <xdr:row>8</xdr:row>
          <xdr:rowOff>381000</xdr:rowOff>
        </xdr:from>
        <xdr:to>
          <xdr:col>3</xdr:col>
          <xdr:colOff>2200275</xdr:colOff>
          <xdr:row>8</xdr:row>
          <xdr:rowOff>590550</xdr:rowOff>
        </xdr:to>
        <xdr:sp macro="" textlink="">
          <xdr:nvSpPr>
            <xdr:cNvPr id="2058" name="Option Button 10" hidden="1">
              <a:extLst>
                <a:ext uri="{63B3BB69-23CF-44E3-9099-C40C66FF867C}">
                  <a14:compatExt spid="_x0000_s2058"/>
                </a:ext>
                <a:ext uri="{FF2B5EF4-FFF2-40B4-BE49-F238E27FC236}">
                  <a16:creationId xmlns:a16="http://schemas.microsoft.com/office/drawing/2014/main" id="{00000000-0008-0000-05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300-500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2324100</xdr:colOff>
          <xdr:row>8</xdr:row>
          <xdr:rowOff>361950</xdr:rowOff>
        </xdr:from>
        <xdr:to>
          <xdr:col>3</xdr:col>
          <xdr:colOff>3343275</xdr:colOff>
          <xdr:row>8</xdr:row>
          <xdr:rowOff>571500</xdr:rowOff>
        </xdr:to>
        <xdr:sp macro="" textlink="">
          <xdr:nvSpPr>
            <xdr:cNvPr id="2059" name="Option Button 11" hidden="1">
              <a:extLst>
                <a:ext uri="{63B3BB69-23CF-44E3-9099-C40C66FF867C}">
                  <a14:compatExt spid="_x0000_s2059"/>
                </a:ext>
                <a:ext uri="{FF2B5EF4-FFF2-40B4-BE49-F238E27FC236}">
                  <a16:creationId xmlns:a16="http://schemas.microsoft.com/office/drawing/2014/main" id="{00000000-0008-0000-05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500-1000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9</xdr:row>
          <xdr:rowOff>9525</xdr:rowOff>
        </xdr:from>
        <xdr:to>
          <xdr:col>4</xdr:col>
          <xdr:colOff>0</xdr:colOff>
          <xdr:row>9</xdr:row>
          <xdr:rowOff>514350</xdr:rowOff>
        </xdr:to>
        <xdr:sp macro="" textlink="">
          <xdr:nvSpPr>
            <xdr:cNvPr id="2060" name="Group Box 12" hidden="1">
              <a:extLst>
                <a:ext uri="{63B3BB69-23CF-44E3-9099-C40C66FF867C}">
                  <a14:compatExt spid="_x0000_s2060"/>
                </a:ext>
                <a:ext uri="{FF2B5EF4-FFF2-40B4-BE49-F238E27FC236}">
                  <a16:creationId xmlns:a16="http://schemas.microsoft.com/office/drawing/2014/main" id="{00000000-0008-0000-0500-00000C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9</xdr:row>
          <xdr:rowOff>133350</xdr:rowOff>
        </xdr:from>
        <xdr:to>
          <xdr:col>3</xdr:col>
          <xdr:colOff>1219200</xdr:colOff>
          <xdr:row>9</xdr:row>
          <xdr:rowOff>342900</xdr:rowOff>
        </xdr:to>
        <xdr:sp macro="" textlink="">
          <xdr:nvSpPr>
            <xdr:cNvPr id="2061" name="Option Button 13" hidden="1">
              <a:extLst>
                <a:ext uri="{63B3BB69-23CF-44E3-9099-C40C66FF867C}">
                  <a14:compatExt spid="_x0000_s2061"/>
                </a:ext>
                <a:ext uri="{FF2B5EF4-FFF2-40B4-BE49-F238E27FC236}">
                  <a16:creationId xmlns:a16="http://schemas.microsoft.com/office/drawing/2014/main" id="{00000000-0008-0000-05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Manual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1171575</xdr:colOff>
          <xdr:row>9</xdr:row>
          <xdr:rowOff>142875</xdr:rowOff>
        </xdr:from>
        <xdr:to>
          <xdr:col>3</xdr:col>
          <xdr:colOff>2247900</xdr:colOff>
          <xdr:row>9</xdr:row>
          <xdr:rowOff>352425</xdr:rowOff>
        </xdr:to>
        <xdr:sp macro="" textlink="">
          <xdr:nvSpPr>
            <xdr:cNvPr id="2062" name="Option Button 14" hidden="1">
              <a:extLst>
                <a:ext uri="{63B3BB69-23CF-44E3-9099-C40C66FF867C}">
                  <a14:compatExt spid="_x0000_s2062"/>
                </a:ext>
                <a:ext uri="{FF2B5EF4-FFF2-40B4-BE49-F238E27FC236}">
                  <a16:creationId xmlns:a16="http://schemas.microsoft.com/office/drawing/2014/main" id="{00000000-0008-0000-05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Automatic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2343150</xdr:colOff>
          <xdr:row>9</xdr:row>
          <xdr:rowOff>133350</xdr:rowOff>
        </xdr:from>
        <xdr:to>
          <xdr:col>3</xdr:col>
          <xdr:colOff>3419475</xdr:colOff>
          <xdr:row>9</xdr:row>
          <xdr:rowOff>342900</xdr:rowOff>
        </xdr:to>
        <xdr:sp macro="" textlink="">
          <xdr:nvSpPr>
            <xdr:cNvPr id="2063" name="Option Button 15" hidden="1">
              <a:extLst>
                <a:ext uri="{63B3BB69-23CF-44E3-9099-C40C66FF867C}">
                  <a14:compatExt spid="_x0000_s2063"/>
                </a:ext>
                <a:ext uri="{FF2B5EF4-FFF2-40B4-BE49-F238E27FC236}">
                  <a16:creationId xmlns:a16="http://schemas.microsoft.com/office/drawing/2014/main" id="{00000000-0008-0000-05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Quartz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514350</xdr:rowOff>
        </xdr:from>
        <xdr:to>
          <xdr:col>4</xdr:col>
          <xdr:colOff>0</xdr:colOff>
          <xdr:row>10</xdr:row>
          <xdr:rowOff>381000</xdr:rowOff>
        </xdr:to>
        <xdr:sp macro="" textlink="">
          <xdr:nvSpPr>
            <xdr:cNvPr id="2064" name="Drop Down 16" hidden="1">
              <a:extLst>
                <a:ext uri="{63B3BB69-23CF-44E3-9099-C40C66FF867C}">
                  <a14:compatExt spid="_x0000_s2064"/>
                </a:ext>
                <a:ext uri="{FF2B5EF4-FFF2-40B4-BE49-F238E27FC236}">
                  <a16:creationId xmlns:a16="http://schemas.microsoft.com/office/drawing/2014/main" id="{00000000-0008-0000-05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10</xdr:row>
          <xdr:rowOff>371475</xdr:rowOff>
        </xdr:from>
        <xdr:to>
          <xdr:col>3</xdr:col>
          <xdr:colOff>3905250</xdr:colOff>
          <xdr:row>12</xdr:row>
          <xdr:rowOff>0</xdr:rowOff>
        </xdr:to>
        <xdr:sp macro="" textlink="">
          <xdr:nvSpPr>
            <xdr:cNvPr id="2065" name="Drop Down 17" hidden="1">
              <a:extLst>
                <a:ext uri="{63B3BB69-23CF-44E3-9099-C40C66FF867C}">
                  <a14:compatExt spid="_x0000_s2065"/>
                </a:ext>
                <a:ext uri="{FF2B5EF4-FFF2-40B4-BE49-F238E27FC236}">
                  <a16:creationId xmlns:a16="http://schemas.microsoft.com/office/drawing/2014/main" id="{00000000-0008-0000-05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66675</xdr:colOff>
      <xdr:row>13</xdr:row>
      <xdr:rowOff>152400</xdr:rowOff>
    </xdr:from>
    <xdr:to>
      <xdr:col>3</xdr:col>
      <xdr:colOff>3895725</xdr:colOff>
      <xdr:row>15</xdr:row>
      <xdr:rowOff>171451</xdr:rowOff>
    </xdr:to>
    <xdr:sp macro="[0]!FindMatchingWatches" textlink="">
      <xdr:nvSpPr>
        <xdr:cNvPr id="2" name="Rectangle 1">
          <a:extLst>
            <a:ext uri="{FF2B5EF4-FFF2-40B4-BE49-F238E27FC236}">
              <a16:creationId xmlns:a16="http://schemas.microsoft.com/office/drawing/2014/main" id="{00000000-0008-0000-0500-000002000000}"/>
            </a:ext>
          </a:extLst>
        </xdr:cNvPr>
        <xdr:cNvSpPr/>
      </xdr:nvSpPr>
      <xdr:spPr>
        <a:xfrm>
          <a:off x="2324100" y="4076700"/>
          <a:ext cx="3829050" cy="400051"/>
        </a:xfrm>
        <a:prstGeom prst="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Find My</a:t>
          </a:r>
          <a:r>
            <a:rPr lang="en-US" sz="1100" baseline="0"/>
            <a:t> Watch!</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38100</xdr:colOff>
          <xdr:row>12</xdr:row>
          <xdr:rowOff>85725</xdr:rowOff>
        </xdr:from>
        <xdr:to>
          <xdr:col>3</xdr:col>
          <xdr:colOff>2028825</xdr:colOff>
          <xdr:row>12</xdr:row>
          <xdr:rowOff>304800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5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Dress Watch Only</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12</xdr:col>
      <xdr:colOff>19050</xdr:colOff>
      <xdr:row>2</xdr:row>
      <xdr:rowOff>409575</xdr:rowOff>
    </xdr:from>
    <xdr:to>
      <xdr:col>14</xdr:col>
      <xdr:colOff>552450</xdr:colOff>
      <xdr:row>5</xdr:row>
      <xdr:rowOff>9526</xdr:rowOff>
    </xdr:to>
    <xdr:sp macro="[0]!Scenario_1" textlink="">
      <xdr:nvSpPr>
        <xdr:cNvPr id="2" name="Rectangle 1">
          <a:extLst>
            <a:ext uri="{FF2B5EF4-FFF2-40B4-BE49-F238E27FC236}">
              <a16:creationId xmlns:a16="http://schemas.microsoft.com/office/drawing/2014/main" id="{00000000-0008-0000-0600-000002000000}"/>
            </a:ext>
          </a:extLst>
        </xdr:cNvPr>
        <xdr:cNvSpPr/>
      </xdr:nvSpPr>
      <xdr:spPr>
        <a:xfrm>
          <a:off x="15592425" y="800100"/>
          <a:ext cx="1752600" cy="400051"/>
        </a:xfrm>
        <a:prstGeom prst="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10%</a:t>
          </a:r>
        </a:p>
      </xdr:txBody>
    </xdr:sp>
    <xdr:clientData/>
  </xdr:twoCellAnchor>
  <xdr:twoCellAnchor>
    <xdr:from>
      <xdr:col>12</xdr:col>
      <xdr:colOff>19050</xdr:colOff>
      <xdr:row>5</xdr:row>
      <xdr:rowOff>180975</xdr:rowOff>
    </xdr:from>
    <xdr:to>
      <xdr:col>14</xdr:col>
      <xdr:colOff>552450</xdr:colOff>
      <xdr:row>8</xdr:row>
      <xdr:rowOff>9526</xdr:rowOff>
    </xdr:to>
    <xdr:sp macro="[0]!Scenario_2" textlink="">
      <xdr:nvSpPr>
        <xdr:cNvPr id="3" name="Rectangle 2">
          <a:extLst>
            <a:ext uri="{FF2B5EF4-FFF2-40B4-BE49-F238E27FC236}">
              <a16:creationId xmlns:a16="http://schemas.microsoft.com/office/drawing/2014/main" id="{00000000-0008-0000-0600-000003000000}"/>
            </a:ext>
          </a:extLst>
        </xdr:cNvPr>
        <xdr:cNvSpPr/>
      </xdr:nvSpPr>
      <xdr:spPr>
        <a:xfrm>
          <a:off x="15592425" y="1371600"/>
          <a:ext cx="1752600" cy="400051"/>
        </a:xfrm>
        <a:prstGeom prst="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15%</a:t>
          </a:r>
        </a:p>
      </xdr:txBody>
    </xdr:sp>
    <xdr:clientData/>
  </xdr:twoCellAnchor>
  <xdr:twoCellAnchor>
    <xdr:from>
      <xdr:col>12</xdr:col>
      <xdr:colOff>28575</xdr:colOff>
      <xdr:row>9</xdr:row>
      <xdr:rowOff>0</xdr:rowOff>
    </xdr:from>
    <xdr:to>
      <xdr:col>14</xdr:col>
      <xdr:colOff>561975</xdr:colOff>
      <xdr:row>11</xdr:row>
      <xdr:rowOff>19051</xdr:rowOff>
    </xdr:to>
    <xdr:sp macro="[0]!Scenario_3" textlink="">
      <xdr:nvSpPr>
        <xdr:cNvPr id="4" name="Rectangle 3">
          <a:extLst>
            <a:ext uri="{FF2B5EF4-FFF2-40B4-BE49-F238E27FC236}">
              <a16:creationId xmlns:a16="http://schemas.microsoft.com/office/drawing/2014/main" id="{00000000-0008-0000-0600-000004000000}"/>
            </a:ext>
          </a:extLst>
        </xdr:cNvPr>
        <xdr:cNvSpPr/>
      </xdr:nvSpPr>
      <xdr:spPr>
        <a:xfrm>
          <a:off x="15601950" y="1952625"/>
          <a:ext cx="1752600" cy="400051"/>
        </a:xfrm>
        <a:prstGeom prst="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20%</a:t>
          </a:r>
        </a:p>
      </xdr:txBody>
    </xdr:sp>
    <xdr:clientData/>
  </xdr:twoCellAnchor>
  <xdr:twoCellAnchor>
    <xdr:from>
      <xdr:col>6</xdr:col>
      <xdr:colOff>1157286</xdr:colOff>
      <xdr:row>26</xdr:row>
      <xdr:rowOff>38100</xdr:rowOff>
    </xdr:from>
    <xdr:to>
      <xdr:col>10</xdr:col>
      <xdr:colOff>152400</xdr:colOff>
      <xdr:row>40</xdr:row>
      <xdr:rowOff>90486</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14285</xdr:colOff>
      <xdr:row>26</xdr:row>
      <xdr:rowOff>33337</xdr:rowOff>
    </xdr:from>
    <xdr:to>
      <xdr:col>6</xdr:col>
      <xdr:colOff>1152524</xdr:colOff>
      <xdr:row>40</xdr:row>
      <xdr:rowOff>109537</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23</xdr:col>
      <xdr:colOff>257177</xdr:colOff>
      <xdr:row>1</xdr:row>
      <xdr:rowOff>47624</xdr:rowOff>
    </xdr:from>
    <xdr:to>
      <xdr:col>26</xdr:col>
      <xdr:colOff>19051</xdr:colOff>
      <xdr:row>4</xdr:row>
      <xdr:rowOff>66675</xdr:rowOff>
    </xdr:to>
    <xdr:sp macro="[0]!Merge_Column" textlink="">
      <xdr:nvSpPr>
        <xdr:cNvPr id="2" name="Rectangle 1">
          <a:extLst>
            <a:ext uri="{FF2B5EF4-FFF2-40B4-BE49-F238E27FC236}">
              <a16:creationId xmlns:a16="http://schemas.microsoft.com/office/drawing/2014/main" id="{00000000-0008-0000-0700-000002000000}"/>
            </a:ext>
          </a:extLst>
        </xdr:cNvPr>
        <xdr:cNvSpPr/>
      </xdr:nvSpPr>
      <xdr:spPr>
        <a:xfrm>
          <a:off x="24355427" y="231774"/>
          <a:ext cx="1590674" cy="571501"/>
        </a:xfrm>
        <a:prstGeom prst="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Merge</a:t>
          </a:r>
          <a:r>
            <a:rPr lang="en-US" sz="1100" baseline="0"/>
            <a:t> Model and Case Material</a:t>
          </a:r>
          <a:endParaRPr lang="en-US" sz="1100"/>
        </a:p>
      </xdr:txBody>
    </xdr:sp>
    <xdr:clientData/>
  </xdr:twoCellAnchor>
  <xdr:twoCellAnchor>
    <xdr:from>
      <xdr:col>23</xdr:col>
      <xdr:colOff>257177</xdr:colOff>
      <xdr:row>5</xdr:row>
      <xdr:rowOff>57149</xdr:rowOff>
    </xdr:from>
    <xdr:to>
      <xdr:col>26</xdr:col>
      <xdr:colOff>19051</xdr:colOff>
      <xdr:row>7</xdr:row>
      <xdr:rowOff>76200</xdr:rowOff>
    </xdr:to>
    <xdr:sp macro="[0]!Clean_WR" textlink="">
      <xdr:nvSpPr>
        <xdr:cNvPr id="3" name="Rectangle 2">
          <a:extLst>
            <a:ext uri="{FF2B5EF4-FFF2-40B4-BE49-F238E27FC236}">
              <a16:creationId xmlns:a16="http://schemas.microsoft.com/office/drawing/2014/main" id="{00000000-0008-0000-0700-000003000000}"/>
            </a:ext>
          </a:extLst>
        </xdr:cNvPr>
        <xdr:cNvSpPr/>
      </xdr:nvSpPr>
      <xdr:spPr>
        <a:xfrm>
          <a:off x="24355427" y="977899"/>
          <a:ext cx="1590674" cy="387351"/>
        </a:xfrm>
        <a:prstGeom prst="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Clean</a:t>
          </a:r>
          <a:r>
            <a:rPr lang="en-US" sz="1100" baseline="0"/>
            <a:t> Water Resistance Column</a:t>
          </a:r>
          <a:endParaRPr lang="en-US" sz="1100"/>
        </a:p>
      </xdr:txBody>
    </xdr:sp>
    <xdr:clientData/>
  </xdr:twoCellAnchor>
  <xdr:twoCellAnchor>
    <xdr:from>
      <xdr:col>23</xdr:col>
      <xdr:colOff>247652</xdr:colOff>
      <xdr:row>8</xdr:row>
      <xdr:rowOff>66674</xdr:rowOff>
    </xdr:from>
    <xdr:to>
      <xdr:col>26</xdr:col>
      <xdr:colOff>9526</xdr:colOff>
      <xdr:row>10</xdr:row>
      <xdr:rowOff>85725</xdr:rowOff>
    </xdr:to>
    <xdr:sp macro="[0]!Clean_PR" textlink="">
      <xdr:nvSpPr>
        <xdr:cNvPr id="4" name="Rectangle 3">
          <a:extLst>
            <a:ext uri="{FF2B5EF4-FFF2-40B4-BE49-F238E27FC236}">
              <a16:creationId xmlns:a16="http://schemas.microsoft.com/office/drawing/2014/main" id="{00000000-0008-0000-0700-000004000000}"/>
            </a:ext>
          </a:extLst>
        </xdr:cNvPr>
        <xdr:cNvSpPr/>
      </xdr:nvSpPr>
      <xdr:spPr>
        <a:xfrm>
          <a:off x="24345902" y="1539874"/>
          <a:ext cx="1590674" cy="387351"/>
        </a:xfrm>
        <a:prstGeom prst="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Clean</a:t>
          </a:r>
          <a:r>
            <a:rPr lang="en-US" sz="1100" baseline="0"/>
            <a:t> Power Reserve</a:t>
          </a:r>
          <a:endParaRPr lang="en-US" sz="1100"/>
        </a:p>
      </xdr:txBody>
    </xdr:sp>
    <xdr:clientData/>
  </xdr:twoCellAnchor>
  <xdr:twoCellAnchor>
    <xdr:from>
      <xdr:col>23</xdr:col>
      <xdr:colOff>257177</xdr:colOff>
      <xdr:row>11</xdr:row>
      <xdr:rowOff>57149</xdr:rowOff>
    </xdr:from>
    <xdr:to>
      <xdr:col>26</xdr:col>
      <xdr:colOff>19051</xdr:colOff>
      <xdr:row>13</xdr:row>
      <xdr:rowOff>76200</xdr:rowOff>
    </xdr:to>
    <xdr:sp macro="[0]!_xludf.Sort" textlink="">
      <xdr:nvSpPr>
        <xdr:cNvPr id="5" name="Rectangle 4">
          <a:extLst>
            <a:ext uri="{FF2B5EF4-FFF2-40B4-BE49-F238E27FC236}">
              <a16:creationId xmlns:a16="http://schemas.microsoft.com/office/drawing/2014/main" id="{00000000-0008-0000-0700-000005000000}"/>
            </a:ext>
          </a:extLst>
        </xdr:cNvPr>
        <xdr:cNvSpPr/>
      </xdr:nvSpPr>
      <xdr:spPr>
        <a:xfrm>
          <a:off x="24355427" y="2082799"/>
          <a:ext cx="1590674" cy="387351"/>
        </a:xfrm>
        <a:prstGeom prst="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Sort by Brand and</a:t>
          </a:r>
          <a:r>
            <a:rPr lang="en-US" sz="1100" baseline="0"/>
            <a:t> Price</a:t>
          </a:r>
          <a:endParaRPr lang="en-US" sz="1100"/>
        </a:p>
      </xdr:txBody>
    </xdr:sp>
    <xdr:clientData/>
  </xdr:twoCellAnchor>
  <xdr:twoCellAnchor>
    <xdr:from>
      <xdr:col>23</xdr:col>
      <xdr:colOff>257177</xdr:colOff>
      <xdr:row>14</xdr:row>
      <xdr:rowOff>28574</xdr:rowOff>
    </xdr:from>
    <xdr:to>
      <xdr:col>26</xdr:col>
      <xdr:colOff>19051</xdr:colOff>
      <xdr:row>16</xdr:row>
      <xdr:rowOff>47625</xdr:rowOff>
    </xdr:to>
    <xdr:sp macro="[0]!AddDiameterToModel" textlink="">
      <xdr:nvSpPr>
        <xdr:cNvPr id="6" name="Rectangle 5">
          <a:extLst>
            <a:ext uri="{FF2B5EF4-FFF2-40B4-BE49-F238E27FC236}">
              <a16:creationId xmlns:a16="http://schemas.microsoft.com/office/drawing/2014/main" id="{00000000-0008-0000-0700-000006000000}"/>
            </a:ext>
          </a:extLst>
        </xdr:cNvPr>
        <xdr:cNvSpPr/>
      </xdr:nvSpPr>
      <xdr:spPr>
        <a:xfrm>
          <a:off x="24355427" y="2606674"/>
          <a:ext cx="1590674" cy="387351"/>
        </a:xfrm>
        <a:prstGeom prst="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Clean</a:t>
          </a:r>
          <a:r>
            <a:rPr lang="en-US" sz="1100" baseline="0"/>
            <a:t> Model</a:t>
          </a:r>
          <a:endParaRPr lang="en-US" sz="1100"/>
        </a:p>
      </xdr:txBody>
    </xdr:sp>
    <xdr:clientData/>
  </xdr:twoCellAnchor>
  <xdr:twoCellAnchor>
    <xdr:from>
      <xdr:col>3</xdr:col>
      <xdr:colOff>3174</xdr:colOff>
      <xdr:row>506</xdr:row>
      <xdr:rowOff>174625</xdr:rowOff>
    </xdr:from>
    <xdr:to>
      <xdr:col>10</xdr:col>
      <xdr:colOff>371475</xdr:colOff>
      <xdr:row>530</xdr:row>
      <xdr:rowOff>47625</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16</xdr:col>
      <xdr:colOff>595312</xdr:colOff>
      <xdr:row>2</xdr:row>
      <xdr:rowOff>14287</xdr:rowOff>
    </xdr:from>
    <xdr:to>
      <xdr:col>24</xdr:col>
      <xdr:colOff>290512</xdr:colOff>
      <xdr:row>16</xdr:row>
      <xdr:rowOff>90487</xdr:rowOff>
    </xdr:to>
    <mc:AlternateContent xmlns:mc="http://schemas.openxmlformats.org/markup-compatibility/2006">
      <mc:Choice xmlns:cx1="http://schemas.microsoft.com/office/drawing/2015/9/8/chartex" Requires="cx1">
        <xdr:graphicFrame macro="">
          <xdr:nvGraphicFramePr>
            <xdr:cNvPr id="21" name="Chart 7">
              <a:extLst>
                <a:ext uri="{FF2B5EF4-FFF2-40B4-BE49-F238E27FC236}">
                  <a16:creationId xmlns:a16="http://schemas.microsoft.com/office/drawing/2014/main" id="{00000000-0008-0000-0800-00001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729287" y="395287"/>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591085</xdr:colOff>
      <xdr:row>17</xdr:row>
      <xdr:rowOff>13473</xdr:rowOff>
    </xdr:from>
    <xdr:to>
      <xdr:col>24</xdr:col>
      <xdr:colOff>294231</xdr:colOff>
      <xdr:row>31</xdr:row>
      <xdr:rowOff>89673</xdr:rowOff>
    </xdr:to>
    <mc:AlternateContent xmlns:mc="http://schemas.openxmlformats.org/markup-compatibility/2006">
      <mc:Choice xmlns:cx1="http://schemas.microsoft.com/office/drawing/2015/9/8/chartex" Requires="cx1">
        <xdr:graphicFrame macro="">
          <xdr:nvGraphicFramePr>
            <xdr:cNvPr id="17" name="Chart 8">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5725060" y="3251973"/>
              <a:ext cx="4579946"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600560</xdr:colOff>
      <xdr:row>31</xdr:row>
      <xdr:rowOff>175142</xdr:rowOff>
    </xdr:from>
    <xdr:to>
      <xdr:col>24</xdr:col>
      <xdr:colOff>300242</xdr:colOff>
      <xdr:row>46</xdr:row>
      <xdr:rowOff>60842</xdr:rowOff>
    </xdr:to>
    <mc:AlternateContent xmlns:mc="http://schemas.openxmlformats.org/markup-compatibility/2006">
      <mc:Choice xmlns:cx1="http://schemas.microsoft.com/office/drawing/2015/9/8/chartex" Requires="cx1">
        <xdr:graphicFrame macro="">
          <xdr:nvGraphicFramePr>
            <xdr:cNvPr id="15" name="Chart 9">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5734535" y="6080642"/>
              <a:ext cx="4576482"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1309686</xdr:colOff>
      <xdr:row>507</xdr:row>
      <xdr:rowOff>4762</xdr:rowOff>
    </xdr:from>
    <xdr:to>
      <xdr:col>7</xdr:col>
      <xdr:colOff>1076324</xdr:colOff>
      <xdr:row>531</xdr:row>
      <xdr:rowOff>0</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0" y="96588262"/>
              <a:ext cx="3209924" cy="45672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2</xdr:col>
      <xdr:colOff>1790699</xdr:colOff>
      <xdr:row>1</xdr:row>
      <xdr:rowOff>176211</xdr:rowOff>
    </xdr:from>
    <xdr:to>
      <xdr:col>23</xdr:col>
      <xdr:colOff>352424</xdr:colOff>
      <xdr:row>43</xdr:row>
      <xdr:rowOff>180975</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457200</xdr:colOff>
      <xdr:row>73</xdr:row>
      <xdr:rowOff>161925</xdr:rowOff>
    </xdr:from>
    <xdr:to>
      <xdr:col>2</xdr:col>
      <xdr:colOff>638175</xdr:colOff>
      <xdr:row>87</xdr:row>
      <xdr:rowOff>19050</xdr:rowOff>
    </xdr:to>
    <mc:AlternateContent xmlns:mc="http://schemas.openxmlformats.org/markup-compatibility/2006" xmlns:a14="http://schemas.microsoft.com/office/drawing/2010/main">
      <mc:Choice Requires="a14">
        <xdr:graphicFrame macro="">
          <xdr:nvGraphicFramePr>
            <xdr:cNvPr id="4" name="Price Range">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microsoft.com/office/drawing/2010/slicer">
              <sle:slicer xmlns:sle="http://schemas.microsoft.com/office/drawing/2010/slicer" name="Price Range"/>
            </a:graphicData>
          </a:graphic>
        </xdr:graphicFrame>
      </mc:Choice>
      <mc:Fallback xmlns="">
        <xdr:sp macro="" textlink="">
          <xdr:nvSpPr>
            <xdr:cNvPr id="0" name=""/>
            <xdr:cNvSpPr>
              <a:spLocks noTextEdit="1"/>
            </xdr:cNvSpPr>
          </xdr:nvSpPr>
          <xdr:spPr>
            <a:xfrm>
              <a:off x="1609725" y="14068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28574</xdr:colOff>
      <xdr:row>49</xdr:row>
      <xdr:rowOff>171451</xdr:rowOff>
    </xdr:from>
    <xdr:to>
      <xdr:col>22</xdr:col>
      <xdr:colOff>457200</xdr:colOff>
      <xdr:row>75</xdr:row>
      <xdr:rowOff>23813</xdr:rowOff>
    </xdr:to>
    <xdr:graphicFrame macro="">
      <xdr:nvGraphicFramePr>
        <xdr:cNvPr id="6" name="Chart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9525</xdr:colOff>
      <xdr:row>2</xdr:row>
      <xdr:rowOff>28575</xdr:rowOff>
    </xdr:from>
    <xdr:to>
      <xdr:col>3</xdr:col>
      <xdr:colOff>47625</xdr:colOff>
      <xdr:row>15</xdr:row>
      <xdr:rowOff>76200</xdr:rowOff>
    </xdr:to>
    <mc:AlternateContent xmlns:mc="http://schemas.openxmlformats.org/markup-compatibility/2006" xmlns:a14="http://schemas.microsoft.com/office/drawing/2010/main">
      <mc:Choice Requires="a14">
        <xdr:graphicFrame macro="">
          <xdr:nvGraphicFramePr>
            <xdr:cNvPr id="7" name="Price Range 2">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microsoft.com/office/drawing/2010/slicer">
              <sle:slicer xmlns:sle="http://schemas.microsoft.com/office/drawing/2010/slicer" name="Price Range 2"/>
            </a:graphicData>
          </a:graphic>
        </xdr:graphicFrame>
      </mc:Choice>
      <mc:Fallback xmlns="">
        <xdr:sp macro="" textlink="">
          <xdr:nvSpPr>
            <xdr:cNvPr id="0" name=""/>
            <xdr:cNvSpPr>
              <a:spLocks noTextEdit="1"/>
            </xdr:cNvSpPr>
          </xdr:nvSpPr>
          <xdr:spPr>
            <a:xfrm>
              <a:off x="2971800" y="409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457200</xdr:colOff>
      <xdr:row>15</xdr:row>
      <xdr:rowOff>104775</xdr:rowOff>
    </xdr:from>
    <xdr:to>
      <xdr:col>9</xdr:col>
      <xdr:colOff>66675</xdr:colOff>
      <xdr:row>23</xdr:row>
      <xdr:rowOff>133350</xdr:rowOff>
    </xdr:to>
    <mc:AlternateContent xmlns:mc="http://schemas.openxmlformats.org/markup-compatibility/2006" xmlns:a14="http://schemas.microsoft.com/office/drawing/2010/main">
      <mc:Choice Requires="a14">
        <xdr:graphicFrame macro="">
          <xdr:nvGraphicFramePr>
            <xdr:cNvPr id="3" name="Crystal Material">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microsoft.com/office/drawing/2010/slicer">
              <sle:slicer xmlns:sle="http://schemas.microsoft.com/office/drawing/2010/slicer" name="Crystal Material"/>
            </a:graphicData>
          </a:graphic>
        </xdr:graphicFrame>
      </mc:Choice>
      <mc:Fallback xmlns="">
        <xdr:sp macro="" textlink="">
          <xdr:nvSpPr>
            <xdr:cNvPr id="0" name=""/>
            <xdr:cNvSpPr>
              <a:spLocks noTextEdit="1"/>
            </xdr:cNvSpPr>
          </xdr:nvSpPr>
          <xdr:spPr>
            <a:xfrm>
              <a:off x="8248650" y="2962275"/>
              <a:ext cx="1828800" cy="1552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457200</xdr:colOff>
      <xdr:row>2</xdr:row>
      <xdr:rowOff>66675</xdr:rowOff>
    </xdr:from>
    <xdr:to>
      <xdr:col>9</xdr:col>
      <xdr:colOff>66675</xdr:colOff>
      <xdr:row>15</xdr:row>
      <xdr:rowOff>114300</xdr:rowOff>
    </xdr:to>
    <mc:AlternateContent xmlns:mc="http://schemas.openxmlformats.org/markup-compatibility/2006" xmlns:a14="http://schemas.microsoft.com/office/drawing/2010/main">
      <mc:Choice Requires="a14">
        <xdr:graphicFrame macro="">
          <xdr:nvGraphicFramePr>
            <xdr:cNvPr id="4" name="Price Range 1">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microsoft.com/office/drawing/2010/slicer">
              <sle:slicer xmlns:sle="http://schemas.microsoft.com/office/drawing/2010/slicer" name="Price Range 1"/>
            </a:graphicData>
          </a:graphic>
        </xdr:graphicFrame>
      </mc:Choice>
      <mc:Fallback xmlns="">
        <xdr:sp macro="" textlink="">
          <xdr:nvSpPr>
            <xdr:cNvPr id="0" name=""/>
            <xdr:cNvSpPr>
              <a:spLocks noTextEdit="1"/>
            </xdr:cNvSpPr>
          </xdr:nvSpPr>
          <xdr:spPr>
            <a:xfrm>
              <a:off x="8248650" y="447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66675</xdr:colOff>
      <xdr:row>2</xdr:row>
      <xdr:rowOff>66675</xdr:rowOff>
    </xdr:from>
    <xdr:to>
      <xdr:col>12</xdr:col>
      <xdr:colOff>400050</xdr:colOff>
      <xdr:row>15</xdr:row>
      <xdr:rowOff>114300</xdr:rowOff>
    </xdr:to>
    <mc:AlternateContent xmlns:mc="http://schemas.openxmlformats.org/markup-compatibility/2006" xmlns:a14="http://schemas.microsoft.com/office/drawing/2010/main">
      <mc:Choice Requires="a14">
        <xdr:graphicFrame macro="">
          <xdr:nvGraphicFramePr>
            <xdr:cNvPr id="5" name="WR Range">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microsoft.com/office/drawing/2010/slicer">
              <sle:slicer xmlns:sle="http://schemas.microsoft.com/office/drawing/2010/slicer" name="WR Range"/>
            </a:graphicData>
          </a:graphic>
        </xdr:graphicFrame>
      </mc:Choice>
      <mc:Fallback xmlns="">
        <xdr:sp macro="" textlink="">
          <xdr:nvSpPr>
            <xdr:cNvPr id="0" name=""/>
            <xdr:cNvSpPr>
              <a:spLocks noTextEdit="1"/>
            </xdr:cNvSpPr>
          </xdr:nvSpPr>
          <xdr:spPr>
            <a:xfrm>
              <a:off x="10077450" y="447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66675</xdr:colOff>
      <xdr:row>15</xdr:row>
      <xdr:rowOff>95251</xdr:rowOff>
    </xdr:from>
    <xdr:to>
      <xdr:col>12</xdr:col>
      <xdr:colOff>400050</xdr:colOff>
      <xdr:row>23</xdr:row>
      <xdr:rowOff>133351</xdr:rowOff>
    </xdr:to>
    <mc:AlternateContent xmlns:mc="http://schemas.openxmlformats.org/markup-compatibility/2006" xmlns:a14="http://schemas.microsoft.com/office/drawing/2010/main">
      <mc:Choice Requires="a14">
        <xdr:graphicFrame macro="">
          <xdr:nvGraphicFramePr>
            <xdr:cNvPr id="6" name="Movement Type">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microsoft.com/office/drawing/2010/slicer">
              <sle:slicer xmlns:sle="http://schemas.microsoft.com/office/drawing/2010/slicer" name="Movement Type"/>
            </a:graphicData>
          </a:graphic>
        </xdr:graphicFrame>
      </mc:Choice>
      <mc:Fallback xmlns="">
        <xdr:sp macro="" textlink="">
          <xdr:nvSpPr>
            <xdr:cNvPr id="0" name=""/>
            <xdr:cNvSpPr>
              <a:spLocks noTextEdit="1"/>
            </xdr:cNvSpPr>
          </xdr:nvSpPr>
          <xdr:spPr>
            <a:xfrm>
              <a:off x="10077450" y="29527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700086</xdr:colOff>
      <xdr:row>24</xdr:row>
      <xdr:rowOff>38100</xdr:rowOff>
    </xdr:from>
    <xdr:to>
      <xdr:col>19</xdr:col>
      <xdr:colOff>742949</xdr:colOff>
      <xdr:row>55</xdr:row>
      <xdr:rowOff>133350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guyen Nguyen" refreshedDate="45241.912874074071" createdVersion="8" refreshedVersion="8" minRefreshableVersion="3" recordCount="506" xr:uid="{EFA87CFC-A6DB-4A5F-96B1-25143A795249}">
  <cacheSource type="worksheet">
    <worksheetSource ref="A1:P1048576" sheet="Watch Data"/>
  </cacheSource>
  <cacheFields count="16">
    <cacheField name="Watch ID" numFmtId="0">
      <sharedItems containsString="0" containsBlank="1" containsNumber="1" containsInteger="1" minValue="1" maxValue="505"/>
    </cacheField>
    <cacheField name="Brand" numFmtId="0">
      <sharedItems containsBlank="1" count="37">
        <s v="A. Lange &amp; Söhne"/>
        <s v="Audemars Piguet"/>
        <s v="Baume &amp; Mercier"/>
        <s v="Bell &amp; Ross"/>
        <s v="Blancpain"/>
        <s v="Breguet"/>
        <s v="Breitling"/>
        <s v="Bulgari"/>
        <s v="Bulova"/>
        <s v="Cartier"/>
        <s v="Chopard"/>
        <s v="Frederique Constant"/>
        <s v="Girard-Perregaux"/>
        <s v="Glashütte Original"/>
        <s v="Hamilton"/>
        <s v="Hublot"/>
        <s v="IWC"/>
        <s v="Jaeger-LeCoultre"/>
        <s v="Jaquet Droz"/>
        <s v="Longines"/>
        <s v="Montblanc"/>
        <s v="Omega"/>
        <s v="Oris"/>
        <s v="Panerai"/>
        <s v="Patek Philippe"/>
        <s v="Piaget"/>
        <s v="Rado"/>
        <s v="Rolex"/>
        <s v="Seiko"/>
        <s v="Sinn"/>
        <s v="TAG Heuer"/>
        <s v="Tissot"/>
        <s v="Tudor"/>
        <s v="Ulysse Nardin"/>
        <s v="Vacheron Constantin"/>
        <s v="Zenith"/>
        <m/>
      </sharedItems>
    </cacheField>
    <cacheField name="Model" numFmtId="0">
      <sharedItems containsBlank="1"/>
    </cacheField>
    <cacheField name="Strap Material" numFmtId="0">
      <sharedItems containsBlank="1"/>
    </cacheField>
    <cacheField name="Movement Type" numFmtId="0">
      <sharedItems containsBlank="1"/>
    </cacheField>
    <cacheField name="Water Resistance" numFmtId="1">
      <sharedItems containsString="0" containsBlank="1" containsNumber="1" containsInteger="1" minValue="30" maxValue="2000"/>
    </cacheField>
    <cacheField name="Case Diameter (mm)" numFmtId="0">
      <sharedItems containsString="0" containsBlank="1" containsNumber="1" minValue="27.5" maxValue="46.5"/>
    </cacheField>
    <cacheField name="Case Thickness (mm)" numFmtId="0">
      <sharedItems containsString="0" containsBlank="1" containsNumber="1" minValue="5" maxValue="17.5"/>
    </cacheField>
    <cacheField name="Band Width (mm)" numFmtId="0">
      <sharedItems containsString="0" containsBlank="1" containsNumber="1" minValue="15" maxValue="28"/>
    </cacheField>
    <cacheField name="Dial Color" numFmtId="0">
      <sharedItems containsBlank="1"/>
    </cacheField>
    <cacheField name="Crystal Material" numFmtId="0">
      <sharedItems containsBlank="1"/>
    </cacheField>
    <cacheField name="Complications" numFmtId="0">
      <sharedItems containsBlank="1"/>
    </cacheField>
    <cacheField name="Power Reserve" numFmtId="1">
      <sharedItems containsBlank="1" containsMixedTypes="1" containsNumber="1" containsInteger="1" minValue="38" maxValue="168"/>
    </cacheField>
    <cacheField name="Price (USD)" numFmtId="0">
      <sharedItems containsString="0" containsBlank="1" containsNumber="1" containsInteger="1" minValue="495" maxValue="70000"/>
    </cacheField>
    <cacheField name="WR Range" numFmtId="0">
      <sharedItems containsBlank="1"/>
    </cacheField>
    <cacheField name="Price Range" numFmtId="0">
      <sharedItems containsBlank="1" count="8">
        <s v="&lt;= 40000$"/>
        <s v="&lt;= 20000$"/>
        <s v="40000$ +"/>
        <s v="&lt;=5000$"/>
        <s v="&lt;= 10000$"/>
        <s v="&lt;= 1000$"/>
        <s v=" &lt;=2000$"/>
        <m/>
      </sharedItems>
    </cacheField>
  </cacheFields>
  <extLst>
    <ext xmlns:x14="http://schemas.microsoft.com/office/spreadsheetml/2009/9/main" uri="{725AE2AE-9491-48be-B2B4-4EB974FC3084}">
      <x14:pivotCacheDefinition pivotCacheId="19727901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guyen Nguyen" refreshedDate="45241.915386342589" createdVersion="8" refreshedVersion="8" minRefreshableVersion="3" recordCount="505" xr:uid="{AF934A7D-F80A-4CF8-AD59-ADD4CF46D527}">
  <cacheSource type="worksheet">
    <worksheetSource ref="A1:P506" sheet="Watch Data"/>
  </cacheSource>
  <cacheFields count="16">
    <cacheField name="Watch ID" numFmtId="0">
      <sharedItems containsSemiMixedTypes="0" containsString="0" containsNumber="1" containsInteger="1" minValue="1" maxValue="505"/>
    </cacheField>
    <cacheField name="Brand" numFmtId="0">
      <sharedItems count="36">
        <s v="A. Lange &amp; Söhne"/>
        <s v="Audemars Piguet"/>
        <s v="Baume &amp; Mercier"/>
        <s v="Bell &amp; Ross"/>
        <s v="Blancpain"/>
        <s v="Breguet"/>
        <s v="Breitling"/>
        <s v="Bulgari"/>
        <s v="Bulova"/>
        <s v="Cartier"/>
        <s v="Chopard"/>
        <s v="Frederique Constant"/>
        <s v="Girard-Perregaux"/>
        <s v="Glashütte Original"/>
        <s v="Hamilton"/>
        <s v="Hublot"/>
        <s v="IWC"/>
        <s v="Jaeger-LeCoultre"/>
        <s v="Jaquet Droz"/>
        <s v="Longines"/>
        <s v="Montblanc"/>
        <s v="Omega"/>
        <s v="Oris"/>
        <s v="Panerai"/>
        <s v="Patek Philippe"/>
        <s v="Piaget"/>
        <s v="Rado"/>
        <s v="Rolex"/>
        <s v="Seiko"/>
        <s v="Sinn"/>
        <s v="TAG Heuer"/>
        <s v="Tissot"/>
        <s v="Tudor"/>
        <s v="Ulysse Nardin"/>
        <s v="Vacheron Constantin"/>
        <s v="Zenith"/>
      </sharedItems>
    </cacheField>
    <cacheField name="Model" numFmtId="0">
      <sharedItems count="181">
        <s v="Saxonia White Gold 38.5"/>
        <s v="Saxonia Rose Gold 38.5"/>
        <s v="Saxonia 18k Rose Gold 37"/>
        <s v="Royal Oak Rose Gold 41"/>
        <s v="Royal Oak Rose Gold 37"/>
        <s v="Royal Oak Stainless Steel 41"/>
        <s v="Royal Oak Stainless Steel 37"/>
        <s v="Royal Oak Stainless Steel 39"/>
        <s v="Clifton Baumatic Stainless Steel 40"/>
        <s v="Aviation Stainless Steel 42"/>
        <s v="BR 03-92 Ceramic 42"/>
        <s v="BR V2-92 Stainless Steel 41"/>
        <s v="Fifty Fathoms Titanium 45"/>
        <s v="Fifty Fathoms Stainless Steel 45"/>
        <s v="Fifty Fathoms Stainless Steel 43"/>
        <s v="Fifty Fathoms Stainless Steel 43.6"/>
        <s v="Classique 18K Rose Gold 39"/>
        <s v="Classique 18K Yellow Gold 39"/>
        <s v="Classique Rose Gold 40"/>
        <s v="Classique Rose Gold 39"/>
        <s v="Classique 18k White Gold 39"/>
        <s v="Classique 18K White Gold 40"/>
        <s v="Classique Rose Gold 38.5"/>
        <s v="Classique 18k White Gold 38"/>
        <s v="Classique 18k Rose Gold 38.5"/>
        <s v="Classique White Gold 39"/>
        <s v="Classique Rose Gold 38"/>
        <s v="Classique 18K Rose Gold 40"/>
        <s v="Type XXI Stainless Steel 42"/>
        <s v="Type XX Stainless Steel 39.5"/>
        <s v="Navitimer Stainless Steel 43"/>
        <s v="Chronomat Stainless Steel 44"/>
        <s v="Superocean Heritage Stainless Steel 42"/>
        <s v="Avenger II Stainless Steel 43"/>
        <s v="Superocean Stainless Steel 44"/>
        <s v="Superocean Heritage II Stainless Steel 44"/>
        <s v="Superocean Stainless Steel 42"/>
        <s v="Superocean Heritage Stainless Steel 44"/>
        <s v="Octo Finissimo Titanium 40"/>
        <s v="Precisionist Stainless Steel 46.5"/>
        <s v="Santos-Dumont 18K Yellow Gold 27.5"/>
        <s v="Ballon Bleu 18k Rose Gold 33"/>
        <s v="Santos Stainless Steel 39.8"/>
        <s v="Ballon Bleu Stainless Steel 42"/>
        <s v="Ballon Bleu Stainless Steel 33"/>
        <s v="Santos de Cartier Stainless Steel 39.8"/>
        <s v="Santos Stainless Steel 35.1"/>
        <s v="Santos-Dumont Stainless Steel 43.5"/>
        <s v="Ballon Bleu Stainless Steel 36.6"/>
        <s v="Santos-Dumont Stainless Steel 31.4"/>
        <s v="Santos-Dumont Stainless Steel 38"/>
        <s v="Tank Solo Stainless Steel 31"/>
        <s v="Mille Miglia Stainless Steel 42"/>
        <s v="Mille Miglia Stainless Steel 44"/>
        <s v="Happy Sport Stainless Steel 30"/>
        <s v="Classics Stainless Steel 40"/>
        <s v="Laureato Stainless Steel 42"/>
        <s v="Laureato Stainless Steel 41"/>
        <s v="Laureato Stainless Steel 38"/>
        <s v="Senator Stainless Steel 42"/>
        <s v="Jazzmaster Stainless Steel 40"/>
        <s v="Khaki Field Stainless Steel 38"/>
        <s v="Khaki Field Auto Stainless Steel 38"/>
        <s v="Classic Fusion 18k King Gold 42"/>
        <s v="Big Bang Carbon Fiber 44"/>
        <s v="Big Bang Titanium 44"/>
        <s v="Big Bang Ceramic 44"/>
        <s v="Big Bang Ceramic 41"/>
        <s v="Big Bang Ceramic 42"/>
        <s v="Big Bang Ceramic 44.5"/>
        <s v="Classic Fusion Titanium 45"/>
        <s v="Big Bang Titanium 42"/>
        <s v="Classic Fusion Titanium 42"/>
        <s v="Portugieser Stainless Steel 41"/>
        <s v="Portugieser Stainless Steel 42.3"/>
        <s v="Portugieser Stainless Steel 40.4"/>
        <s v="Portuguese Stainless Steel 42.3"/>
        <s v="Portugieser Stainless Steel 41.5"/>
        <s v="Portugieser Chronograph Stainless Steel 41"/>
        <s v="Pilot's Watch Stainless Steel 46.2"/>
        <s v="Portugieser Stainless Steel 40.9"/>
        <s v="Pilot's Watch Mark Stainless Steel 41"/>
        <s v="Pilot's Watch Stainless Steel 41"/>
        <s v="Pilot's Watch Stainless Steel 43"/>
        <s v="Pilot's Watch Stainless Steel 39"/>
        <s v="Pilot's Watch Mark XVIII Stainless Steel 40"/>
        <s v="Master Ultra Thin Stainless Steel 39"/>
        <s v="Master Control Stainless Steel 40"/>
        <s v="Master Control Stainless Steel 39"/>
        <s v="Master Ultra Thin Stainless Steel 40"/>
        <s v="Reverso Stainless Steel 42.9"/>
        <s v="Master Ultra Thin Stainless Steel 38"/>
        <s v="Grande Seconde Stainless Steel 43"/>
        <s v="Master Collection Stainless Steel 40"/>
        <s v="Conquest Stainless Steel 41"/>
        <s v="Conquest Classic Stainless Steel 40"/>
        <s v="HydroConquest Stainless Steel 41"/>
        <s v="Master Collection Stainless Steel 38.5"/>
        <s v="Conquest VHP Stainless Steel 41"/>
        <s v="HydroConquest Stainless Steel 43"/>
        <s v="1858 Geosphere Titanium 42"/>
        <s v="1858 Geosphere Stainless Steel 42"/>
        <s v="1858 Bronze 44"/>
        <s v="Star Legacy Stainless Steel 42"/>
        <s v="1858 Stainless Steel 42"/>
        <s v="1858 Stainless Steel 44"/>
        <s v="Star Legacy Stainless Steel 39"/>
        <s v="Heritage Stainless Steel 40"/>
        <s v="Speedmaster Stainless Steel 42"/>
        <s v="Seamaster Titanium 43.5"/>
        <s v="Speedmaster Moonwatch Stainless Steel 42"/>
        <s v="Constellation Stainless Steel 39"/>
        <s v="Aqua Terra Stainless Steel 41.5"/>
        <s v="Big Crown ProPilot Stainless Steel 41"/>
        <s v="Divers Sixty-Five Stainless Steel 40"/>
        <s v="Luminor Titanium 44"/>
        <s v="Luminor Marina Titanium 44"/>
        <s v="Luminor Marina Stainless Steel 44"/>
        <s v="Luminor Stainless Steel 44"/>
        <s v="Luminor Marina Stainless Steel 42"/>
        <s v="Luminor Due Stainless Steel 38"/>
        <s v="Luminor Base Stainless Steel 44"/>
        <s v="Luminor Base Logo Stainless Steel 44"/>
        <s v="Nautilus Stainless Steel 40.5"/>
        <s v="Nautilus Stainless Steel 40.8"/>
        <s v="Nautilus Stainless Steel 40"/>
        <s v="Calatrava White Gold 39"/>
        <s v="Calatrava White Gold 37"/>
        <s v="Calatrava 18K White Gold 38"/>
        <s v="Calatrava 18k Rose Gold 38"/>
        <s v="Calatrava 18k White Gold 39"/>
        <s v="Calatrava Rose Gold 36"/>
        <s v="Altiplano White Gold 40"/>
        <s v="Altiplano 18k Rose Gold 38"/>
        <s v="Altiplano 18k White Gold 40"/>
        <s v="Altiplano White Gold 38"/>
        <s v="Polo Stainless Steel 42"/>
        <s v="Polo S Stainless Steel 42"/>
        <s v="True Thinline High-Tech Ceramic 39"/>
        <s v="Daytona Yellow Gold 40"/>
        <s v="Daytona 18k Yellow Gold 40"/>
        <s v="GMT-Master II Stainless Steel 40"/>
        <s v="Daytona Stainless Steel 40"/>
        <s v="Submariner Stainless Steel 40"/>
        <s v="Datejust Stainless Steel 41"/>
        <s v="Datejust Stainless Steel 36"/>
        <s v="Prospex Stainless Steel 44.3"/>
        <s v="Prospex Stainless Steel 43"/>
        <s v="Prospex Stainless Steel 42.3"/>
        <s v="U50 German Submarine Steel 45"/>
        <s v="U1 Stainless Steel 44"/>
        <s v="104 Stainless Steel 41"/>
        <s v="Monaco Stainless Steel 39"/>
        <s v="Carrera Stainless Steel 41"/>
        <s v="Aquaracer Stainless Steel 43"/>
        <s v="Aquaracer Stainless Steel 41"/>
        <s v="Aquaracer Stainless Steel 32"/>
        <s v="Le Locle Stainless Steel 39.3"/>
        <s v="Black Bay Stainless Steel 41"/>
        <s v="Black Bay GMT Stainless Steel 41"/>
        <s v="Marine Stainless Steel 44"/>
        <s v="Marine Titanium 44"/>
        <s v="Marine Stainless Steel 42.2"/>
        <s v="Marine Stainless Steel 42"/>
        <s v="Marine Torpilleur Stainless Steel 42"/>
        <s v="Marine Stainless Steel 43"/>
        <s v="Patrimony White Gold 40"/>
        <s v="Overseas Stainless Steel 41"/>
        <s v="Patrimony 18k Rose Gold 42"/>
        <s v="Overseas Stainless Steel 41.5"/>
        <s v="Overseas Stainless Steel 42.5"/>
        <s v="Patrimony 18K White Gold 40"/>
        <s v="Patrimony Rose Gold 40"/>
        <s v="Defy Titanium 41"/>
        <s v="Chronomaster Stainless Steel 42"/>
        <s v="El Primero Stainless Steel 42"/>
        <s v="El Primero Stainless Steel 38"/>
        <s v="Chronomaster Stainless Steel 38"/>
        <s v="Chronomaster El Primero Stainless Steel 38"/>
        <s v="Elite Stainless Steel 40.5"/>
        <s v="Elite Classic Stainless Steel 39"/>
      </sharedItems>
    </cacheField>
    <cacheField name="Strap Material" numFmtId="0">
      <sharedItems/>
    </cacheField>
    <cacheField name="Movement Type" numFmtId="0">
      <sharedItems count="3">
        <s v="Manual"/>
        <s v="Automatic"/>
        <s v="Quartz"/>
      </sharedItems>
    </cacheField>
    <cacheField name="Water Resistance" numFmtId="1">
      <sharedItems containsSemiMixedTypes="0" containsString="0" containsNumber="1" containsInteger="1" minValue="30" maxValue="2000" count="12">
        <n v="30"/>
        <n v="50"/>
        <n v="100"/>
        <n v="300"/>
        <n v="200"/>
        <n v="1000"/>
        <n v="500"/>
        <n v="2000"/>
        <n v="60"/>
        <n v="600"/>
        <n v="150"/>
        <n v="120"/>
      </sharedItems>
    </cacheField>
    <cacheField name="Case Diameter (mm)" numFmtId="0">
      <sharedItems containsSemiMixedTypes="0" containsString="0" containsNumber="1" minValue="27.5" maxValue="46.5"/>
    </cacheField>
    <cacheField name="Case Thickness (mm)" numFmtId="0">
      <sharedItems containsSemiMixedTypes="0" containsString="0" containsNumber="1" minValue="5" maxValue="17.5"/>
    </cacheField>
    <cacheField name="Band Width (mm)" numFmtId="0">
      <sharedItems containsSemiMixedTypes="0" containsString="0" containsNumber="1" minValue="15" maxValue="28"/>
    </cacheField>
    <cacheField name="Dial Color" numFmtId="0">
      <sharedItems/>
    </cacheField>
    <cacheField name="Crystal Material" numFmtId="0">
      <sharedItems count="4">
        <s v="Sapphire"/>
        <s v="Mineral"/>
        <s v="Hesalite"/>
        <s v="Hardlex"/>
      </sharedItems>
    </cacheField>
    <cacheField name="Complications" numFmtId="0">
      <sharedItems/>
    </cacheField>
    <cacheField name="Power Reserve" numFmtId="1">
      <sharedItems containsMixedTypes="1" containsNumber="1" containsInteger="1" minValue="38" maxValue="168" count="23">
        <n v="45"/>
        <n v="72"/>
        <n v="60"/>
        <n v="50"/>
        <n v="40"/>
        <n v="120"/>
        <n v="42"/>
        <n v="65"/>
        <n v="38"/>
        <n v="55"/>
        <n v="48"/>
        <n v="70"/>
        <s v="N/A"/>
        <n v="54"/>
        <n v="46"/>
        <n v="80"/>
        <n v="168"/>
        <n v="44"/>
        <n v="68"/>
        <n v="43"/>
        <n v="64"/>
        <n v="56"/>
        <n v="41"/>
      </sharedItems>
    </cacheField>
    <cacheField name="Price (USD)" numFmtId="164">
      <sharedItems containsSemiMixedTypes="0" containsString="0" containsNumber="1" containsInteger="1" minValue="495" maxValue="70000" count="182">
        <n v="23000"/>
        <n v="23300"/>
        <n v="17500"/>
        <n v="55000"/>
        <n v="38500"/>
        <n v="36500"/>
        <n v="28500"/>
        <n v="27000"/>
        <n v="26000"/>
        <n v="25000"/>
        <n v="24800"/>
        <n v="24500"/>
        <n v="24000"/>
        <n v="23100"/>
        <n v="22500"/>
        <n v="22300"/>
        <n v="22000"/>
        <n v="21000"/>
        <n v="20900"/>
        <n v="20400"/>
        <n v="20000"/>
        <n v="19900"/>
        <n v="19800"/>
        <n v="19500"/>
        <n v="18900"/>
        <n v="18500"/>
        <n v="18000"/>
        <n v="17800"/>
        <n v="17000"/>
        <n v="2750"/>
        <n v="4500"/>
        <n v="3800"/>
        <n v="2500"/>
        <n v="2399"/>
        <n v="16800"/>
        <n v="15000"/>
        <n v="14900"/>
        <n v="14700"/>
        <n v="14500"/>
        <n v="14400"/>
        <n v="14000"/>
        <n v="13900"/>
        <n v="13500"/>
        <n v="13000"/>
        <n v="12900"/>
        <n v="12800"/>
        <n v="12500"/>
        <n v="12000"/>
        <n v="11500"/>
        <n v="11000"/>
        <n v="10500"/>
        <n v="10000"/>
        <n v="27900"/>
        <n v="23500"/>
        <n v="23200"/>
        <n v="21500"/>
        <n v="20500"/>
        <n v="19000"/>
        <n v="16000"/>
        <n v="15200"/>
        <n v="9500"/>
        <n v="8800"/>
        <n v="7900"/>
        <n v="6900"/>
        <n v="4800"/>
        <n v="4600"/>
        <n v="4400"/>
        <n v="4300"/>
        <n v="4100"/>
        <n v="3850"/>
        <n v="3600"/>
        <n v="3250"/>
        <n v="3200"/>
        <n v="650"/>
        <n v="14200"/>
        <n v="13200"/>
        <n v="7500"/>
        <n v="6600"/>
        <n v="6500"/>
        <n v="6200"/>
        <n v="5500"/>
        <n v="5300"/>
        <n v="4700"/>
        <n v="3500"/>
        <n v="2800"/>
        <n v="6800"/>
        <n v="6300"/>
        <n v="6100"/>
        <n v="6000"/>
        <n v="5900"/>
        <n v="5800"/>
        <n v="5600"/>
        <n v="5000"/>
        <n v="1400"/>
        <n v="1200"/>
        <n v="11200"/>
        <n v="10600"/>
        <n v="9700"/>
        <n v="9200"/>
        <n v="9000"/>
        <n v="8700"/>
        <n v="8500"/>
        <n v="8000"/>
        <n v="7800"/>
        <n v="6700"/>
        <n v="1150"/>
        <n v="595"/>
        <n v="545"/>
        <n v="495"/>
        <n v="20200"/>
        <n v="17900"/>
        <n v="15500"/>
        <n v="8900"/>
        <n v="8200"/>
        <n v="8100"/>
        <n v="9800"/>
        <n v="9100"/>
        <n v="8400"/>
        <n v="8300"/>
        <n v="7950"/>
        <n v="7600"/>
        <n v="7250"/>
        <n v="5400"/>
        <n v="4950"/>
        <n v="4200"/>
        <n v="3900"/>
        <n v="2200"/>
        <n v="1850"/>
        <n v="1800"/>
        <n v="1600"/>
        <n v="1500"/>
        <n v="2700"/>
        <n v="5350"/>
        <n v="5250"/>
        <n v="5200"/>
        <n v="9600"/>
        <n v="7200"/>
        <n v="6400"/>
        <n v="5700"/>
        <n v="70000"/>
        <n v="67000"/>
        <n v="62500"/>
        <n v="57000"/>
        <n v="52000"/>
        <n v="51000"/>
        <n v="49800"/>
        <n v="47000"/>
        <n v="44500"/>
        <n v="44000"/>
        <n v="40000"/>
        <n v="39000"/>
        <n v="38000"/>
        <n v="36000"/>
        <n v="35000"/>
        <n v="34000"/>
        <n v="29800"/>
        <n v="29000"/>
        <n v="25800"/>
        <n v="22900"/>
        <n v="20800"/>
        <n v="16500"/>
        <n v="39500"/>
        <n v="29500"/>
        <n v="9950"/>
        <n v="9900"/>
        <n v="9450"/>
        <n v="7650"/>
        <n v="7400"/>
        <n v="1300"/>
        <n v="3350"/>
        <n v="6550"/>
        <n v="3700"/>
        <n v="3100"/>
        <n v="2600"/>
        <n v="1700"/>
        <n v="4000"/>
        <n v="7000"/>
        <n v="28000"/>
        <n v="19200"/>
        <n v="16300"/>
        <n v="9400"/>
        <n v="4900"/>
      </sharedItems>
      <fieldGroup base="13">
        <rangePr autoStart="0" autoEnd="0" startNum="0" endNum="70000" groupInterval="2000"/>
        <groupItems count="37">
          <s v="&lt;0"/>
          <s v="0-1999"/>
          <s v="2000-3999"/>
          <s v="4000-5999"/>
          <s v="6000-7999"/>
          <s v="8000-9999"/>
          <s v="10000-11999"/>
          <s v="12000-13999"/>
          <s v="14000-15999"/>
          <s v="16000-17999"/>
          <s v="18000-19999"/>
          <s v="20000-21999"/>
          <s v="22000-23999"/>
          <s v="24000-25999"/>
          <s v="26000-27999"/>
          <s v="28000-29999"/>
          <s v="30000-31999"/>
          <s v="32000-33999"/>
          <s v="34000-35999"/>
          <s v="36000-37999"/>
          <s v="38000-39999"/>
          <s v="40000-41999"/>
          <s v="42000-43999"/>
          <s v="44000-45999"/>
          <s v="46000-47999"/>
          <s v="48000-49999"/>
          <s v="50000-51999"/>
          <s v="52000-53999"/>
          <s v="54000-55999"/>
          <s v="56000-57999"/>
          <s v="58000-59999"/>
          <s v="60000-61999"/>
          <s v="62000-63999"/>
          <s v="64000-65999"/>
          <s v="66000-67999"/>
          <s v="68000-70000"/>
          <s v="&gt;70000"/>
        </groupItems>
      </fieldGroup>
    </cacheField>
    <cacheField name="WR Range" numFmtId="0">
      <sharedItems count="6">
        <s v="&lt;=100"/>
        <s v="200-300"/>
        <s v="100-200"/>
        <s v="1000+"/>
        <s v="300-500"/>
        <s v="500-1000"/>
      </sharedItems>
    </cacheField>
    <cacheField name="Price Range" numFmtId="0">
      <sharedItems count="7">
        <s v="&lt;= 40000$"/>
        <s v="&lt;= 20000$"/>
        <s v="40000$ +"/>
        <s v="&lt;=5000$"/>
        <s v="&lt;= 10000$"/>
        <s v="&lt;= 1000$"/>
        <s v=" &lt;=2000$"/>
      </sharedItems>
    </cacheField>
  </cacheFields>
  <extLst>
    <ext xmlns:x14="http://schemas.microsoft.com/office/spreadsheetml/2009/9/main" uri="{725AE2AE-9491-48be-B2B4-4EB974FC3084}">
      <x14:pivotCacheDefinition pivotCacheId="516341064"/>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guyen Nguyen" refreshedDate="45241.922925115738" createdVersion="8" refreshedVersion="8" minRefreshableVersion="3" recordCount="505" xr:uid="{5BDB081D-08DE-480A-86A2-0F0952656028}">
  <cacheSource type="worksheet">
    <worksheetSource name="watch"/>
  </cacheSource>
  <cacheFields count="16">
    <cacheField name="Watch ID" numFmtId="0">
      <sharedItems containsSemiMixedTypes="0" containsString="0" containsNumber="1" containsInteger="1" minValue="1" maxValue="505" count="505">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sharedItems>
    </cacheField>
    <cacheField name="Brand" numFmtId="0">
      <sharedItems count="36">
        <s v="A. Lange &amp; Söhne"/>
        <s v="Audemars Piguet"/>
        <s v="Baume &amp; Mercier"/>
        <s v="Bell &amp; Ross"/>
        <s v="Blancpain"/>
        <s v="Breguet"/>
        <s v="Breitling"/>
        <s v="Bulgari"/>
        <s v="Bulova"/>
        <s v="Cartier"/>
        <s v="Chopard"/>
        <s v="Frederique Constant"/>
        <s v="Girard-Perregaux"/>
        <s v="Glashütte Original"/>
        <s v="Hamilton"/>
        <s v="Hublot"/>
        <s v="IWC"/>
        <s v="Jaeger-LeCoultre"/>
        <s v="Jaquet Droz"/>
        <s v="Longines"/>
        <s v="Montblanc"/>
        <s v="Omega"/>
        <s v="Oris"/>
        <s v="Panerai"/>
        <s v="Patek Philippe"/>
        <s v="Piaget"/>
        <s v="Rado"/>
        <s v="Rolex"/>
        <s v="Seiko"/>
        <s v="Sinn"/>
        <s v="TAG Heuer"/>
        <s v="Tissot"/>
        <s v="Tudor"/>
        <s v="Ulysse Nardin"/>
        <s v="Vacheron Constantin"/>
        <s v="Zenith"/>
      </sharedItems>
    </cacheField>
    <cacheField name="Model" numFmtId="0">
      <sharedItems count="181">
        <s v="Saxonia White Gold 38.5"/>
        <s v="Saxonia Rose Gold 38.5"/>
        <s v="Saxonia 18k Rose Gold 37"/>
        <s v="Royal Oak Rose Gold 41"/>
        <s v="Royal Oak Rose Gold 37"/>
        <s v="Royal Oak Stainless Steel 41"/>
        <s v="Royal Oak Stainless Steel 37"/>
        <s v="Royal Oak Stainless Steel 39"/>
        <s v="Clifton Baumatic Stainless Steel 40"/>
        <s v="Aviation Stainless Steel 42"/>
        <s v="BR 03-92 Ceramic 42"/>
        <s v="BR V2-92 Stainless Steel 41"/>
        <s v="Fifty Fathoms Titanium 45"/>
        <s v="Fifty Fathoms Stainless Steel 45"/>
        <s v="Fifty Fathoms Stainless Steel 43"/>
        <s v="Fifty Fathoms Stainless Steel 43.6"/>
        <s v="Classique 18K Rose Gold 39"/>
        <s v="Classique 18K Yellow Gold 39"/>
        <s v="Classique Rose Gold 40"/>
        <s v="Classique Rose Gold 39"/>
        <s v="Classique 18k White Gold 39"/>
        <s v="Classique 18K White Gold 40"/>
        <s v="Classique Rose Gold 38.5"/>
        <s v="Classique 18k White Gold 38"/>
        <s v="Classique 18k Rose Gold 38.5"/>
        <s v="Classique White Gold 39"/>
        <s v="Classique Rose Gold 38"/>
        <s v="Classique 18K Rose Gold 40"/>
        <s v="Type XXI Stainless Steel 42"/>
        <s v="Type XX Stainless Steel 39.5"/>
        <s v="Navitimer Stainless Steel 43"/>
        <s v="Chronomat Stainless Steel 44"/>
        <s v="Superocean Heritage Stainless Steel 42"/>
        <s v="Avenger II Stainless Steel 43"/>
        <s v="Superocean Stainless Steel 44"/>
        <s v="Superocean Heritage II Stainless Steel 44"/>
        <s v="Superocean Stainless Steel 42"/>
        <s v="Superocean Heritage Stainless Steel 44"/>
        <s v="Octo Finissimo Titanium 40"/>
        <s v="Precisionist Stainless Steel 46.5"/>
        <s v="Santos-Dumont 18K Yellow Gold 27.5"/>
        <s v="Ballon Bleu 18k Rose Gold 33"/>
        <s v="Santos Stainless Steel 39.8"/>
        <s v="Ballon Bleu Stainless Steel 42"/>
        <s v="Ballon Bleu Stainless Steel 33"/>
        <s v="Santos de Cartier Stainless Steel 39.8"/>
        <s v="Santos Stainless Steel 35.1"/>
        <s v="Santos-Dumont Stainless Steel 43.5"/>
        <s v="Ballon Bleu Stainless Steel 36.6"/>
        <s v="Santos-Dumont Stainless Steel 31.4"/>
        <s v="Santos-Dumont Stainless Steel 38"/>
        <s v="Tank Solo Stainless Steel 31"/>
        <s v="Mille Miglia Stainless Steel 42"/>
        <s v="Mille Miglia Stainless Steel 44"/>
        <s v="Happy Sport Stainless Steel 30"/>
        <s v="Classics Stainless Steel 40"/>
        <s v="Laureato Stainless Steel 42"/>
        <s v="Laureato Stainless Steel 41"/>
        <s v="Laureato Stainless Steel 38"/>
        <s v="Senator Stainless Steel 42"/>
        <s v="Jazzmaster Stainless Steel 40"/>
        <s v="Khaki Field Stainless Steel 38"/>
        <s v="Khaki Field Auto Stainless Steel 38"/>
        <s v="Classic Fusion 18k King Gold 42"/>
        <s v="Big Bang Carbon Fiber 44"/>
        <s v="Big Bang Titanium 44"/>
        <s v="Big Bang Ceramic 44"/>
        <s v="Big Bang Ceramic 41"/>
        <s v="Big Bang Ceramic 42"/>
        <s v="Big Bang Ceramic 44.5"/>
        <s v="Classic Fusion Titanium 45"/>
        <s v="Big Bang Titanium 42"/>
        <s v="Classic Fusion Titanium 42"/>
        <s v="Portugieser Stainless Steel 41"/>
        <s v="Portugieser Stainless Steel 42.3"/>
        <s v="Portugieser Stainless Steel 40.4"/>
        <s v="Portuguese Stainless Steel 42.3"/>
        <s v="Portugieser Stainless Steel 41.5"/>
        <s v="Portugieser Chronograph Stainless Steel 41"/>
        <s v="Pilot's Watch Stainless Steel 46.2"/>
        <s v="Portugieser Stainless Steel 40.9"/>
        <s v="Pilot's Watch Mark Stainless Steel 41"/>
        <s v="Pilot's Watch Stainless Steel 41"/>
        <s v="Pilot's Watch Stainless Steel 43"/>
        <s v="Pilot's Watch Stainless Steel 39"/>
        <s v="Pilot's Watch Mark XVIII Stainless Steel 40"/>
        <s v="Master Ultra Thin Stainless Steel 39"/>
        <s v="Master Control Stainless Steel 40"/>
        <s v="Master Control Stainless Steel 39"/>
        <s v="Master Ultra Thin Stainless Steel 40"/>
        <s v="Reverso Stainless Steel 42.9"/>
        <s v="Master Ultra Thin Stainless Steel 38"/>
        <s v="Grande Seconde Stainless Steel 43"/>
        <s v="Master Collection Stainless Steel 40"/>
        <s v="Conquest Stainless Steel 41"/>
        <s v="Conquest Classic Stainless Steel 40"/>
        <s v="HydroConquest Stainless Steel 41"/>
        <s v="Master Collection Stainless Steel 38.5"/>
        <s v="Conquest VHP Stainless Steel 41"/>
        <s v="HydroConquest Stainless Steel 43"/>
        <s v="1858 Geosphere Titanium 42"/>
        <s v="1858 Geosphere Stainless Steel 42"/>
        <s v="1858 Bronze 44"/>
        <s v="Star Legacy Stainless Steel 42"/>
        <s v="1858 Stainless Steel 42"/>
        <s v="1858 Stainless Steel 44"/>
        <s v="Star Legacy Stainless Steel 39"/>
        <s v="Heritage Stainless Steel 40"/>
        <s v="Speedmaster Stainless Steel 42"/>
        <s v="Seamaster Titanium 43.5"/>
        <s v="Speedmaster Moonwatch Stainless Steel 42"/>
        <s v="Constellation Stainless Steel 39"/>
        <s v="Aqua Terra Stainless Steel 41.5"/>
        <s v="Big Crown ProPilot Stainless Steel 41"/>
        <s v="Divers Sixty-Five Stainless Steel 40"/>
        <s v="Luminor Titanium 44"/>
        <s v="Luminor Marina Titanium 44"/>
        <s v="Luminor Marina Stainless Steel 44"/>
        <s v="Luminor Stainless Steel 44"/>
        <s v="Luminor Marina Stainless Steel 42"/>
        <s v="Luminor Due Stainless Steel 38"/>
        <s v="Luminor Base Stainless Steel 44"/>
        <s v="Luminor Base Logo Stainless Steel 44"/>
        <s v="Nautilus Stainless Steel 40.5"/>
        <s v="Nautilus Stainless Steel 40.8"/>
        <s v="Nautilus Stainless Steel 40"/>
        <s v="Calatrava White Gold 39"/>
        <s v="Calatrava White Gold 37"/>
        <s v="Calatrava 18K White Gold 38"/>
        <s v="Calatrava 18k Rose Gold 38"/>
        <s v="Calatrava 18k White Gold 39"/>
        <s v="Calatrava Rose Gold 36"/>
        <s v="Altiplano White Gold 40"/>
        <s v="Altiplano 18k Rose Gold 38"/>
        <s v="Altiplano 18k White Gold 40"/>
        <s v="Altiplano White Gold 38"/>
        <s v="Polo Stainless Steel 42"/>
        <s v="Polo S Stainless Steel 42"/>
        <s v="True Thinline High-Tech Ceramic 39"/>
        <s v="Daytona Yellow Gold 40"/>
        <s v="Daytona 18k Yellow Gold 40"/>
        <s v="GMT-Master II Stainless Steel 40"/>
        <s v="Daytona Stainless Steel 40"/>
        <s v="Submariner Stainless Steel 40"/>
        <s v="Datejust Stainless Steel 41"/>
        <s v="Datejust Stainless Steel 36"/>
        <s v="Prospex Stainless Steel 44.3"/>
        <s v="Prospex Stainless Steel 43"/>
        <s v="Prospex Stainless Steel 42.3"/>
        <s v="U50 German Submarine Steel 45"/>
        <s v="U1 Stainless Steel 44"/>
        <s v="104 Stainless Steel 41"/>
        <s v="Monaco Stainless Steel 39"/>
        <s v="Carrera Stainless Steel 41"/>
        <s v="Aquaracer Stainless Steel 43"/>
        <s v="Aquaracer Stainless Steel 41"/>
        <s v="Aquaracer Stainless Steel 32"/>
        <s v="Le Locle Stainless Steel 39.3"/>
        <s v="Black Bay Stainless Steel 41"/>
        <s v="Black Bay GMT Stainless Steel 41"/>
        <s v="Marine Stainless Steel 44"/>
        <s v="Marine Titanium 44"/>
        <s v="Marine Stainless Steel 42.2"/>
        <s v="Marine Stainless Steel 42"/>
        <s v="Marine Torpilleur Stainless Steel 42"/>
        <s v="Marine Stainless Steel 43"/>
        <s v="Patrimony White Gold 40"/>
        <s v="Overseas Stainless Steel 41"/>
        <s v="Patrimony 18k Rose Gold 42"/>
        <s v="Overseas Stainless Steel 41.5"/>
        <s v="Overseas Stainless Steel 42.5"/>
        <s v="Patrimony 18K White Gold 40"/>
        <s v="Patrimony Rose Gold 40"/>
        <s v="Defy Titanium 41"/>
        <s v="Chronomaster Stainless Steel 42"/>
        <s v="El Primero Stainless Steel 42"/>
        <s v="El Primero Stainless Steel 38"/>
        <s v="Chronomaster Stainless Steel 38"/>
        <s v="Chronomaster El Primero Stainless Steel 38"/>
        <s v="Elite Stainless Steel 40.5"/>
        <s v="Elite Classic Stainless Steel 39"/>
      </sharedItems>
    </cacheField>
    <cacheField name="Strap Material" numFmtId="0">
      <sharedItems count="13">
        <s v="Leather"/>
        <s v="Rose Gold"/>
        <s v="Stainless Steel"/>
        <s v="Rubber"/>
        <s v="Canvas"/>
        <s v="Fabric"/>
        <s v="NATO Strap"/>
        <s v="Titanium"/>
        <s v="Alligator"/>
        <s v="Textile"/>
        <s v="Jubilee Bracelet"/>
        <s v="Jubilee"/>
        <s v="Silicone"/>
      </sharedItems>
    </cacheField>
    <cacheField name="Movement Type" numFmtId="0">
      <sharedItems/>
    </cacheField>
    <cacheField name="Water Resistance" numFmtId="1">
      <sharedItems containsSemiMixedTypes="0" containsString="0" containsNumber="1" containsInteger="1" minValue="30" maxValue="2000"/>
    </cacheField>
    <cacheField name="Case Diameter (mm)" numFmtId="0">
      <sharedItems containsSemiMixedTypes="0" containsString="0" containsNumber="1" minValue="27.5" maxValue="46.5"/>
    </cacheField>
    <cacheField name="Case Thickness (mm)" numFmtId="0">
      <sharedItems containsSemiMixedTypes="0" containsString="0" containsNumber="1" minValue="5" maxValue="17.5"/>
    </cacheField>
    <cacheField name="Band Width (mm)" numFmtId="0">
      <sharedItems containsSemiMixedTypes="0" containsString="0" containsNumber="1" minValue="15" maxValue="28"/>
    </cacheField>
    <cacheField name="Dial Color" numFmtId="0">
      <sharedItems/>
    </cacheField>
    <cacheField name="Crystal Material" numFmtId="0">
      <sharedItems count="4">
        <s v="Sapphire"/>
        <s v="Mineral"/>
        <s v="Hesalite"/>
        <s v="Hardlex"/>
      </sharedItems>
    </cacheField>
    <cacheField name="Complications" numFmtId="0">
      <sharedItems/>
    </cacheField>
    <cacheField name="Power Reserve" numFmtId="1">
      <sharedItems containsMixedTypes="1" containsNumber="1" containsInteger="1" minValue="38" maxValue="168"/>
    </cacheField>
    <cacheField name="Price (USD)" numFmtId="164">
      <sharedItems containsSemiMixedTypes="0" containsString="0" containsNumber="1" containsInteger="1" minValue="495" maxValue="70000"/>
    </cacheField>
    <cacheField name="WR Range" numFmtId="0">
      <sharedItems/>
    </cacheField>
    <cacheField name="Price Range" numFmtId="0">
      <sharedItems count="7">
        <s v="&lt;= 40000$"/>
        <s v="&lt;= 20000$"/>
        <s v="40000$ +"/>
        <s v="&lt;=5000$"/>
        <s v="&lt;= 10000$"/>
        <s v="&lt;= 1000$"/>
        <s v=" &lt;=2000$"/>
      </sharedItems>
    </cacheField>
  </cacheFields>
  <extLst>
    <ext xmlns:x14="http://schemas.microsoft.com/office/spreadsheetml/2009/9/main" uri="{725AE2AE-9491-48be-B2B4-4EB974FC3084}">
      <x14:pivotCacheDefinition pivotCacheId="3870670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6">
  <r>
    <n v="1"/>
    <x v="0"/>
    <s v="Saxonia White Gold 38.5"/>
    <s v="Leather"/>
    <s v="Manual"/>
    <n v="30"/>
    <n v="38.5"/>
    <n v="7.8"/>
    <n v="18"/>
    <s v="Silver"/>
    <s v="Sapphire"/>
    <s v="None"/>
    <n v="45"/>
    <n v="23000"/>
    <s v="&lt;=100"/>
    <x v="0"/>
  </r>
  <r>
    <n v="2"/>
    <x v="0"/>
    <s v="Saxonia Rose Gold 38.5"/>
    <s v="Leather"/>
    <s v="Manual"/>
    <n v="30"/>
    <n v="38.5"/>
    <n v="7.8"/>
    <n v="18"/>
    <s v="Silver"/>
    <s v="Sapphire"/>
    <s v="None"/>
    <n v="72"/>
    <n v="23300"/>
    <s v="&lt;=100"/>
    <x v="0"/>
  </r>
  <r>
    <n v="3"/>
    <x v="0"/>
    <s v="Saxonia 18k Rose Gold 37"/>
    <s v="Leather"/>
    <s v="Manual"/>
    <n v="30"/>
    <n v="37"/>
    <n v="7.5"/>
    <n v="18"/>
    <s v="Silver"/>
    <s v="Sapphire"/>
    <s v="None"/>
    <n v="45"/>
    <n v="17500"/>
    <s v="&lt;=100"/>
    <x v="1"/>
  </r>
  <r>
    <n v="4"/>
    <x v="1"/>
    <s v="Royal Oak Rose Gold 41"/>
    <s v="Rose Gold"/>
    <s v="Automatic"/>
    <n v="50"/>
    <n v="41"/>
    <n v="9.8000000000000007"/>
    <n v="20"/>
    <s v="Blue"/>
    <s v="Sapphire"/>
    <s v="Date"/>
    <n v="60"/>
    <n v="55000"/>
    <s v="&lt;=100"/>
    <x v="2"/>
  </r>
  <r>
    <n v="5"/>
    <x v="1"/>
    <s v="Royal Oak Rose Gold 37"/>
    <s v="Leather"/>
    <s v="Automatic"/>
    <n v="50"/>
    <n v="37"/>
    <n v="9.8000000000000007"/>
    <n v="20"/>
    <s v="Black"/>
    <s v="Sapphire"/>
    <s v="Date"/>
    <n v="60"/>
    <n v="38500"/>
    <s v="&lt;=100"/>
    <x v="0"/>
  </r>
  <r>
    <n v="6"/>
    <x v="1"/>
    <s v="Royal Oak Rose Gold 37"/>
    <s v="Rose Gold"/>
    <s v="Automatic"/>
    <n v="50"/>
    <n v="37"/>
    <n v="9.8000000000000007"/>
    <n v="18"/>
    <s v="Blue"/>
    <s v="Sapphire"/>
    <s v="None"/>
    <n v="60"/>
    <n v="36500"/>
    <s v="&lt;=100"/>
    <x v="0"/>
  </r>
  <r>
    <n v="7"/>
    <x v="1"/>
    <s v="Royal Oak Stainless Steel 41"/>
    <s v="Stainless Steel"/>
    <s v="Automatic"/>
    <n v="50"/>
    <n v="41"/>
    <n v="10.4"/>
    <n v="20"/>
    <s v="Blue"/>
    <s v="Sapphire"/>
    <s v="Date"/>
    <n v="60"/>
    <n v="28500"/>
    <s v="&lt;=100"/>
    <x v="0"/>
  </r>
  <r>
    <n v="8"/>
    <x v="1"/>
    <s v="Royal Oak Stainless Steel 41"/>
    <s v="Stainless Steel"/>
    <s v="Automatic"/>
    <n v="50"/>
    <n v="41"/>
    <n v="10.4"/>
    <n v="20"/>
    <s v="Blue"/>
    <s v="Sapphire"/>
    <s v="Date"/>
    <n v="60"/>
    <n v="28500"/>
    <s v="&lt;=100"/>
    <x v="0"/>
  </r>
  <r>
    <n v="9"/>
    <x v="1"/>
    <s v="Royal Oak Stainless Steel 41"/>
    <s v="Stainless Steel"/>
    <s v="Automatic"/>
    <n v="50"/>
    <n v="41"/>
    <n v="10.4"/>
    <n v="20"/>
    <s v="Blue"/>
    <s v="Sapphire"/>
    <s v="Date"/>
    <n v="60"/>
    <n v="27000"/>
    <s v="&lt;=100"/>
    <x v="0"/>
  </r>
  <r>
    <n v="10"/>
    <x v="1"/>
    <s v="Royal Oak Stainless Steel 41"/>
    <s v="Stainless Steel"/>
    <s v="Automatic"/>
    <n v="50"/>
    <n v="41"/>
    <n v="10.4"/>
    <n v="20"/>
    <s v="Blue"/>
    <s v="Sapphire"/>
    <s v="Date"/>
    <n v="60"/>
    <n v="26000"/>
    <s v="&lt;=100"/>
    <x v="0"/>
  </r>
  <r>
    <n v="11"/>
    <x v="1"/>
    <s v="Royal Oak Stainless Steel 41"/>
    <s v="Stainless Steel"/>
    <s v="Automatic"/>
    <n v="50"/>
    <n v="41"/>
    <n v="9.8000000000000007"/>
    <n v="20"/>
    <s v="Blue"/>
    <s v="Sapphire"/>
    <s v="Date"/>
    <n v="60"/>
    <n v="25000"/>
    <s v="&lt;=100"/>
    <x v="0"/>
  </r>
  <r>
    <n v="12"/>
    <x v="1"/>
    <s v="Royal Oak Stainless Steel 41"/>
    <s v="Stainless Steel"/>
    <s v="Automatic"/>
    <n v="50"/>
    <n v="41"/>
    <n v="10.4"/>
    <n v="20"/>
    <s v="Blue"/>
    <s v="Sapphire"/>
    <s v="Date, Stopwatch"/>
    <n v="60"/>
    <n v="25000"/>
    <s v="&lt;=100"/>
    <x v="0"/>
  </r>
  <r>
    <n v="13"/>
    <x v="1"/>
    <s v="Royal Oak Stainless Steel 41"/>
    <s v="Stainless Steel"/>
    <s v="Automatic"/>
    <n v="50"/>
    <n v="41"/>
    <n v="9.8000000000000007"/>
    <n v="20"/>
    <s v="Blue"/>
    <s v="Sapphire"/>
    <s v="Date, Power Reserve"/>
    <n v="60"/>
    <n v="25000"/>
    <s v="&lt;=100"/>
    <x v="0"/>
  </r>
  <r>
    <n v="14"/>
    <x v="1"/>
    <s v="Royal Oak Stainless Steel 41"/>
    <s v="Stainless Steel"/>
    <s v="Automatic"/>
    <n v="50"/>
    <n v="41"/>
    <n v="10.4"/>
    <n v="20"/>
    <s v="Blue"/>
    <s v="Sapphire"/>
    <s v="Date"/>
    <n v="60"/>
    <n v="24800"/>
    <s v="&lt;=100"/>
    <x v="0"/>
  </r>
  <r>
    <n v="15"/>
    <x v="1"/>
    <s v="Royal Oak Stainless Steel 41"/>
    <s v="Stainless Steel"/>
    <s v="Automatic"/>
    <n v="50"/>
    <n v="41"/>
    <n v="9.8000000000000007"/>
    <n v="20"/>
    <s v="Blue"/>
    <s v="Sapphire"/>
    <s v="Date"/>
    <n v="60"/>
    <n v="24500"/>
    <s v="&lt;=100"/>
    <x v="0"/>
  </r>
  <r>
    <n v="16"/>
    <x v="1"/>
    <s v="Royal Oak Stainless Steel 41"/>
    <s v="Stainless Steel"/>
    <s v="Automatic"/>
    <n v="50"/>
    <n v="41"/>
    <n v="9.8000000000000007"/>
    <n v="20"/>
    <s v="Blue"/>
    <s v="Sapphire"/>
    <s v="Date"/>
    <n v="60"/>
    <n v="24500"/>
    <s v="&lt;=100"/>
    <x v="0"/>
  </r>
  <r>
    <n v="17"/>
    <x v="1"/>
    <s v="Royal Oak Stainless Steel 41"/>
    <s v="Stainless Steel"/>
    <s v="Automatic"/>
    <n v="50"/>
    <n v="41"/>
    <n v="10.4"/>
    <n v="20"/>
    <s v="Black"/>
    <s v="Sapphire"/>
    <s v="Date"/>
    <n v="60"/>
    <n v="24000"/>
    <s v="&lt;=100"/>
    <x v="0"/>
  </r>
  <r>
    <n v="18"/>
    <x v="1"/>
    <s v="Royal Oak Stainless Steel 41"/>
    <s v="Stainless Steel"/>
    <s v="Automatic"/>
    <n v="50"/>
    <n v="41"/>
    <n v="9.8000000000000007"/>
    <n v="20"/>
    <s v="Black"/>
    <s v="Sapphire"/>
    <s v="Date"/>
    <n v="60"/>
    <n v="23100"/>
    <s v="&lt;=100"/>
    <x v="0"/>
  </r>
  <r>
    <n v="19"/>
    <x v="1"/>
    <s v="Royal Oak Stainless Steel 41"/>
    <s v="Stainless Steel"/>
    <s v="Automatic"/>
    <n v="50"/>
    <n v="41"/>
    <n v="9.8000000000000007"/>
    <n v="20"/>
    <s v="Black"/>
    <s v="Sapphire"/>
    <s v="Date"/>
    <n v="60"/>
    <n v="22500"/>
    <s v="&lt;=100"/>
    <x v="0"/>
  </r>
  <r>
    <n v="20"/>
    <x v="1"/>
    <s v="Royal Oak Stainless Steel 41"/>
    <s v="Stainless Steel"/>
    <s v="Automatic"/>
    <n v="50"/>
    <n v="41"/>
    <n v="9.8000000000000007"/>
    <n v="20"/>
    <s v="Blue"/>
    <s v="Sapphire"/>
    <s v="Date, Chronograph"/>
    <n v="50"/>
    <n v="22300"/>
    <s v="&lt;=100"/>
    <x v="0"/>
  </r>
  <r>
    <n v="21"/>
    <x v="1"/>
    <s v="Royal Oak Stainless Steel 41"/>
    <s v="Stainless Steel"/>
    <s v="Automatic"/>
    <n v="50"/>
    <n v="41"/>
    <n v="9.8000000000000007"/>
    <n v="20"/>
    <s v="Silver"/>
    <s v="Sapphire"/>
    <s v="Date"/>
    <n v="60"/>
    <n v="22000"/>
    <s v="&lt;=100"/>
    <x v="0"/>
  </r>
  <r>
    <n v="22"/>
    <x v="1"/>
    <s v="Royal Oak Stainless Steel 41"/>
    <s v="Stainless Steel"/>
    <s v="Automatic"/>
    <n v="50"/>
    <n v="41"/>
    <n v="9.8000000000000007"/>
    <n v="20"/>
    <s v="Blue"/>
    <s v="Sapphire"/>
    <s v="Date"/>
    <n v="60"/>
    <n v="22000"/>
    <s v="&lt;=100"/>
    <x v="0"/>
  </r>
  <r>
    <n v="23"/>
    <x v="1"/>
    <s v="Royal Oak Stainless Steel 41"/>
    <s v="Stainless Steel"/>
    <s v="Automatic"/>
    <n v="50"/>
    <n v="41"/>
    <n v="9.8000000000000007"/>
    <n v="20"/>
    <s v="Black"/>
    <s v="Sapphire"/>
    <s v="Date"/>
    <n v="60"/>
    <n v="22000"/>
    <s v="&lt;=100"/>
    <x v="0"/>
  </r>
  <r>
    <n v="24"/>
    <x v="1"/>
    <s v="Royal Oak Stainless Steel 41"/>
    <s v="Stainless Steel"/>
    <s v="Automatic"/>
    <n v="50"/>
    <n v="41"/>
    <n v="9.8000000000000007"/>
    <n v="20"/>
    <s v="Blue"/>
    <s v="Sapphire"/>
    <s v="Date"/>
    <n v="60"/>
    <n v="22000"/>
    <s v="&lt;=100"/>
    <x v="0"/>
  </r>
  <r>
    <n v="25"/>
    <x v="1"/>
    <s v="Royal Oak Stainless Steel 41"/>
    <s v="Stainless Steel"/>
    <s v="Automatic"/>
    <n v="50"/>
    <n v="41"/>
    <n v="10.4"/>
    <n v="20"/>
    <s v="Black"/>
    <s v="Sapphire"/>
    <s v="Date"/>
    <n v="60"/>
    <n v="22000"/>
    <s v="&lt;=100"/>
    <x v="0"/>
  </r>
  <r>
    <n v="26"/>
    <x v="1"/>
    <s v="Royal Oak Stainless Steel 41"/>
    <s v="Stainless Steel"/>
    <s v="Automatic"/>
    <n v="50"/>
    <n v="41"/>
    <n v="9.8000000000000007"/>
    <n v="20"/>
    <s v="Black"/>
    <s v="Sapphire"/>
    <s v="Date"/>
    <n v="60"/>
    <n v="22000"/>
    <s v="&lt;=100"/>
    <x v="0"/>
  </r>
  <r>
    <n v="27"/>
    <x v="1"/>
    <s v="Royal Oak Stainless Steel 41"/>
    <s v="Stainless Steel"/>
    <s v="Automatic"/>
    <n v="50"/>
    <n v="41"/>
    <n v="10.4"/>
    <n v="20"/>
    <s v="Black"/>
    <s v="Sapphire"/>
    <s v="Date"/>
    <n v="60"/>
    <n v="21000"/>
    <s v="&lt;=100"/>
    <x v="0"/>
  </r>
  <r>
    <n v="28"/>
    <x v="1"/>
    <s v="Royal Oak Stainless Steel 41"/>
    <s v="Stainless Steel"/>
    <s v="Automatic"/>
    <n v="50"/>
    <n v="41"/>
    <n v="10.4"/>
    <n v="20"/>
    <s v="Silver"/>
    <s v="Sapphire"/>
    <s v="Date"/>
    <n v="60"/>
    <n v="21000"/>
    <s v="&lt;=100"/>
    <x v="0"/>
  </r>
  <r>
    <n v="29"/>
    <x v="1"/>
    <s v="Royal Oak Stainless Steel 41"/>
    <s v="Stainless Steel"/>
    <s v="Automatic"/>
    <n v="50"/>
    <n v="41"/>
    <n v="10.4"/>
    <n v="20"/>
    <s v="Blue"/>
    <s v="Sapphire"/>
    <s v="Date"/>
    <n v="60"/>
    <n v="20900"/>
    <s v="&lt;=100"/>
    <x v="0"/>
  </r>
  <r>
    <n v="30"/>
    <x v="1"/>
    <s v="Royal Oak Stainless Steel 41"/>
    <s v="Stainless Steel"/>
    <s v="Automatic"/>
    <n v="50"/>
    <n v="41"/>
    <n v="9.8000000000000007"/>
    <n v="20"/>
    <s v="Blue"/>
    <s v="Sapphire"/>
    <s v="Date"/>
    <n v="60"/>
    <n v="20400"/>
    <s v="&lt;=100"/>
    <x v="0"/>
  </r>
  <r>
    <n v="31"/>
    <x v="1"/>
    <s v="Royal Oak Stainless Steel 41"/>
    <s v="Stainless Steel"/>
    <s v="Automatic"/>
    <n v="50"/>
    <n v="41"/>
    <n v="9.8000000000000007"/>
    <n v="20"/>
    <s v="Blue"/>
    <s v="Sapphire"/>
    <s v="Date"/>
    <n v="60"/>
    <n v="20000"/>
    <s v="&lt;=100"/>
    <x v="1"/>
  </r>
  <r>
    <n v="32"/>
    <x v="1"/>
    <s v="Royal Oak Stainless Steel 41"/>
    <s v="Stainless Steel"/>
    <s v="Automatic"/>
    <n v="50"/>
    <n v="41"/>
    <n v="10.4"/>
    <n v="20"/>
    <s v="Blue"/>
    <s v="Sapphire"/>
    <s v="Date"/>
    <n v="60"/>
    <n v="19900"/>
    <s v="&lt;=100"/>
    <x v="1"/>
  </r>
  <r>
    <n v="33"/>
    <x v="1"/>
    <s v="Royal Oak Stainless Steel 41"/>
    <s v="Stainless Steel"/>
    <s v="Automatic"/>
    <n v="50"/>
    <n v="41"/>
    <n v="9.5"/>
    <n v="20"/>
    <s v="Black"/>
    <s v="Sapphire"/>
    <s v="Date"/>
    <n v="60"/>
    <n v="19800"/>
    <s v="&lt;=100"/>
    <x v="1"/>
  </r>
  <r>
    <n v="34"/>
    <x v="1"/>
    <s v="Royal Oak Stainless Steel 37"/>
    <s v="Stainless Steel"/>
    <s v="Automatic"/>
    <n v="50"/>
    <n v="37"/>
    <n v="9.8000000000000007"/>
    <n v="20"/>
    <s v="Blue"/>
    <s v="Sapphire"/>
    <s v="Date"/>
    <n v="40"/>
    <n v="19500"/>
    <s v="&lt;=100"/>
    <x v="1"/>
  </r>
  <r>
    <n v="35"/>
    <x v="1"/>
    <s v="Royal Oak Stainless Steel 41"/>
    <s v="Stainless Steel"/>
    <s v="Automatic"/>
    <n v="50"/>
    <n v="41"/>
    <n v="10.4"/>
    <n v="20"/>
    <s v="Blue"/>
    <s v="Sapphire"/>
    <s v="Date"/>
    <n v="60"/>
    <n v="19500"/>
    <s v="&lt;=100"/>
    <x v="1"/>
  </r>
  <r>
    <n v="36"/>
    <x v="1"/>
    <s v="Royal Oak Stainless Steel 39"/>
    <s v="Stainless Steel"/>
    <s v="Automatic"/>
    <n v="50"/>
    <n v="39"/>
    <n v="9.4"/>
    <n v="20"/>
    <s v="Blue"/>
    <s v="Sapphire"/>
    <s v="Date, Power Reserve Indicator"/>
    <n v="60"/>
    <n v="18900"/>
    <s v="&lt;=100"/>
    <x v="1"/>
  </r>
  <r>
    <n v="37"/>
    <x v="1"/>
    <s v="Royal Oak Stainless Steel 41"/>
    <s v="Stainless Steel"/>
    <s v="Automatic"/>
    <n v="50"/>
    <n v="41"/>
    <n v="9.8000000000000007"/>
    <n v="20"/>
    <s v="Blue"/>
    <s v="Sapphire"/>
    <s v="Date"/>
    <n v="60"/>
    <n v="18500"/>
    <s v="&lt;=100"/>
    <x v="1"/>
  </r>
  <r>
    <n v="38"/>
    <x v="1"/>
    <s v="Royal Oak Stainless Steel 37"/>
    <s v="Stainless Steel"/>
    <s v="Automatic"/>
    <n v="50"/>
    <n v="37"/>
    <n v="9"/>
    <n v="16"/>
    <s v="Blue"/>
    <s v="Sapphire"/>
    <s v="Date"/>
    <n v="60"/>
    <n v="18000"/>
    <s v="&lt;=100"/>
    <x v="1"/>
  </r>
  <r>
    <n v="39"/>
    <x v="1"/>
    <s v="Royal Oak Stainless Steel 41"/>
    <s v="Stainless Steel"/>
    <s v="Automatic"/>
    <n v="50"/>
    <n v="41"/>
    <n v="10.4"/>
    <n v="20"/>
    <s v="Black"/>
    <s v="Sapphire"/>
    <s v="Date"/>
    <n v="60"/>
    <n v="17800"/>
    <s v="&lt;=100"/>
    <x v="1"/>
  </r>
  <r>
    <n v="40"/>
    <x v="1"/>
    <s v="Royal Oak Stainless Steel 41"/>
    <s v="Stainless Steel"/>
    <s v="Automatic"/>
    <n v="50"/>
    <n v="41"/>
    <n v="10.4"/>
    <n v="20"/>
    <s v="Blue"/>
    <s v="Sapphire"/>
    <s v="Date"/>
    <n v="60"/>
    <n v="17000"/>
    <s v="&lt;=100"/>
    <x v="1"/>
  </r>
  <r>
    <n v="41"/>
    <x v="1"/>
    <s v="Royal Oak Stainless Steel 41"/>
    <s v="Stainless Steel"/>
    <s v="Automatic"/>
    <n v="50"/>
    <n v="41"/>
    <n v="10.4"/>
    <n v="20"/>
    <s v="Grey"/>
    <s v="Sapphire"/>
    <s v="Date"/>
    <n v="60"/>
    <n v="17000"/>
    <s v="&lt;=100"/>
    <x v="1"/>
  </r>
  <r>
    <n v="42"/>
    <x v="2"/>
    <s v="Clifton Baumatic Stainless Steel 40"/>
    <s v="Leather"/>
    <s v="Automatic"/>
    <n v="50"/>
    <n v="40"/>
    <n v="10.3"/>
    <n v="20"/>
    <s v="Silver"/>
    <s v="Sapphire"/>
    <s v="Date"/>
    <n v="120"/>
    <n v="2750"/>
    <s v="&lt;=100"/>
    <x v="3"/>
  </r>
  <r>
    <n v="43"/>
    <x v="3"/>
    <s v="Aviation Stainless Steel 42"/>
    <s v="Rubber"/>
    <s v="Automatic"/>
    <n v="100"/>
    <n v="42"/>
    <n v="11.5"/>
    <n v="24"/>
    <s v="Black"/>
    <s v="Sapphire"/>
    <s v="Chronograph"/>
    <n v="42"/>
    <n v="4500"/>
    <s v="&lt;=100"/>
    <x v="3"/>
  </r>
  <r>
    <n v="44"/>
    <x v="3"/>
    <s v="BR 03-92 Ceramic 42"/>
    <s v="Rubber"/>
    <s v="Automatic"/>
    <n v="100"/>
    <n v="42"/>
    <n v="9.8000000000000007"/>
    <n v="24"/>
    <s v="Black"/>
    <s v="Sapphire"/>
    <s v="None"/>
    <n v="40"/>
    <n v="3800"/>
    <s v="&lt;=100"/>
    <x v="3"/>
  </r>
  <r>
    <n v="45"/>
    <x v="3"/>
    <s v="BR V2-92 Stainless Steel 41"/>
    <s v="Rubber"/>
    <s v="Automatic"/>
    <n v="100"/>
    <n v="41"/>
    <n v="9.6999999999999993"/>
    <n v="22"/>
    <s v="Black"/>
    <s v="Sapphire"/>
    <s v="Date"/>
    <n v="40"/>
    <n v="2500"/>
    <s v="&lt;=100"/>
    <x v="3"/>
  </r>
  <r>
    <n v="46"/>
    <x v="3"/>
    <s v="BR 03-92 Ceramic 42"/>
    <s v="Rubber"/>
    <s v="Automatic"/>
    <n v="100"/>
    <n v="42"/>
    <n v="9.3000000000000007"/>
    <n v="22"/>
    <s v="Black"/>
    <s v="Sapphire"/>
    <s v="None"/>
    <n v="42"/>
    <n v="2399"/>
    <s v="&lt;=100"/>
    <x v="3"/>
  </r>
  <r>
    <n v="47"/>
    <x v="4"/>
    <s v="Fifty Fathoms Titanium 45"/>
    <s v="Rubber"/>
    <s v="Automatic"/>
    <n v="300"/>
    <n v="45"/>
    <n v="15.5"/>
    <n v="23"/>
    <s v="Black"/>
    <s v="Sapphire"/>
    <s v="None"/>
    <n v="120"/>
    <n v="16800"/>
    <s v="200-300"/>
    <x v="1"/>
  </r>
  <r>
    <n v="48"/>
    <x v="4"/>
    <s v="Fifty Fathoms Stainless Steel 45"/>
    <s v="Canvas"/>
    <s v="Automatic"/>
    <n v="300"/>
    <n v="45"/>
    <n v="15.4"/>
    <n v="23"/>
    <s v="Black"/>
    <s v="Sapphire"/>
    <s v="Date"/>
    <n v="120"/>
    <n v="15000"/>
    <s v="200-300"/>
    <x v="1"/>
  </r>
  <r>
    <n v="49"/>
    <x v="4"/>
    <s v="Fifty Fathoms Stainless Steel 45"/>
    <s v="Canvas"/>
    <s v="Automatic"/>
    <n v="300"/>
    <n v="45"/>
    <n v="15.5"/>
    <n v="23"/>
    <s v="Black"/>
    <s v="Sapphire"/>
    <s v="Date"/>
    <n v="120"/>
    <n v="14900"/>
    <s v="200-300"/>
    <x v="1"/>
  </r>
  <r>
    <n v="50"/>
    <x v="4"/>
    <s v="Fifty Fathoms Stainless Steel 43"/>
    <s v="Rubber"/>
    <s v="Automatic"/>
    <n v="300"/>
    <n v="43"/>
    <n v="13.4"/>
    <n v="23"/>
    <s v="Black"/>
    <s v="Sapphire"/>
    <s v="Date"/>
    <n v="120"/>
    <n v="14700"/>
    <s v="200-300"/>
    <x v="1"/>
  </r>
  <r>
    <n v="51"/>
    <x v="4"/>
    <s v="Fifty Fathoms Titanium 45"/>
    <s v="Fabric"/>
    <s v="Automatic"/>
    <n v="300"/>
    <n v="45"/>
    <n v="15.4"/>
    <n v="23"/>
    <s v="Black"/>
    <s v="Sapphire"/>
    <s v="Date"/>
    <n v="120"/>
    <n v="14500"/>
    <s v="200-300"/>
    <x v="1"/>
  </r>
  <r>
    <n v="52"/>
    <x v="4"/>
    <s v="Fifty Fathoms Stainless Steel 45"/>
    <s v="Canvas"/>
    <s v="Automatic"/>
    <n v="300"/>
    <n v="45"/>
    <n v="15.5"/>
    <n v="22"/>
    <s v="Black"/>
    <s v="Sapphire"/>
    <s v="Date"/>
    <n v="120"/>
    <n v="14400"/>
    <s v="200-300"/>
    <x v="1"/>
  </r>
  <r>
    <n v="53"/>
    <x v="4"/>
    <s v="Fifty Fathoms Stainless Steel 45"/>
    <s v="Fabric"/>
    <s v="Automatic"/>
    <n v="300"/>
    <n v="45"/>
    <n v="15.5"/>
    <n v="23"/>
    <s v="Black"/>
    <s v="Sapphire"/>
    <s v="Date"/>
    <n v="120"/>
    <n v="14000"/>
    <s v="200-300"/>
    <x v="1"/>
  </r>
  <r>
    <n v="54"/>
    <x v="4"/>
    <s v="Fifty Fathoms Stainless Steel 45"/>
    <s v="Canvas"/>
    <s v="Automatic"/>
    <n v="300"/>
    <n v="45"/>
    <n v="15.4"/>
    <n v="23"/>
    <s v="Black"/>
    <s v="Sapphire"/>
    <s v="Date"/>
    <n v="120"/>
    <n v="14000"/>
    <s v="200-300"/>
    <x v="1"/>
  </r>
  <r>
    <n v="55"/>
    <x v="4"/>
    <s v="Fifty Fathoms Stainless Steel 45"/>
    <s v="Rubber"/>
    <s v="Automatic"/>
    <n v="300"/>
    <n v="45"/>
    <n v="15.5"/>
    <n v="23"/>
    <s v="Black"/>
    <s v="Sapphire"/>
    <s v="Date"/>
    <n v="120"/>
    <n v="14000"/>
    <s v="200-300"/>
    <x v="1"/>
  </r>
  <r>
    <n v="56"/>
    <x v="4"/>
    <s v="Fifty Fathoms Titanium 45"/>
    <s v="Fabric"/>
    <s v="Automatic"/>
    <n v="300"/>
    <n v="45"/>
    <n v="15.4"/>
    <n v="23"/>
    <s v="Black"/>
    <s v="Sapphire"/>
    <s v="None"/>
    <n v="120"/>
    <n v="14000"/>
    <s v="200-300"/>
    <x v="1"/>
  </r>
  <r>
    <n v="57"/>
    <x v="4"/>
    <s v="Fifty Fathoms Stainless Steel 45"/>
    <s v="Fabric"/>
    <s v="Automatic"/>
    <n v="300"/>
    <n v="45"/>
    <n v="15.4"/>
    <n v="23"/>
    <s v="Black"/>
    <s v="Sapphire"/>
    <s v="Date"/>
    <n v="120"/>
    <n v="13900"/>
    <s v="200-300"/>
    <x v="1"/>
  </r>
  <r>
    <n v="58"/>
    <x v="4"/>
    <s v="Fifty Fathoms Stainless Steel 45"/>
    <s v="Canvas"/>
    <s v="Automatic"/>
    <n v="300"/>
    <n v="45"/>
    <n v="15.4"/>
    <n v="23"/>
    <s v="Black"/>
    <s v="Sapphire"/>
    <s v="Date, Rotating Bezel"/>
    <n v="120"/>
    <n v="13500"/>
    <s v="200-300"/>
    <x v="1"/>
  </r>
  <r>
    <n v="59"/>
    <x v="4"/>
    <s v="Fifty Fathoms Stainless Steel 45"/>
    <s v="Rubber"/>
    <s v="Automatic"/>
    <n v="300"/>
    <n v="45"/>
    <n v="15.4"/>
    <n v="23"/>
    <s v="Black"/>
    <s v="Sapphire"/>
    <s v="Date"/>
    <n v="120"/>
    <n v="13500"/>
    <s v="200-300"/>
    <x v="1"/>
  </r>
  <r>
    <n v="60"/>
    <x v="4"/>
    <s v="Fifty Fathoms Stainless Steel 45"/>
    <s v="Rubber"/>
    <s v="Automatic"/>
    <n v="300"/>
    <n v="45"/>
    <n v="15.5"/>
    <n v="23"/>
    <s v="Black"/>
    <s v="Sapphire"/>
    <s v="Date"/>
    <n v="120"/>
    <n v="13500"/>
    <s v="200-300"/>
    <x v="1"/>
  </r>
  <r>
    <n v="61"/>
    <x v="4"/>
    <s v="Fifty Fathoms Stainless Steel 45"/>
    <s v="Fabric"/>
    <s v="Automatic"/>
    <n v="300"/>
    <n v="45"/>
    <n v="15.5"/>
    <n v="23"/>
    <s v="Black"/>
    <s v="Sapphire"/>
    <s v="Date"/>
    <n v="120"/>
    <n v="13500"/>
    <s v="200-300"/>
    <x v="1"/>
  </r>
  <r>
    <n v="62"/>
    <x v="4"/>
    <s v="Fifty Fathoms Stainless Steel 45"/>
    <s v="Fabric"/>
    <s v="Automatic"/>
    <n v="300"/>
    <n v="45"/>
    <n v="15.5"/>
    <n v="23"/>
    <s v="Black"/>
    <s v="Sapphire"/>
    <s v="Date"/>
    <n v="120"/>
    <n v="13000"/>
    <s v="200-300"/>
    <x v="1"/>
  </r>
  <r>
    <n v="63"/>
    <x v="4"/>
    <s v="Fifty Fathoms Stainless Steel 45"/>
    <s v="Rubber"/>
    <s v="Automatic"/>
    <n v="300"/>
    <n v="45"/>
    <n v="15.5"/>
    <n v="23"/>
    <s v="Black"/>
    <s v="Sapphire"/>
    <s v="Date"/>
    <n v="120"/>
    <n v="12900"/>
    <s v="200-300"/>
    <x v="1"/>
  </r>
  <r>
    <n v="64"/>
    <x v="4"/>
    <s v="Fifty Fathoms Stainless Steel 45"/>
    <s v="Canvas"/>
    <s v="Automatic"/>
    <n v="300"/>
    <n v="45"/>
    <n v="15.5"/>
    <n v="23"/>
    <s v="Black"/>
    <s v="Sapphire"/>
    <s v="Date"/>
    <n v="120"/>
    <n v="12800"/>
    <s v="200-300"/>
    <x v="1"/>
  </r>
  <r>
    <n v="65"/>
    <x v="4"/>
    <s v="Fifty Fathoms Stainless Steel 45"/>
    <s v="NATO Strap"/>
    <s v="Automatic"/>
    <n v="300"/>
    <n v="45"/>
    <n v="15.5"/>
    <n v="23"/>
    <s v="Black"/>
    <s v="Sapphire"/>
    <s v="None"/>
    <n v="120"/>
    <n v="12500"/>
    <s v="200-300"/>
    <x v="1"/>
  </r>
  <r>
    <n v="66"/>
    <x v="4"/>
    <s v="Fifty Fathoms Stainless Steel 45"/>
    <s v="Rubber"/>
    <s v="Automatic"/>
    <n v="300"/>
    <n v="45"/>
    <n v="15.4"/>
    <n v="23"/>
    <s v="Black"/>
    <s v="Sapphire"/>
    <s v="Date"/>
    <n v="120"/>
    <n v="12500"/>
    <s v="200-300"/>
    <x v="1"/>
  </r>
  <r>
    <n v="67"/>
    <x v="4"/>
    <s v="Fifty Fathoms Stainless Steel 45"/>
    <s v="Canvas"/>
    <s v="Automatic"/>
    <n v="300"/>
    <n v="45"/>
    <n v="15.5"/>
    <n v="23"/>
    <s v="Black"/>
    <s v="Sapphire"/>
    <s v="Date"/>
    <n v="120"/>
    <n v="12500"/>
    <s v="200-300"/>
    <x v="1"/>
  </r>
  <r>
    <n v="68"/>
    <x v="4"/>
    <s v="Fifty Fathoms Stainless Steel 43.6"/>
    <s v="Fabric"/>
    <s v="Automatic"/>
    <n v="300"/>
    <n v="43.6"/>
    <n v="13.83"/>
    <n v="23"/>
    <s v="Black"/>
    <s v="Sapphire"/>
    <s v="Date, Unidirectional Bezel"/>
    <n v="120"/>
    <n v="12000"/>
    <s v="200-300"/>
    <x v="1"/>
  </r>
  <r>
    <n v="69"/>
    <x v="4"/>
    <s v="Fifty Fathoms Titanium 45"/>
    <s v="Fabric"/>
    <s v="Automatic"/>
    <n v="300"/>
    <n v="45"/>
    <n v="15.4"/>
    <n v="23"/>
    <s v="Black"/>
    <s v="Sapphire"/>
    <s v="Date"/>
    <n v="120"/>
    <n v="12000"/>
    <s v="200-300"/>
    <x v="1"/>
  </r>
  <r>
    <n v="70"/>
    <x v="4"/>
    <s v="Fifty Fathoms Stainless Steel 45"/>
    <s v="NATO Strap"/>
    <s v="Automatic"/>
    <n v="300"/>
    <n v="45"/>
    <n v="15.5"/>
    <n v="23"/>
    <s v="Black"/>
    <s v="Sapphire"/>
    <s v="Date"/>
    <n v="120"/>
    <n v="12000"/>
    <s v="200-300"/>
    <x v="1"/>
  </r>
  <r>
    <n v="71"/>
    <x v="4"/>
    <s v="Fifty Fathoms Stainless Steel 45"/>
    <s v="Canvas"/>
    <s v="Automatic"/>
    <n v="300"/>
    <n v="45"/>
    <n v="15.4"/>
    <n v="23"/>
    <s v="Black"/>
    <s v="Sapphire"/>
    <s v="Date"/>
    <n v="120"/>
    <n v="11500"/>
    <s v="200-300"/>
    <x v="1"/>
  </r>
  <r>
    <n v="72"/>
    <x v="4"/>
    <s v="Fifty Fathoms Stainless Steel 45"/>
    <s v="Canvas"/>
    <s v="Automatic"/>
    <n v="300"/>
    <n v="45"/>
    <n v="15.4"/>
    <n v="23"/>
    <s v="Black"/>
    <s v="Sapphire"/>
    <s v="Date"/>
    <n v="120"/>
    <n v="11500"/>
    <s v="200-300"/>
    <x v="1"/>
  </r>
  <r>
    <n v="73"/>
    <x v="4"/>
    <s v="Fifty Fathoms Stainless Steel 45"/>
    <s v="Fabric"/>
    <s v="Automatic"/>
    <n v="300"/>
    <n v="45"/>
    <n v="15.5"/>
    <n v="23"/>
    <s v="Black"/>
    <s v="Sapphire"/>
    <s v="Date, Power Reserve Indicator"/>
    <n v="120"/>
    <n v="11000"/>
    <s v="200-300"/>
    <x v="1"/>
  </r>
  <r>
    <n v="74"/>
    <x v="4"/>
    <s v="Fifty Fathoms Stainless Steel 45"/>
    <s v="Canvas"/>
    <s v="Automatic"/>
    <n v="300"/>
    <n v="45"/>
    <n v="15.5"/>
    <n v="23"/>
    <s v="Black"/>
    <s v="Sapphire"/>
    <s v="None"/>
    <n v="120"/>
    <n v="10500"/>
    <s v="200-300"/>
    <x v="1"/>
  </r>
  <r>
    <n v="75"/>
    <x v="4"/>
    <s v="Fifty Fathoms Stainless Steel 45"/>
    <s v="NATO Strap"/>
    <s v="Automatic"/>
    <n v="300"/>
    <n v="45"/>
    <n v="15.4"/>
    <n v="23"/>
    <s v="Black"/>
    <s v="Sapphire"/>
    <s v="None"/>
    <n v="120"/>
    <n v="10000"/>
    <s v="200-300"/>
    <x v="4"/>
  </r>
  <r>
    <n v="76"/>
    <x v="5"/>
    <s v="Classique 18K Rose Gold 39"/>
    <s v="Leather"/>
    <s v="Automatic"/>
    <n v="30"/>
    <n v="39"/>
    <n v="9.9"/>
    <n v="22"/>
    <s v="White"/>
    <s v="Sapphire"/>
    <s v="Date, Moonphase"/>
    <n v="65"/>
    <n v="27900"/>
    <s v="&lt;=100"/>
    <x v="0"/>
  </r>
  <r>
    <n v="77"/>
    <x v="5"/>
    <s v="Classique 18K Rose Gold 39"/>
    <s v="Leather"/>
    <s v="Manual"/>
    <n v="30"/>
    <n v="39"/>
    <n v="10.199999999999999"/>
    <n v="22"/>
    <s v="Silver"/>
    <s v="Sapphire"/>
    <s v="None"/>
    <n v="40"/>
    <n v="26000"/>
    <s v="&lt;=100"/>
    <x v="0"/>
  </r>
  <r>
    <n v="78"/>
    <x v="5"/>
    <s v="Classique 18K Yellow Gold 39"/>
    <s v="Leather"/>
    <s v="Automatic"/>
    <n v="30"/>
    <n v="39"/>
    <n v="10.199999999999999"/>
    <n v="20"/>
    <s v="Silver"/>
    <s v="Sapphire"/>
    <s v="Date"/>
    <n v="38"/>
    <n v="26000"/>
    <s v="&lt;=100"/>
    <x v="0"/>
  </r>
  <r>
    <n v="79"/>
    <x v="5"/>
    <s v="Classique Rose Gold 40"/>
    <s v="Leather"/>
    <s v="Manual"/>
    <n v="30"/>
    <n v="40"/>
    <n v="6.8"/>
    <n v="20"/>
    <s v="Silver"/>
    <s v="Sapphire"/>
    <s v="None"/>
    <n v="55"/>
    <n v="25000"/>
    <s v="&lt;=100"/>
    <x v="0"/>
  </r>
  <r>
    <n v="80"/>
    <x v="5"/>
    <s v="Classique Rose Gold 39"/>
    <s v="Leather"/>
    <s v="Automatic"/>
    <n v="30"/>
    <n v="39"/>
    <n v="10.199999999999999"/>
    <n v="20"/>
    <s v="Silver"/>
    <s v="Sapphire"/>
    <s v="None"/>
    <n v="65"/>
    <n v="25000"/>
    <s v="&lt;=100"/>
    <x v="0"/>
  </r>
  <r>
    <n v="81"/>
    <x v="5"/>
    <s v="Classique 18k White Gold 39"/>
    <s v="Leather"/>
    <s v="Automatic"/>
    <n v="30"/>
    <n v="39"/>
    <n v="8.65"/>
    <n v="20"/>
    <s v="Silver"/>
    <s v="Sapphire"/>
    <s v="Date"/>
    <n v="55"/>
    <n v="24500"/>
    <s v="&lt;=100"/>
    <x v="0"/>
  </r>
  <r>
    <n v="82"/>
    <x v="5"/>
    <s v="Classique 18K White Gold 40"/>
    <s v="Leather"/>
    <s v="Manual"/>
    <n v="30"/>
    <n v="40"/>
    <n v="6.95"/>
    <n v="20"/>
    <s v="Silver"/>
    <s v="Sapphire"/>
    <s v="None"/>
    <n v="50"/>
    <n v="24000"/>
    <s v="&lt;=100"/>
    <x v="0"/>
  </r>
  <r>
    <n v="83"/>
    <x v="5"/>
    <s v="Classique 18K Rose Gold 39"/>
    <s v="Leather"/>
    <s v="Automatic"/>
    <n v="30"/>
    <n v="39"/>
    <n v="8.65"/>
    <n v="20"/>
    <s v="Silver"/>
    <s v="Sapphire"/>
    <s v="None"/>
    <n v="45"/>
    <n v="23500"/>
    <s v="&lt;=100"/>
    <x v="0"/>
  </r>
  <r>
    <n v="84"/>
    <x v="5"/>
    <s v="Classique Rose Gold 39"/>
    <s v="Leather"/>
    <s v="Automatic"/>
    <n v="30"/>
    <n v="39"/>
    <n v="8.65"/>
    <n v="20"/>
    <s v="Silver"/>
    <s v="Sapphire"/>
    <s v="Date"/>
    <n v="65"/>
    <n v="23200"/>
    <s v="&lt;=100"/>
    <x v="0"/>
  </r>
  <r>
    <n v="85"/>
    <x v="5"/>
    <s v="Classique Rose Gold 38.5"/>
    <s v="Leather"/>
    <s v="Manual"/>
    <n v="30"/>
    <n v="38.5"/>
    <n v="8.25"/>
    <n v="20"/>
    <s v="Silver"/>
    <s v="Sapphire"/>
    <s v="Power Reserve"/>
    <n v="65"/>
    <n v="23000"/>
    <s v="&lt;=100"/>
    <x v="0"/>
  </r>
  <r>
    <n v="86"/>
    <x v="5"/>
    <s v="Classique 18k White Gold 38"/>
    <s v="Leather"/>
    <s v="Manual"/>
    <n v="30"/>
    <n v="38"/>
    <n v="7.45"/>
    <n v="20"/>
    <s v="Silver"/>
    <s v="Sapphire"/>
    <s v="None"/>
    <n v="65"/>
    <n v="23000"/>
    <s v="&lt;=100"/>
    <x v="0"/>
  </r>
  <r>
    <n v="87"/>
    <x v="5"/>
    <s v="Classique 18K White Gold 40"/>
    <s v="Leather"/>
    <s v="Manual"/>
    <n v="30"/>
    <n v="40"/>
    <n v="6.95"/>
    <n v="20"/>
    <s v="White"/>
    <s v="Sapphire"/>
    <s v="None"/>
    <n v="65"/>
    <n v="22500"/>
    <s v="&lt;=100"/>
    <x v="0"/>
  </r>
  <r>
    <n v="88"/>
    <x v="5"/>
    <s v="Classique 18k White Gold 38"/>
    <s v="Leather"/>
    <s v="Manual"/>
    <n v="30"/>
    <n v="38"/>
    <n v="8.25"/>
    <n v="20"/>
    <s v="Silver"/>
    <s v="Sapphire"/>
    <s v="None"/>
    <n v="40"/>
    <n v="22000"/>
    <s v="&lt;=100"/>
    <x v="0"/>
  </r>
  <r>
    <n v="89"/>
    <x v="5"/>
    <s v="Classique 18k Rose Gold 38.5"/>
    <s v="Leather"/>
    <s v="Automatic"/>
    <n v="30"/>
    <n v="38.5"/>
    <n v="8.25"/>
    <n v="20"/>
    <s v="White"/>
    <s v="Sapphire"/>
    <s v="Date"/>
    <n v="38"/>
    <n v="21500"/>
    <s v="&lt;=100"/>
    <x v="0"/>
  </r>
  <r>
    <n v="90"/>
    <x v="5"/>
    <s v="Classique Rose Gold 40"/>
    <s v="Leather"/>
    <s v="Manual"/>
    <n v="30"/>
    <n v="40"/>
    <n v="6.8"/>
    <n v="20"/>
    <s v="Silver"/>
    <s v="Sapphire"/>
    <s v="None"/>
    <n v="65"/>
    <n v="20500"/>
    <s v="&lt;=100"/>
    <x v="0"/>
  </r>
  <r>
    <n v="91"/>
    <x v="5"/>
    <s v="Classique White Gold 39"/>
    <s v="Leather"/>
    <s v="Automatic"/>
    <n v="30"/>
    <n v="39"/>
    <n v="8.65"/>
    <n v="21"/>
    <s v="Silver"/>
    <s v="Sapphire"/>
    <s v="None"/>
    <n v="55"/>
    <n v="20000"/>
    <s v="&lt;=100"/>
    <x v="1"/>
  </r>
  <r>
    <n v="92"/>
    <x v="5"/>
    <s v="Classique Rose Gold 38"/>
    <s v="Leather"/>
    <s v="Automatic"/>
    <n v="30"/>
    <n v="38"/>
    <n v="8.25"/>
    <n v="20"/>
    <s v="Silver"/>
    <s v="Sapphire"/>
    <s v="None"/>
    <n v="45"/>
    <n v="20000"/>
    <s v="&lt;=100"/>
    <x v="1"/>
  </r>
  <r>
    <n v="93"/>
    <x v="5"/>
    <s v="Classique 18K Rose Gold 40"/>
    <s v="Leather"/>
    <s v="Automatic"/>
    <n v="30"/>
    <n v="40"/>
    <n v="6.8"/>
    <n v="20"/>
    <s v="White"/>
    <s v="Sapphire"/>
    <s v="None"/>
    <n v="55"/>
    <n v="19000"/>
    <s v="&lt;=100"/>
    <x v="1"/>
  </r>
  <r>
    <n v="94"/>
    <x v="5"/>
    <s v="Classique White Gold 39"/>
    <s v="Leather"/>
    <s v="Automatic"/>
    <n v="30"/>
    <n v="39"/>
    <n v="10.199999999999999"/>
    <n v="22"/>
    <s v="Silver"/>
    <s v="Sapphire"/>
    <s v="None"/>
    <n v="45"/>
    <n v="19000"/>
    <s v="&lt;=100"/>
    <x v="1"/>
  </r>
  <r>
    <n v="95"/>
    <x v="5"/>
    <s v="Classique 18k White Gold 39"/>
    <s v="Leather"/>
    <s v="Automatic"/>
    <n v="30"/>
    <n v="39"/>
    <n v="8.65"/>
    <n v="20"/>
    <s v="Silver"/>
    <s v="Sapphire"/>
    <s v="None"/>
    <n v="40"/>
    <n v="19000"/>
    <s v="&lt;=100"/>
    <x v="1"/>
  </r>
  <r>
    <n v="96"/>
    <x v="5"/>
    <s v="Classique 18K Rose Gold 39"/>
    <s v="Leather"/>
    <s v="Automatic"/>
    <n v="30"/>
    <n v="39"/>
    <n v="10.199999999999999"/>
    <n v="22"/>
    <s v="Silver"/>
    <s v="Sapphire"/>
    <s v="None"/>
    <n v="40"/>
    <n v="18000"/>
    <s v="&lt;=100"/>
    <x v="1"/>
  </r>
  <r>
    <n v="97"/>
    <x v="5"/>
    <s v="Classique 18k White Gold 38"/>
    <s v="Leather"/>
    <s v="Manual"/>
    <n v="30"/>
    <n v="38"/>
    <n v="8.65"/>
    <n v="20"/>
    <s v="Silver"/>
    <s v="Sapphire"/>
    <s v="None"/>
    <n v="40"/>
    <n v="16000"/>
    <s v="&lt;=100"/>
    <x v="1"/>
  </r>
  <r>
    <n v="98"/>
    <x v="5"/>
    <s v="Classique 18K White Gold 40"/>
    <s v="Leather"/>
    <s v="Manual"/>
    <n v="30"/>
    <n v="40"/>
    <n v="6.1"/>
    <n v="20"/>
    <s v="Silver"/>
    <s v="Sapphire"/>
    <s v="None"/>
    <n v="65"/>
    <n v="16000"/>
    <s v="&lt;=100"/>
    <x v="1"/>
  </r>
  <r>
    <n v="99"/>
    <x v="5"/>
    <s v="Classique 18K Rose Gold 39"/>
    <s v="Leather"/>
    <s v="Manual"/>
    <n v="30"/>
    <n v="39"/>
    <n v="8.65"/>
    <n v="20"/>
    <s v="Silver"/>
    <s v="Sapphire"/>
    <s v="None"/>
    <n v="40"/>
    <n v="15200"/>
    <s v="&lt;=100"/>
    <x v="1"/>
  </r>
  <r>
    <n v="100"/>
    <x v="5"/>
    <s v="Type XXI Stainless Steel 42"/>
    <s v="Leather"/>
    <s v="Automatic"/>
    <n v="100"/>
    <n v="42"/>
    <n v="13.85"/>
    <n v="22"/>
    <s v="Silver"/>
    <s v="Sapphire"/>
    <s v="Chronograph"/>
    <n v="48"/>
    <n v="9500"/>
    <s v="&lt;=100"/>
    <x v="4"/>
  </r>
  <r>
    <n v="101"/>
    <x v="5"/>
    <s v="Type XX Stainless Steel 39.5"/>
    <s v="Leather"/>
    <s v="Automatic"/>
    <n v="100"/>
    <n v="39.5"/>
    <n v="14.1"/>
    <n v="20"/>
    <s v="Black"/>
    <s v="Sapphire"/>
    <s v="Date, Chronograph, Flyback"/>
    <n v="48"/>
    <n v="8800"/>
    <s v="&lt;=100"/>
    <x v="4"/>
  </r>
  <r>
    <n v="102"/>
    <x v="6"/>
    <s v="Navitimer Stainless Steel 43"/>
    <s v="Stainless Steel"/>
    <s v="Automatic"/>
    <n v="30"/>
    <n v="43"/>
    <n v="14.25"/>
    <n v="22"/>
    <s v="Black"/>
    <s v="Sapphire"/>
    <s v="Chronograph"/>
    <n v="70"/>
    <n v="7900"/>
    <s v="&lt;=100"/>
    <x v="4"/>
  </r>
  <r>
    <n v="103"/>
    <x v="6"/>
    <s v="Navitimer Stainless Steel 43"/>
    <s v="Stainless Steel"/>
    <s v="Automatic"/>
    <n v="30"/>
    <n v="43"/>
    <n v="14.25"/>
    <n v="22"/>
    <s v="Black"/>
    <s v="Sapphire"/>
    <s v="Chronograph"/>
    <n v="70"/>
    <n v="7900"/>
    <s v="&lt;=100"/>
    <x v="4"/>
  </r>
  <r>
    <n v="104"/>
    <x v="6"/>
    <s v="Chronomat Stainless Steel 44"/>
    <s v="Stainless Steel"/>
    <s v="Automatic"/>
    <n v="200"/>
    <n v="44"/>
    <n v="16.95"/>
    <n v="22"/>
    <s v="Blue"/>
    <s v="Sapphire"/>
    <s v="Chronograph, Date"/>
    <n v="70"/>
    <n v="6900"/>
    <s v="100-200"/>
    <x v="4"/>
  </r>
  <r>
    <n v="105"/>
    <x v="6"/>
    <s v="Superocean Heritage Stainless Steel 42"/>
    <s v="Rubber"/>
    <s v="Automatic"/>
    <n v="200"/>
    <n v="42"/>
    <n v="14.35"/>
    <n v="22"/>
    <s v="Black"/>
    <s v="Sapphire"/>
    <s v="Date"/>
    <n v="38"/>
    <n v="4800"/>
    <s v="100-200"/>
    <x v="3"/>
  </r>
  <r>
    <n v="106"/>
    <x v="6"/>
    <s v="Avenger II Stainless Steel 43"/>
    <s v="Rubber"/>
    <s v="Automatic"/>
    <n v="300"/>
    <n v="43"/>
    <n v="16.5"/>
    <n v="22"/>
    <s v="Black"/>
    <s v="Sapphire"/>
    <s v="Chronograph, Date"/>
    <n v="42"/>
    <n v="4600"/>
    <s v="200-300"/>
    <x v="3"/>
  </r>
  <r>
    <n v="107"/>
    <x v="6"/>
    <s v="Superocean Stainless Steel 44"/>
    <s v="Rubber"/>
    <s v="Automatic"/>
    <n v="200"/>
    <n v="44"/>
    <n v="14.2"/>
    <n v="22"/>
    <s v="Black"/>
    <s v="Sapphire"/>
    <s v="Date"/>
    <n v="42"/>
    <n v="4500"/>
    <s v="100-200"/>
    <x v="3"/>
  </r>
  <r>
    <n v="108"/>
    <x v="6"/>
    <s v="Superocean Heritage Stainless Steel 42"/>
    <s v="Leather"/>
    <s v="Automatic"/>
    <n v="200"/>
    <n v="42"/>
    <n v="14.35"/>
    <n v="20"/>
    <s v="Black"/>
    <s v="Sapphire"/>
    <s v="Date"/>
    <n v="38"/>
    <n v="4400"/>
    <s v="100-200"/>
    <x v="3"/>
  </r>
  <r>
    <n v="109"/>
    <x v="6"/>
    <s v="Superocean Heritage Stainless Steel 42"/>
    <s v="Leather"/>
    <s v="Automatic"/>
    <n v="200"/>
    <n v="42"/>
    <n v="14.35"/>
    <n v="20"/>
    <s v="Black"/>
    <s v="Sapphire"/>
    <s v="Date"/>
    <n v="38"/>
    <n v="4400"/>
    <s v="100-200"/>
    <x v="3"/>
  </r>
  <r>
    <n v="110"/>
    <x v="6"/>
    <s v="Superocean Heritage II Stainless Steel 44"/>
    <s v="Rubber"/>
    <s v="Automatic"/>
    <n v="200"/>
    <n v="44"/>
    <n v="14.2"/>
    <n v="22"/>
    <s v="Black"/>
    <s v="Sapphire"/>
    <s v="Date"/>
    <n v="70"/>
    <n v="4300"/>
    <s v="100-200"/>
    <x v="3"/>
  </r>
  <r>
    <n v="111"/>
    <x v="6"/>
    <s v="Superocean Stainless Steel 42"/>
    <s v="Rubber"/>
    <s v="Automatic"/>
    <n v="1000"/>
    <n v="42"/>
    <n v="13.3"/>
    <n v="20"/>
    <s v="Blue"/>
    <s v="Sapphire"/>
    <s v="Date"/>
    <n v="38"/>
    <n v="4100"/>
    <s v="1000+"/>
    <x v="3"/>
  </r>
  <r>
    <n v="112"/>
    <x v="6"/>
    <s v="Superocean Stainless Steel 42"/>
    <s v="Rubber"/>
    <s v="Automatic"/>
    <n v="1000"/>
    <n v="42"/>
    <n v="13.32"/>
    <n v="20"/>
    <s v="Blue"/>
    <s v="Sapphire"/>
    <s v="Date"/>
    <n v="38"/>
    <n v="3850"/>
    <s v="1000+"/>
    <x v="3"/>
  </r>
  <r>
    <n v="113"/>
    <x v="6"/>
    <s v="Superocean Stainless Steel 44"/>
    <s v="Rubber"/>
    <s v="Automatic"/>
    <n v="1000"/>
    <n v="44"/>
    <n v="14.21"/>
    <n v="22"/>
    <s v="Blue"/>
    <s v="Sapphire"/>
    <s v="Date"/>
    <n v="38"/>
    <n v="3800"/>
    <s v="1000+"/>
    <x v="3"/>
  </r>
  <r>
    <n v="114"/>
    <x v="6"/>
    <s v="Superocean Stainless Steel 42"/>
    <s v="Rubber"/>
    <s v="Automatic"/>
    <n v="500"/>
    <n v="42"/>
    <n v="13.32"/>
    <n v="20"/>
    <s v="Blue"/>
    <s v="Sapphire"/>
    <s v="Date"/>
    <n v="38"/>
    <n v="3600"/>
    <s v="300-500"/>
    <x v="3"/>
  </r>
  <r>
    <n v="115"/>
    <x v="6"/>
    <s v="Superocean Stainless Steel 42"/>
    <s v="Rubber"/>
    <s v="Automatic"/>
    <n v="2000"/>
    <n v="42"/>
    <n v="13.32"/>
    <n v="20"/>
    <s v="Blue"/>
    <s v="Sapphire"/>
    <s v="Date"/>
    <n v="38"/>
    <n v="3600"/>
    <s v="1000+"/>
    <x v="3"/>
  </r>
  <r>
    <n v="116"/>
    <x v="6"/>
    <s v="Superocean Heritage Stainless Steel 44"/>
    <s v="Stainless Steel"/>
    <s v="Automatic"/>
    <n v="200"/>
    <n v="44"/>
    <n v="14.2"/>
    <n v="22"/>
    <s v="Blue"/>
    <s v="Sapphire"/>
    <s v="Date"/>
    <n v="38"/>
    <n v="3250"/>
    <s v="100-200"/>
    <x v="3"/>
  </r>
  <r>
    <n v="117"/>
    <x v="6"/>
    <s v="Superocean Stainless Steel 42"/>
    <s v="Rubber"/>
    <s v="Automatic"/>
    <n v="500"/>
    <n v="42"/>
    <n v="13.3"/>
    <n v="20"/>
    <s v="Blue"/>
    <s v="Sapphire"/>
    <s v="Date"/>
    <n v="38"/>
    <n v="3200"/>
    <s v="300-500"/>
    <x v="3"/>
  </r>
  <r>
    <n v="118"/>
    <x v="7"/>
    <s v="Octo Finissimo Titanium 40"/>
    <s v="Leather"/>
    <s v="Automatic"/>
    <n v="100"/>
    <n v="40"/>
    <n v="5.15"/>
    <n v="28"/>
    <s v="Black"/>
    <s v="Sapphire"/>
    <s v="None"/>
    <n v="60"/>
    <n v="12800"/>
    <s v="&lt;=100"/>
    <x v="1"/>
  </r>
  <r>
    <n v="119"/>
    <x v="7"/>
    <s v="Octo Finissimo Titanium 40"/>
    <s v="Leather"/>
    <s v="Automatic"/>
    <n v="30"/>
    <n v="40"/>
    <n v="5.5"/>
    <n v="21"/>
    <s v="Black"/>
    <s v="Sapphire"/>
    <s v="None"/>
    <n v="55"/>
    <n v="10000"/>
    <s v="&lt;=100"/>
    <x v="4"/>
  </r>
  <r>
    <n v="120"/>
    <x v="7"/>
    <s v="Octo Finissimo Titanium 40"/>
    <s v="Titanium"/>
    <s v="Automatic"/>
    <n v="30"/>
    <n v="40"/>
    <n v="5.15"/>
    <n v="28"/>
    <s v="Black"/>
    <s v="Sapphire"/>
    <s v="None"/>
    <n v="55"/>
    <n v="10000"/>
    <s v="&lt;=100"/>
    <x v="4"/>
  </r>
  <r>
    <n v="121"/>
    <x v="8"/>
    <s v="Precisionist Stainless Steel 46.5"/>
    <s v="Stainless Steel"/>
    <s v="Quartz"/>
    <n v="300"/>
    <n v="46.5"/>
    <n v="17.5"/>
    <n v="24"/>
    <s v="Black"/>
    <s v="Mineral"/>
    <s v="Chronograph"/>
    <s v="N/A"/>
    <n v="650"/>
    <s v="200-300"/>
    <x v="5"/>
  </r>
  <r>
    <n v="122"/>
    <x v="9"/>
    <s v="Santos-Dumont 18K Yellow Gold 27.5"/>
    <s v="Leather"/>
    <s v="Manual"/>
    <n v="30"/>
    <n v="27.5"/>
    <n v="6.5"/>
    <n v="18"/>
    <s v="Silver"/>
    <s v="Sapphire"/>
    <s v="None"/>
    <s v="N/A"/>
    <n v="14200"/>
    <s v="&lt;=100"/>
    <x v="1"/>
  </r>
  <r>
    <n v="123"/>
    <x v="9"/>
    <s v="Ballon Bleu 18k Rose Gold 33"/>
    <s v="Leather"/>
    <s v="Automatic"/>
    <n v="30"/>
    <n v="33"/>
    <n v="9.9600000000000009"/>
    <n v="18"/>
    <s v="Silver"/>
    <s v="Sapphire"/>
    <s v="Date"/>
    <n v="42"/>
    <n v="13200"/>
    <s v="&lt;=100"/>
    <x v="1"/>
  </r>
  <r>
    <n v="124"/>
    <x v="9"/>
    <s v="Ballon Bleu 18k Rose Gold 33"/>
    <s v="Leather"/>
    <s v="Automatic"/>
    <n v="30"/>
    <n v="33"/>
    <n v="9.9600000000000009"/>
    <n v="18"/>
    <s v="Silver"/>
    <s v="Sapphire"/>
    <s v="Date"/>
    <n v="42"/>
    <n v="13000"/>
    <s v="&lt;=100"/>
    <x v="1"/>
  </r>
  <r>
    <n v="125"/>
    <x v="9"/>
    <s v="Santos Stainless Steel 39.8"/>
    <s v="Stainless Steel"/>
    <s v="Automatic"/>
    <n v="100"/>
    <n v="39.799999999999997"/>
    <n v="9.08"/>
    <n v="21.5"/>
    <s v="Silver"/>
    <s v="Sapphire"/>
    <s v="Date"/>
    <n v="42"/>
    <n v="7500"/>
    <s v="&lt;=100"/>
    <x v="4"/>
  </r>
  <r>
    <n v="126"/>
    <x v="9"/>
    <s v="Ballon Bleu Stainless Steel 42"/>
    <s v="Stainless Steel"/>
    <s v="Automatic"/>
    <n v="30"/>
    <n v="42"/>
    <n v="13"/>
    <n v="22"/>
    <s v="Silver"/>
    <s v="Sapphire"/>
    <s v="Date"/>
    <n v="42"/>
    <n v="7500"/>
    <s v="&lt;=100"/>
    <x v="4"/>
  </r>
  <r>
    <n v="127"/>
    <x v="9"/>
    <s v="Ballon Bleu Stainless Steel 42"/>
    <s v="Stainless Steel"/>
    <s v="Automatic"/>
    <n v="30"/>
    <n v="42"/>
    <n v="13"/>
    <n v="22"/>
    <s v="Silver"/>
    <s v="Sapphire"/>
    <s v="Date"/>
    <n v="42"/>
    <n v="7500"/>
    <s v="&lt;=100"/>
    <x v="4"/>
  </r>
  <r>
    <n v="128"/>
    <x v="9"/>
    <s v="Santos Stainless Steel 39.8"/>
    <s v="Leather"/>
    <s v="Automatic"/>
    <n v="100"/>
    <n v="39.799999999999997"/>
    <n v="9.08"/>
    <n v="20"/>
    <s v="Silver"/>
    <s v="Sapphire"/>
    <s v="Date"/>
    <n v="42"/>
    <n v="6600"/>
    <s v="&lt;=100"/>
    <x v="4"/>
  </r>
  <r>
    <n v="129"/>
    <x v="9"/>
    <s v="Ballon Bleu Stainless Steel 33"/>
    <s v="Stainless Steel"/>
    <s v="Automatic"/>
    <n v="30"/>
    <n v="33"/>
    <n v="9.9600000000000009"/>
    <n v="18"/>
    <s v="Silver"/>
    <s v="Sapphire"/>
    <s v="Date"/>
    <n v="42"/>
    <n v="6500"/>
    <s v="&lt;=100"/>
    <x v="4"/>
  </r>
  <r>
    <n v="130"/>
    <x v="9"/>
    <s v="Santos de Cartier Stainless Steel 39.8"/>
    <s v="Stainless Steel"/>
    <s v="Automatic"/>
    <n v="100"/>
    <n v="39.799999999999997"/>
    <n v="9.08"/>
    <n v="20"/>
    <s v="Silver"/>
    <s v="Sapphire"/>
    <s v="Date"/>
    <n v="42"/>
    <n v="6500"/>
    <s v="&lt;=100"/>
    <x v="4"/>
  </r>
  <r>
    <n v="131"/>
    <x v="9"/>
    <s v="Santos Stainless Steel 39.8"/>
    <s v="Stainless Steel"/>
    <s v="Automatic"/>
    <n v="100"/>
    <n v="39.799999999999997"/>
    <n v="9.08"/>
    <n v="20"/>
    <s v="Silver"/>
    <s v="Sapphire"/>
    <s v="Date"/>
    <n v="42"/>
    <n v="6200"/>
    <s v="&lt;=100"/>
    <x v="4"/>
  </r>
  <r>
    <n v="132"/>
    <x v="9"/>
    <s v="Santos Stainless Steel 35.1"/>
    <s v="Stainless Steel"/>
    <s v="Automatic"/>
    <n v="100"/>
    <n v="35.1"/>
    <n v="8.83"/>
    <n v="18"/>
    <s v="Silver"/>
    <s v="Sapphire"/>
    <s v="Date"/>
    <n v="42"/>
    <n v="5500"/>
    <s v="&lt;=100"/>
    <x v="4"/>
  </r>
  <r>
    <n v="133"/>
    <x v="9"/>
    <s v="Santos Stainless Steel 35.1"/>
    <s v="Leather"/>
    <s v="Automatic"/>
    <n v="100"/>
    <n v="35.1"/>
    <n v="8.83"/>
    <n v="22"/>
    <s v="Silver"/>
    <s v="Sapphire"/>
    <s v="Date"/>
    <n v="42"/>
    <n v="5300"/>
    <s v="&lt;=100"/>
    <x v="4"/>
  </r>
  <r>
    <n v="134"/>
    <x v="9"/>
    <s v="Santos-Dumont Stainless Steel 43.5"/>
    <s v="Leather"/>
    <s v="Quartz"/>
    <n v="30"/>
    <n v="43.5"/>
    <n v="7.3"/>
    <n v="23"/>
    <s v="Silver"/>
    <s v="Sapphire"/>
    <s v="None"/>
    <s v="N/A"/>
    <n v="5300"/>
    <s v="&lt;=100"/>
    <x v="4"/>
  </r>
  <r>
    <n v="135"/>
    <x v="9"/>
    <s v="Ballon Bleu Stainless Steel 36.6"/>
    <s v="Stainless Steel"/>
    <s v="Automatic"/>
    <n v="30"/>
    <n v="36.6"/>
    <n v="12.05"/>
    <n v="18"/>
    <s v="Silver"/>
    <s v="Sapphire"/>
    <s v="Date"/>
    <n v="42"/>
    <n v="4700"/>
    <s v="&lt;=100"/>
    <x v="3"/>
  </r>
  <r>
    <n v="136"/>
    <x v="9"/>
    <s v="Ballon Bleu Stainless Steel 33"/>
    <s v="Leather"/>
    <s v="Automatic"/>
    <n v="30"/>
    <n v="33"/>
    <n v="9.9600000000000009"/>
    <n v="16"/>
    <s v="Silver"/>
    <s v="Sapphire"/>
    <s v="Date"/>
    <n v="42"/>
    <n v="4500"/>
    <s v="&lt;=100"/>
    <x v="3"/>
  </r>
  <r>
    <n v="137"/>
    <x v="9"/>
    <s v="Santos-Dumont Stainless Steel 31.4"/>
    <s v="Leather"/>
    <s v="Manual"/>
    <n v="30"/>
    <n v="31.4"/>
    <n v="7.25"/>
    <n v="18"/>
    <s v="Silver"/>
    <s v="Sapphire"/>
    <s v="None"/>
    <s v="N/A"/>
    <n v="4500"/>
    <s v="&lt;=100"/>
    <x v="3"/>
  </r>
  <r>
    <n v="138"/>
    <x v="9"/>
    <s v="Santos-Dumont Stainless Steel 38"/>
    <s v="Leather"/>
    <s v="Quartz"/>
    <n v="30"/>
    <n v="38"/>
    <n v="7.5"/>
    <n v="18"/>
    <s v="Silver"/>
    <s v="Sapphire"/>
    <s v="None"/>
    <s v="N/A"/>
    <n v="3500"/>
    <s v="&lt;=100"/>
    <x v="3"/>
  </r>
  <r>
    <n v="139"/>
    <x v="9"/>
    <s v="Tank Solo Stainless Steel 31"/>
    <s v="Leather"/>
    <s v="Quartz"/>
    <n v="30"/>
    <n v="31"/>
    <n v="6.05"/>
    <n v="20"/>
    <s v="Silver"/>
    <s v="Sapphire"/>
    <s v="None"/>
    <s v="N/A"/>
    <n v="2800"/>
    <s v="&lt;=100"/>
    <x v="3"/>
  </r>
  <r>
    <n v="140"/>
    <x v="9"/>
    <s v="Tank Solo Stainless Steel 31"/>
    <s v="Leather"/>
    <s v="Quartz"/>
    <n v="30"/>
    <n v="31"/>
    <n v="6.05"/>
    <n v="20"/>
    <s v="Silver"/>
    <s v="Sapphire"/>
    <s v="None"/>
    <s v="N/A"/>
    <n v="2800"/>
    <s v="&lt;=100"/>
    <x v="3"/>
  </r>
  <r>
    <n v="141"/>
    <x v="10"/>
    <s v="Mille Miglia Stainless Steel 42"/>
    <s v="Leather"/>
    <s v="Automatic"/>
    <n v="50"/>
    <n v="42"/>
    <n v="12.67"/>
    <n v="22"/>
    <s v="Black"/>
    <s v="Sapphire"/>
    <s v="Chronograph"/>
    <n v="42"/>
    <n v="6900"/>
    <s v="&lt;=100"/>
    <x v="4"/>
  </r>
  <r>
    <n v="142"/>
    <x v="10"/>
    <s v="Mille Miglia Stainless Steel 42"/>
    <s v="Rubber"/>
    <s v="Automatic"/>
    <n v="50"/>
    <n v="42"/>
    <n v="13.07"/>
    <n v="20"/>
    <s v="Black"/>
    <s v="Sapphire"/>
    <s v="Chronograph"/>
    <n v="48"/>
    <n v="6800"/>
    <s v="&lt;=100"/>
    <x v="4"/>
  </r>
  <r>
    <n v="143"/>
    <x v="10"/>
    <s v="Mille Miglia Stainless Steel 44"/>
    <s v="Leather"/>
    <s v="Automatic"/>
    <n v="50"/>
    <n v="44"/>
    <n v="13.7"/>
    <n v="20"/>
    <s v="Black"/>
    <s v="Sapphire"/>
    <s v="Chronograph"/>
    <n v="42"/>
    <n v="6500"/>
    <s v="&lt;=100"/>
    <x v="4"/>
  </r>
  <r>
    <n v="144"/>
    <x v="10"/>
    <s v="Mille Miglia Stainless Steel 42"/>
    <s v="Rubber"/>
    <s v="Automatic"/>
    <n v="50"/>
    <n v="42"/>
    <n v="12.67"/>
    <n v="20"/>
    <s v="Black"/>
    <s v="Sapphire"/>
    <s v="Chronograph, Date"/>
    <n v="42"/>
    <n v="6500"/>
    <s v="&lt;=100"/>
    <x v="4"/>
  </r>
  <r>
    <n v="145"/>
    <x v="10"/>
    <s v="Mille Miglia Stainless Steel 44"/>
    <s v="Leather"/>
    <s v="Automatic"/>
    <n v="50"/>
    <n v="44"/>
    <n v="14.4"/>
    <n v="22"/>
    <s v="Black"/>
    <s v="Sapphire"/>
    <s v="Date, Chronograph, Tachymeter"/>
    <n v="42"/>
    <n v="6300"/>
    <s v="&lt;=100"/>
    <x v="4"/>
  </r>
  <r>
    <n v="146"/>
    <x v="10"/>
    <s v="Mille Miglia Stainless Steel 42"/>
    <s v="Leather"/>
    <s v="Automatic"/>
    <n v="50"/>
    <n v="42"/>
    <n v="11.43"/>
    <n v="22"/>
    <s v="Black"/>
    <s v="Sapphire"/>
    <s v="Chronograph"/>
    <n v="48"/>
    <n v="6200"/>
    <s v="&lt;=100"/>
    <x v="4"/>
  </r>
  <r>
    <n v="147"/>
    <x v="10"/>
    <s v="Mille Miglia Stainless Steel 42"/>
    <s v="Leather"/>
    <s v="Automatic"/>
    <n v="50"/>
    <n v="42"/>
    <n v="11.43"/>
    <n v="20"/>
    <s v="Black"/>
    <s v="Sapphire"/>
    <s v="Chronograph"/>
    <n v="42"/>
    <n v="6100"/>
    <s v="&lt;=100"/>
    <x v="4"/>
  </r>
  <r>
    <n v="148"/>
    <x v="10"/>
    <s v="Mille Miglia Stainless Steel 44"/>
    <s v="Leather"/>
    <s v="Automatic"/>
    <n v="50"/>
    <n v="44"/>
    <n v="14.45"/>
    <n v="22"/>
    <s v="Black"/>
    <s v="Sapphire"/>
    <s v="Date, Chronograph"/>
    <n v="42"/>
    <n v="6000"/>
    <s v="&lt;=100"/>
    <x v="4"/>
  </r>
  <r>
    <n v="149"/>
    <x v="10"/>
    <s v="Mille Miglia Stainless Steel 42"/>
    <s v="Leather"/>
    <s v="Automatic"/>
    <n v="50"/>
    <n v="42"/>
    <n v="12.67"/>
    <n v="20"/>
    <s v="Silver"/>
    <s v="Sapphire"/>
    <s v="Chronograph"/>
    <n v="42"/>
    <n v="5900"/>
    <s v="&lt;=100"/>
    <x v="4"/>
  </r>
  <r>
    <n v="150"/>
    <x v="10"/>
    <s v="Mille Miglia Stainless Steel 44"/>
    <s v="Leather"/>
    <s v="Automatic"/>
    <n v="50"/>
    <n v="44"/>
    <n v="14.97"/>
    <n v="22"/>
    <s v="Black"/>
    <s v="Sapphire"/>
    <s v="Chronograph"/>
    <n v="42"/>
    <n v="5800"/>
    <s v="&lt;=100"/>
    <x v="4"/>
  </r>
  <r>
    <n v="151"/>
    <x v="10"/>
    <s v="Happy Sport Stainless Steel 30"/>
    <s v="Stainless Steel"/>
    <s v="Quartz"/>
    <n v="30"/>
    <n v="30"/>
    <n v="7.2"/>
    <n v="15"/>
    <s v="Silver"/>
    <s v="Sapphire"/>
    <s v="Date"/>
    <s v="N/A"/>
    <n v="5800"/>
    <s v="&lt;=100"/>
    <x v="4"/>
  </r>
  <r>
    <n v="152"/>
    <x v="10"/>
    <s v="Mille Miglia Stainless Steel 42"/>
    <s v="Leather"/>
    <s v="Automatic"/>
    <n v="50"/>
    <n v="42"/>
    <n v="12.67"/>
    <n v="20"/>
    <s v="Black"/>
    <s v="Sapphire"/>
    <s v="Chronograph"/>
    <n v="48"/>
    <n v="5600"/>
    <s v="&lt;=100"/>
    <x v="4"/>
  </r>
  <r>
    <n v="153"/>
    <x v="10"/>
    <s v="Mille Miglia Stainless Steel 42"/>
    <s v="Leather"/>
    <s v="Automatic"/>
    <n v="50"/>
    <n v="42"/>
    <n v="12.67"/>
    <n v="20"/>
    <s v="Black"/>
    <s v="Sapphire"/>
    <s v="Chronograph"/>
    <n v="48"/>
    <n v="5000"/>
    <s v="&lt;=100"/>
    <x v="3"/>
  </r>
  <r>
    <n v="154"/>
    <x v="10"/>
    <s v="Happy Sport Stainless Steel 30"/>
    <s v="Leather"/>
    <s v="Quartz"/>
    <n v="30"/>
    <n v="30"/>
    <n v="10.5"/>
    <n v="17"/>
    <s v="White"/>
    <s v="Sapphire"/>
    <s v="None"/>
    <s v="N/A"/>
    <n v="5000"/>
    <s v="&lt;=100"/>
    <x v="3"/>
  </r>
  <r>
    <n v="155"/>
    <x v="11"/>
    <s v="Classics Stainless Steel 40"/>
    <s v="Leather"/>
    <s v="Automatic"/>
    <n v="50"/>
    <n v="40"/>
    <n v="10.5"/>
    <n v="20"/>
    <s v="Silver"/>
    <s v="Sapphire"/>
    <s v="Date"/>
    <n v="38"/>
    <n v="1400"/>
    <s v="&lt;=100"/>
    <x v="6"/>
  </r>
  <r>
    <n v="156"/>
    <x v="11"/>
    <s v="Classics Stainless Steel 40"/>
    <s v="Leather"/>
    <s v="Automatic"/>
    <n v="50"/>
    <n v="40"/>
    <n v="10.6"/>
    <n v="20"/>
    <s v="Silver"/>
    <s v="Sapphire"/>
    <s v="Date"/>
    <n v="38"/>
    <n v="1200"/>
    <s v="&lt;=100"/>
    <x v="6"/>
  </r>
  <r>
    <n v="157"/>
    <x v="12"/>
    <s v="Laureato Stainless Steel 42"/>
    <s v="Stainless Steel"/>
    <s v="Automatic"/>
    <n v="100"/>
    <n v="42"/>
    <n v="10.88"/>
    <n v="22"/>
    <s v="Blue"/>
    <s v="Sapphire"/>
    <s v="Date"/>
    <n v="54"/>
    <n v="12800"/>
    <s v="&lt;=100"/>
    <x v="1"/>
  </r>
  <r>
    <n v="158"/>
    <x v="12"/>
    <s v="Laureato Stainless Steel 41"/>
    <s v="Stainless Steel"/>
    <s v="Automatic"/>
    <n v="100"/>
    <n v="41"/>
    <n v="10.88"/>
    <n v="26"/>
    <s v="Black"/>
    <s v="Sapphire"/>
    <s v="Chronograph"/>
    <n v="46"/>
    <n v="12000"/>
    <s v="&lt;=100"/>
    <x v="1"/>
  </r>
  <r>
    <n v="159"/>
    <x v="12"/>
    <s v="Laureato Stainless Steel 38"/>
    <s v="Stainless Steel"/>
    <s v="Automatic"/>
    <n v="100"/>
    <n v="38"/>
    <n v="10.88"/>
    <n v="20"/>
    <s v="Blue"/>
    <s v="Sapphire"/>
    <s v="Date"/>
    <n v="54"/>
    <n v="12000"/>
    <s v="&lt;=100"/>
    <x v="1"/>
  </r>
  <r>
    <n v="160"/>
    <x v="12"/>
    <s v="Laureato Stainless Steel 41"/>
    <s v="Stainless Steel"/>
    <s v="Automatic"/>
    <n v="100"/>
    <n v="41"/>
    <n v="10.88"/>
    <n v="22"/>
    <s v="Blue"/>
    <s v="Sapphire"/>
    <s v="Date"/>
    <n v="54"/>
    <n v="11500"/>
    <s v="&lt;=100"/>
    <x v="1"/>
  </r>
  <r>
    <n v="161"/>
    <x v="12"/>
    <s v="Laureato Stainless Steel 42"/>
    <s v="Stainless Steel"/>
    <s v="Automatic"/>
    <n v="100"/>
    <n v="42"/>
    <n v="10.88"/>
    <n v="22"/>
    <s v="Blue"/>
    <s v="Sapphire"/>
    <s v="Date"/>
    <n v="54"/>
    <n v="11500"/>
    <s v="&lt;=100"/>
    <x v="1"/>
  </r>
  <r>
    <n v="162"/>
    <x v="12"/>
    <s v="Laureato Stainless Steel 42"/>
    <s v="Stainless Steel"/>
    <s v="Automatic"/>
    <n v="100"/>
    <n v="42"/>
    <n v="10.88"/>
    <n v="22"/>
    <s v="Black"/>
    <s v="Sapphire"/>
    <s v="None"/>
    <n v="54"/>
    <n v="11200"/>
    <s v="&lt;=100"/>
    <x v="1"/>
  </r>
  <r>
    <n v="163"/>
    <x v="12"/>
    <s v="Laureato Stainless Steel 42"/>
    <s v="Stainless Steel"/>
    <s v="Automatic"/>
    <n v="100"/>
    <n v="42"/>
    <n v="10.88"/>
    <n v="22"/>
    <s v="Blue"/>
    <s v="Sapphire"/>
    <s v="Date"/>
    <n v="54"/>
    <n v="10600"/>
    <s v="&lt;=100"/>
    <x v="1"/>
  </r>
  <r>
    <n v="164"/>
    <x v="12"/>
    <s v="Laureato Stainless Steel 41"/>
    <s v="Stainless Steel"/>
    <s v="Automatic"/>
    <n v="100"/>
    <n v="41"/>
    <n v="10.88"/>
    <n v="22"/>
    <s v="Black"/>
    <s v="Sapphire"/>
    <s v="Date"/>
    <n v="46"/>
    <n v="9700"/>
    <s v="&lt;=100"/>
    <x v="4"/>
  </r>
  <r>
    <n v="165"/>
    <x v="12"/>
    <s v="Laureato Stainless Steel 42"/>
    <s v="Stainless Steel"/>
    <s v="Automatic"/>
    <n v="100"/>
    <n v="42"/>
    <n v="10.88"/>
    <n v="25"/>
    <s v="Black"/>
    <s v="Sapphire"/>
    <s v="Date"/>
    <n v="46"/>
    <n v="9500"/>
    <s v="&lt;=100"/>
    <x v="4"/>
  </r>
  <r>
    <n v="166"/>
    <x v="12"/>
    <s v="Laureato Stainless Steel 42"/>
    <s v="Stainless Steel"/>
    <s v="Automatic"/>
    <n v="100"/>
    <n v="42"/>
    <n v="10.88"/>
    <n v="22"/>
    <s v="Silver"/>
    <s v="Sapphire"/>
    <s v="None"/>
    <n v="46"/>
    <n v="9200"/>
    <s v="&lt;=100"/>
    <x v="4"/>
  </r>
  <r>
    <n v="167"/>
    <x v="12"/>
    <s v="Laureato Stainless Steel 42"/>
    <s v="Stainless Steel"/>
    <s v="Automatic"/>
    <n v="100"/>
    <n v="42"/>
    <n v="10.88"/>
    <n v="22"/>
    <s v="Blue"/>
    <s v="Sapphire"/>
    <s v="Date"/>
    <n v="54"/>
    <n v="9000"/>
    <s v="&lt;=100"/>
    <x v="4"/>
  </r>
  <r>
    <n v="168"/>
    <x v="12"/>
    <s v="Laureato Stainless Steel 42"/>
    <s v="Stainless Steel"/>
    <s v="Automatic"/>
    <n v="100"/>
    <n v="42"/>
    <n v="10.88"/>
    <n v="22"/>
    <s v="Black"/>
    <s v="Sapphire"/>
    <s v="Date"/>
    <n v="54"/>
    <n v="9000"/>
    <s v="&lt;=100"/>
    <x v="4"/>
  </r>
  <r>
    <n v="169"/>
    <x v="12"/>
    <s v="Laureato Stainless Steel 42"/>
    <s v="Stainless Steel"/>
    <s v="Automatic"/>
    <n v="100"/>
    <n v="42"/>
    <n v="10.88"/>
    <n v="22"/>
    <s v="Blue"/>
    <s v="Sapphire"/>
    <s v="Date"/>
    <n v="54"/>
    <n v="9000"/>
    <s v="&lt;=100"/>
    <x v="4"/>
  </r>
  <r>
    <n v="170"/>
    <x v="12"/>
    <s v="Laureato Stainless Steel 38"/>
    <s v="Stainless Steel"/>
    <s v="Automatic"/>
    <n v="100"/>
    <n v="38"/>
    <n v="10.88"/>
    <n v="25"/>
    <s v="Black"/>
    <s v="Sapphire"/>
    <s v="Date"/>
    <n v="46"/>
    <n v="8700"/>
    <s v="&lt;=100"/>
    <x v="4"/>
  </r>
  <r>
    <n v="171"/>
    <x v="12"/>
    <s v="Laureato Stainless Steel 38"/>
    <s v="Stainless Steel"/>
    <s v="Automatic"/>
    <n v="100"/>
    <n v="38"/>
    <n v="10.88"/>
    <n v="22"/>
    <s v="Black"/>
    <s v="Sapphire"/>
    <s v="None"/>
    <n v="46"/>
    <n v="8500"/>
    <s v="&lt;=100"/>
    <x v="4"/>
  </r>
  <r>
    <n v="172"/>
    <x v="12"/>
    <s v="Laureato Stainless Steel 42"/>
    <s v="Stainless Steel"/>
    <s v="Automatic"/>
    <n v="100"/>
    <n v="42"/>
    <n v="10.88"/>
    <n v="25"/>
    <s v="Black"/>
    <s v="Sapphire"/>
    <s v="Date"/>
    <n v="46"/>
    <n v="8000"/>
    <s v="&lt;=100"/>
    <x v="4"/>
  </r>
  <r>
    <n v="173"/>
    <x v="12"/>
    <s v="Laureato Stainless Steel 42"/>
    <s v="Stainless Steel"/>
    <s v="Automatic"/>
    <n v="100"/>
    <n v="42"/>
    <n v="10.88"/>
    <n v="20"/>
    <s v="Blue"/>
    <s v="Sapphire"/>
    <s v="None"/>
    <n v="54"/>
    <n v="7800"/>
    <s v="&lt;=100"/>
    <x v="4"/>
  </r>
  <r>
    <n v="174"/>
    <x v="12"/>
    <s v="Laureato Stainless Steel 42"/>
    <s v="Stainless Steel"/>
    <s v="Automatic"/>
    <n v="100"/>
    <n v="42"/>
    <n v="10.88"/>
    <n v="25"/>
    <s v="Blue"/>
    <s v="Sapphire"/>
    <s v="None"/>
    <n v="54"/>
    <n v="7500"/>
    <s v="&lt;=100"/>
    <x v="4"/>
  </r>
  <r>
    <n v="175"/>
    <x v="12"/>
    <s v="Laureato Stainless Steel 38"/>
    <s v="Stainless Steel"/>
    <s v="Automatic"/>
    <n v="100"/>
    <n v="38"/>
    <n v="10.88"/>
    <n v="25"/>
    <s v="Blue"/>
    <s v="Sapphire"/>
    <s v="None"/>
    <n v="54"/>
    <n v="6700"/>
    <s v="&lt;=100"/>
    <x v="4"/>
  </r>
  <r>
    <n v="176"/>
    <x v="12"/>
    <s v="Laureato Stainless Steel 42"/>
    <s v="Stainless Steel"/>
    <s v="Automatic"/>
    <n v="100"/>
    <n v="42"/>
    <n v="10.88"/>
    <n v="22"/>
    <s v="Blue"/>
    <s v="Sapphire"/>
    <s v="Date"/>
    <n v="54"/>
    <n v="6500"/>
    <s v="&lt;=100"/>
    <x v="4"/>
  </r>
  <r>
    <n v="177"/>
    <x v="13"/>
    <s v="Senator Stainless Steel 42"/>
    <s v="Leather"/>
    <s v="Automatic"/>
    <n v="50"/>
    <n v="42"/>
    <n v="12.2"/>
    <n v="21"/>
    <s v="Silver"/>
    <s v="Sapphire"/>
    <s v="None"/>
    <n v="40"/>
    <n v="9200"/>
    <s v="&lt;=100"/>
    <x v="4"/>
  </r>
  <r>
    <n v="178"/>
    <x v="14"/>
    <s v="Jazzmaster Stainless Steel 40"/>
    <s v="Leather"/>
    <s v="Automatic"/>
    <n v="50"/>
    <n v="40"/>
    <n v="11.15"/>
    <n v="20"/>
    <s v="Silver"/>
    <s v="Sapphire"/>
    <s v="Date"/>
    <n v="80"/>
    <n v="1150"/>
    <s v="&lt;=100"/>
    <x v="6"/>
  </r>
  <r>
    <n v="179"/>
    <x v="14"/>
    <s v="Khaki Field Stainless Steel 38"/>
    <s v="NATO Strap"/>
    <s v="Automatic"/>
    <n v="100"/>
    <n v="38"/>
    <n v="9.6999999999999993"/>
    <n v="20"/>
    <s v="Black"/>
    <s v="Sapphire"/>
    <s v="None"/>
    <n v="80"/>
    <n v="595"/>
    <s v="&lt;=100"/>
    <x v="5"/>
  </r>
  <r>
    <n v="180"/>
    <x v="14"/>
    <s v="Khaki Field Auto Stainless Steel 38"/>
    <s v="Leather"/>
    <s v="Automatic"/>
    <n v="100"/>
    <n v="38"/>
    <n v="9.85"/>
    <n v="20"/>
    <s v="Black"/>
    <s v="Sapphire"/>
    <s v="None"/>
    <n v="80"/>
    <n v="545"/>
    <s v="&lt;=100"/>
    <x v="5"/>
  </r>
  <r>
    <n v="181"/>
    <x v="14"/>
    <s v="Khaki Field Stainless Steel 38"/>
    <s v="Leather"/>
    <s v="Automatic"/>
    <n v="100"/>
    <n v="38"/>
    <n v="9.8000000000000007"/>
    <n v="20"/>
    <s v="Black"/>
    <s v="Sapphire"/>
    <s v="None"/>
    <n v="80"/>
    <n v="495"/>
    <s v="&lt;=100"/>
    <x v="5"/>
  </r>
  <r>
    <n v="182"/>
    <x v="15"/>
    <s v="Classic Fusion 18k King Gold 42"/>
    <s v="Rubber"/>
    <s v="Automatic"/>
    <n v="50"/>
    <n v="42"/>
    <n v="10.5"/>
    <n v="22"/>
    <s v="Blue"/>
    <s v="Sapphire"/>
    <s v="None"/>
    <n v="42"/>
    <n v="20200"/>
    <s v="&lt;=100"/>
    <x v="0"/>
  </r>
  <r>
    <n v="183"/>
    <x v="15"/>
    <s v="Big Bang Carbon Fiber 44"/>
    <s v="Rubber"/>
    <s v="Automatic"/>
    <n v="100"/>
    <n v="44"/>
    <n v="14.5"/>
    <n v="22"/>
    <s v="Black"/>
    <s v="Sapphire"/>
    <s v="Chronograph"/>
    <n v="72"/>
    <n v="19500"/>
    <s v="&lt;=100"/>
    <x v="1"/>
  </r>
  <r>
    <n v="184"/>
    <x v="15"/>
    <s v="Big Bang Titanium 44"/>
    <s v="Rubber"/>
    <s v="Automatic"/>
    <n v="100"/>
    <n v="44"/>
    <n v="14.5"/>
    <n v="24"/>
    <s v="Black"/>
    <s v="Sapphire"/>
    <s v="Chronograph"/>
    <n v="72"/>
    <n v="18500"/>
    <s v="&lt;=100"/>
    <x v="1"/>
  </r>
  <r>
    <n v="185"/>
    <x v="15"/>
    <s v="Big Bang Ceramic 44"/>
    <s v="Rubber"/>
    <s v="Automatic"/>
    <n v="100"/>
    <n v="44"/>
    <n v="14.5"/>
    <n v="26"/>
    <s v="Black"/>
    <s v="Sapphire"/>
    <s v="Chronograph"/>
    <n v="72"/>
    <n v="17900"/>
    <s v="&lt;=100"/>
    <x v="1"/>
  </r>
  <r>
    <n v="186"/>
    <x v="15"/>
    <s v="Big Bang Titanium 44"/>
    <s v="Rubber"/>
    <s v="Automatic"/>
    <n v="100"/>
    <n v="44"/>
    <n v="14.5"/>
    <n v="25"/>
    <s v="Black"/>
    <s v="Sapphire"/>
    <s v="Chronograph"/>
    <n v="72"/>
    <n v="16800"/>
    <s v="&lt;=100"/>
    <x v="1"/>
  </r>
  <r>
    <n v="187"/>
    <x v="15"/>
    <s v="Big Bang Titanium 44"/>
    <s v="Rubber"/>
    <s v="Automatic"/>
    <n v="100"/>
    <n v="44"/>
    <n v="14.5"/>
    <n v="24"/>
    <s v="Blue"/>
    <s v="Sapphire"/>
    <s v="Chronograph"/>
    <n v="72"/>
    <n v="16000"/>
    <s v="&lt;=100"/>
    <x v="1"/>
  </r>
  <r>
    <n v="188"/>
    <x v="15"/>
    <s v="Big Bang Ceramic 41"/>
    <s v="Rubber"/>
    <s v="Automatic"/>
    <n v="100"/>
    <n v="41"/>
    <n v="14.5"/>
    <n v="20"/>
    <s v="Black"/>
    <s v="Sapphire"/>
    <s v="Chronograph"/>
    <n v="72"/>
    <n v="16000"/>
    <s v="&lt;=100"/>
    <x v="1"/>
  </r>
  <r>
    <n v="189"/>
    <x v="15"/>
    <s v="Big Bang Ceramic 42"/>
    <s v="Rubber"/>
    <s v="Automatic"/>
    <n v="100"/>
    <n v="42"/>
    <n v="14.1"/>
    <n v="24"/>
    <s v="Black"/>
    <s v="Sapphire"/>
    <s v="Chronograph"/>
    <n v="72"/>
    <n v="16000"/>
    <s v="&lt;=100"/>
    <x v="1"/>
  </r>
  <r>
    <n v="190"/>
    <x v="15"/>
    <s v="Big Bang Titanium 44"/>
    <s v="Rubber"/>
    <s v="Automatic"/>
    <n v="100"/>
    <n v="44"/>
    <n v="14.5"/>
    <n v="24"/>
    <s v="Black"/>
    <s v="Sapphire"/>
    <s v="Chronograph, Date"/>
    <n v="72"/>
    <n v="16000"/>
    <s v="&lt;=100"/>
    <x v="1"/>
  </r>
  <r>
    <n v="191"/>
    <x v="15"/>
    <s v="Big Bang Ceramic 44"/>
    <s v="Rubber"/>
    <s v="Automatic"/>
    <n v="100"/>
    <n v="44"/>
    <n v="14.5"/>
    <n v="24"/>
    <s v="Black"/>
    <s v="Sapphire"/>
    <s v="Chronograph"/>
    <n v="72"/>
    <n v="15500"/>
    <s v="&lt;=100"/>
    <x v="1"/>
  </r>
  <r>
    <n v="192"/>
    <x v="15"/>
    <s v="Big Bang Ceramic 44.5"/>
    <s v="Rubber"/>
    <s v="Automatic"/>
    <n v="100"/>
    <n v="44.5"/>
    <n v="14.5"/>
    <n v="22"/>
    <s v="Black"/>
    <s v="Sapphire"/>
    <s v="Chronograph"/>
    <n v="72"/>
    <n v="15000"/>
    <s v="&lt;=100"/>
    <x v="1"/>
  </r>
  <r>
    <n v="193"/>
    <x v="15"/>
    <s v="Big Bang Carbon Fiber 44"/>
    <s v="Rubber"/>
    <s v="Automatic"/>
    <n v="100"/>
    <n v="44"/>
    <n v="14.5"/>
    <n v="25"/>
    <s v="Black"/>
    <s v="Sapphire"/>
    <s v="Chronograph"/>
    <n v="72"/>
    <n v="15000"/>
    <s v="&lt;=100"/>
    <x v="1"/>
  </r>
  <r>
    <n v="194"/>
    <x v="15"/>
    <s v="Big Bang Titanium 44"/>
    <s v="Rubber"/>
    <s v="Automatic"/>
    <n v="100"/>
    <n v="44"/>
    <n v="14.5"/>
    <n v="22"/>
    <s v="Black"/>
    <s v="Sapphire"/>
    <s v="Chronograph"/>
    <n v="72"/>
    <n v="15000"/>
    <s v="&lt;=100"/>
    <x v="1"/>
  </r>
  <r>
    <n v="195"/>
    <x v="15"/>
    <s v="Big Bang Titanium 44"/>
    <s v="Rubber"/>
    <s v="Automatic"/>
    <n v="100"/>
    <n v="44"/>
    <n v="14.5"/>
    <n v="25"/>
    <s v="Black"/>
    <s v="Sapphire"/>
    <s v="Chronograph"/>
    <n v="72"/>
    <n v="14000"/>
    <s v="&lt;=100"/>
    <x v="1"/>
  </r>
  <r>
    <n v="196"/>
    <x v="15"/>
    <s v="Big Bang Ceramic 41"/>
    <s v="Rubber"/>
    <s v="Automatic"/>
    <n v="100"/>
    <n v="41"/>
    <n v="14.6"/>
    <n v="20"/>
    <s v="Black"/>
    <s v="Sapphire"/>
    <s v="Chronograph"/>
    <n v="42"/>
    <n v="14000"/>
    <s v="&lt;=100"/>
    <x v="1"/>
  </r>
  <r>
    <n v="197"/>
    <x v="15"/>
    <s v="Big Bang Titanium 44"/>
    <s v="Rubber"/>
    <s v="Automatic"/>
    <n v="100"/>
    <n v="44"/>
    <n v="14.5"/>
    <n v="24"/>
    <s v="Black"/>
    <s v="Sapphire"/>
    <s v="Date, Chronograph"/>
    <n v="72"/>
    <n v="13000"/>
    <s v="&lt;=100"/>
    <x v="1"/>
  </r>
  <r>
    <n v="198"/>
    <x v="15"/>
    <s v="Big Bang Ceramic 42"/>
    <s v="Rubber"/>
    <s v="Automatic"/>
    <n v="100"/>
    <n v="42"/>
    <n v="14.1"/>
    <n v="24"/>
    <s v="Black"/>
    <s v="Sapphire"/>
    <s v="Date, Chronograph"/>
    <n v="42"/>
    <n v="12000"/>
    <s v="&lt;=100"/>
    <x v="1"/>
  </r>
  <r>
    <n v="199"/>
    <x v="15"/>
    <s v="Big Bang Carbon Fiber 44"/>
    <s v="Rubber"/>
    <s v="Automatic"/>
    <n v="100"/>
    <n v="44"/>
    <n v="14.5"/>
    <n v="26"/>
    <s v="Black"/>
    <s v="Sapphire"/>
    <s v="Chronograph"/>
    <n v="72"/>
    <n v="12000"/>
    <s v="&lt;=100"/>
    <x v="1"/>
  </r>
  <r>
    <n v="200"/>
    <x v="15"/>
    <s v="Classic Fusion Titanium 45"/>
    <s v="Rubber"/>
    <s v="Automatic"/>
    <n v="50"/>
    <n v="45"/>
    <n v="10.95"/>
    <n v="22"/>
    <s v="Blue"/>
    <s v="Sapphire"/>
    <s v="None"/>
    <n v="42"/>
    <n v="9500"/>
    <s v="&lt;=100"/>
    <x v="4"/>
  </r>
  <r>
    <n v="201"/>
    <x v="15"/>
    <s v="Big Bang Titanium 42"/>
    <s v="Rubber"/>
    <s v="Automatic"/>
    <n v="100"/>
    <n v="42"/>
    <n v="14.5"/>
    <n v="24"/>
    <s v="Black"/>
    <s v="Sapphire"/>
    <s v="Chronograph, Date"/>
    <n v="72"/>
    <n v="8900"/>
    <s v="&lt;=100"/>
    <x v="4"/>
  </r>
  <r>
    <n v="202"/>
    <x v="15"/>
    <s v="Classic Fusion Titanium 42"/>
    <s v="Rubber"/>
    <s v="Automatic"/>
    <n v="50"/>
    <n v="42"/>
    <n v="10.5"/>
    <n v="22"/>
    <s v="Blue"/>
    <s v="Sapphire"/>
    <s v="Date"/>
    <n v="42"/>
    <n v="8500"/>
    <s v="&lt;=100"/>
    <x v="4"/>
  </r>
  <r>
    <n v="203"/>
    <x v="15"/>
    <s v="Classic Fusion Titanium 42"/>
    <s v="Rubber"/>
    <s v="Automatic"/>
    <n v="50"/>
    <n v="42"/>
    <n v="10.5"/>
    <n v="22"/>
    <s v="Black"/>
    <s v="Sapphire"/>
    <s v="None"/>
    <n v="42"/>
    <n v="8200"/>
    <s v="&lt;=100"/>
    <x v="4"/>
  </r>
  <r>
    <n v="204"/>
    <x v="15"/>
    <s v="Classic Fusion Titanium 42"/>
    <s v="Rubber"/>
    <s v="Automatic"/>
    <n v="50"/>
    <n v="42"/>
    <n v="10.6"/>
    <n v="22"/>
    <s v="Black"/>
    <s v="Sapphire"/>
    <s v="Date"/>
    <n v="42"/>
    <n v="8100"/>
    <s v="&lt;=100"/>
    <x v="4"/>
  </r>
  <r>
    <n v="205"/>
    <x v="15"/>
    <s v="Classic Fusion Titanium 45"/>
    <s v="Rubber"/>
    <s v="Automatic"/>
    <n v="50"/>
    <n v="45"/>
    <n v="10.95"/>
    <n v="24"/>
    <s v="Blue"/>
    <s v="Sapphire"/>
    <s v="Date"/>
    <n v="42"/>
    <n v="7500"/>
    <s v="&lt;=100"/>
    <x v="4"/>
  </r>
  <r>
    <n v="206"/>
    <x v="15"/>
    <s v="Classic Fusion Titanium 42"/>
    <s v="Rubber"/>
    <s v="Automatic"/>
    <n v="50"/>
    <n v="42"/>
    <n v="9.85"/>
    <n v="22"/>
    <s v="Blue"/>
    <s v="Sapphire"/>
    <s v="None"/>
    <n v="42"/>
    <n v="7500"/>
    <s v="&lt;=100"/>
    <x v="4"/>
  </r>
  <r>
    <n v="207"/>
    <x v="15"/>
    <s v="Classic Fusion Titanium 42"/>
    <s v="Rubber"/>
    <s v="Automatic"/>
    <n v="50"/>
    <n v="42"/>
    <n v="9.3000000000000007"/>
    <n v="20"/>
    <s v="Black"/>
    <s v="Sapphire"/>
    <s v="None"/>
    <n v="42"/>
    <n v="6500"/>
    <s v="&lt;=100"/>
    <x v="4"/>
  </r>
  <r>
    <n v="208"/>
    <x v="16"/>
    <s v="Portugieser Stainless Steel 41"/>
    <s v="Leather"/>
    <s v="Automatic"/>
    <n v="30"/>
    <n v="41"/>
    <n v="12.3"/>
    <n v="22"/>
    <s v="Blue"/>
    <s v="Sapphire"/>
    <s v="Chronograph, Moon Phase"/>
    <n v="46"/>
    <n v="9800"/>
    <s v="&lt;=100"/>
    <x v="4"/>
  </r>
  <r>
    <n v="209"/>
    <x v="16"/>
    <s v="Portugieser Stainless Steel 41"/>
    <s v="Leather"/>
    <s v="Automatic"/>
    <n v="30"/>
    <n v="41"/>
    <n v="12.3"/>
    <n v="22"/>
    <s v="White"/>
    <s v="Sapphire"/>
    <s v="Date"/>
    <n v="168"/>
    <n v="9500"/>
    <s v="&lt;=100"/>
    <x v="4"/>
  </r>
  <r>
    <n v="210"/>
    <x v="16"/>
    <s v="Portugieser Stainless Steel 42.3"/>
    <s v="Leather"/>
    <s v="Automatic"/>
    <n v="30"/>
    <n v="42.3"/>
    <n v="14.2"/>
    <n v="22"/>
    <s v="Blue"/>
    <s v="Sapphire"/>
    <s v="None"/>
    <n v="60"/>
    <n v="9100"/>
    <s v="&lt;=100"/>
    <x v="4"/>
  </r>
  <r>
    <n v="211"/>
    <x v="16"/>
    <s v="Portugieser Stainless Steel 41"/>
    <s v="Leather"/>
    <s v="Automatic"/>
    <n v="30"/>
    <n v="41"/>
    <n v="12.3"/>
    <n v="22"/>
    <s v="Blue"/>
    <s v="Sapphire"/>
    <s v="Date"/>
    <n v="60"/>
    <n v="8900"/>
    <s v="&lt;=100"/>
    <x v="4"/>
  </r>
  <r>
    <n v="212"/>
    <x v="16"/>
    <s v="Portugieser Stainless Steel 41"/>
    <s v="Leather"/>
    <s v="Automatic"/>
    <n v="30"/>
    <n v="41"/>
    <n v="12.3"/>
    <n v="22"/>
    <s v="Silver"/>
    <s v="Sapphire"/>
    <s v="Date"/>
    <n v="60"/>
    <n v="8900"/>
    <s v="&lt;=100"/>
    <x v="4"/>
  </r>
  <r>
    <n v="213"/>
    <x v="16"/>
    <s v="Portugieser Stainless Steel 40.4"/>
    <s v="Alligator"/>
    <s v="Automatic"/>
    <n v="30"/>
    <n v="40.4"/>
    <n v="12.3"/>
    <n v="20"/>
    <s v="Silver"/>
    <s v="Sapphire"/>
    <s v="Date"/>
    <n v="60"/>
    <n v="8800"/>
    <s v="&lt;=100"/>
    <x v="4"/>
  </r>
  <r>
    <n v="214"/>
    <x v="16"/>
    <s v="Portuguese Stainless Steel 42.3"/>
    <s v="Leather"/>
    <s v="Automatic"/>
    <n v="30"/>
    <n v="42.3"/>
    <n v="14.2"/>
    <n v="22"/>
    <s v="White"/>
    <s v="Sapphire"/>
    <s v="Date"/>
    <n v="60"/>
    <n v="8800"/>
    <s v="&lt;=100"/>
    <x v="4"/>
  </r>
  <r>
    <n v="215"/>
    <x v="16"/>
    <s v="Portugieser Stainless Steel 41"/>
    <s v="Leather"/>
    <s v="Automatic"/>
    <n v="30"/>
    <n v="41"/>
    <n v="12.3"/>
    <n v="22"/>
    <s v="Blue"/>
    <s v="Sapphire"/>
    <s v="None"/>
    <n v="60"/>
    <n v="8500"/>
    <s v="&lt;=100"/>
    <x v="4"/>
  </r>
  <r>
    <n v="216"/>
    <x v="16"/>
    <s v="Portugieser Stainless Steel 41"/>
    <s v="Leather"/>
    <s v="Automatic"/>
    <n v="30"/>
    <n v="41"/>
    <n v="13.1"/>
    <n v="22"/>
    <s v="Silver"/>
    <s v="Sapphire"/>
    <s v="Date"/>
    <n v="60"/>
    <n v="8500"/>
    <s v="&lt;=100"/>
    <x v="4"/>
  </r>
  <r>
    <n v="217"/>
    <x v="16"/>
    <s v="Portugieser Stainless Steel 41"/>
    <s v="Leather"/>
    <s v="Automatic"/>
    <n v="30"/>
    <n v="41"/>
    <n v="12.3"/>
    <n v="22"/>
    <s v="Blue"/>
    <s v="Sapphire"/>
    <s v="Date, Power Reserve Indicator"/>
    <n v="42"/>
    <n v="8500"/>
    <s v="&lt;=100"/>
    <x v="4"/>
  </r>
  <r>
    <n v="218"/>
    <x v="16"/>
    <s v="Portugieser Stainless Steel 41"/>
    <s v="Leather"/>
    <s v="Automatic"/>
    <n v="30"/>
    <n v="41"/>
    <n v="12.3"/>
    <n v="22"/>
    <s v="Silver"/>
    <s v="Sapphire"/>
    <s v="None"/>
    <n v="60"/>
    <n v="8400"/>
    <s v="&lt;=100"/>
    <x v="4"/>
  </r>
  <r>
    <n v="219"/>
    <x v="16"/>
    <s v="Portugieser Stainless Steel 41"/>
    <s v="Leather"/>
    <s v="Automatic"/>
    <n v="30"/>
    <n v="41"/>
    <n v="12.3"/>
    <n v="22"/>
    <s v="Silver"/>
    <s v="Sapphire"/>
    <s v="Chronograph, Date"/>
    <n v="46"/>
    <n v="8300"/>
    <s v="&lt;=100"/>
    <x v="4"/>
  </r>
  <r>
    <n v="220"/>
    <x v="16"/>
    <s v="Portugieser Stainless Steel 41"/>
    <s v="Leather"/>
    <s v="Automatic"/>
    <n v="30"/>
    <n v="41"/>
    <n v="12.3"/>
    <n v="22"/>
    <s v="Silver"/>
    <s v="Sapphire"/>
    <s v="None"/>
    <n v="60"/>
    <n v="7950"/>
    <s v="&lt;=100"/>
    <x v="4"/>
  </r>
  <r>
    <n v="221"/>
    <x v="16"/>
    <s v="Portugieser Stainless Steel 41"/>
    <s v="Leather"/>
    <s v="Automatic"/>
    <n v="30"/>
    <n v="41"/>
    <n v="12.3"/>
    <n v="22"/>
    <s v="Silver"/>
    <s v="Sapphire"/>
    <s v="None"/>
    <n v="60"/>
    <n v="7950"/>
    <s v="&lt;=100"/>
    <x v="4"/>
  </r>
  <r>
    <n v="222"/>
    <x v="16"/>
    <s v="Portugieser Stainless Steel 41"/>
    <s v="Leather"/>
    <s v="Automatic"/>
    <n v="30"/>
    <n v="41"/>
    <n v="12.3"/>
    <n v="22"/>
    <s v="Blue"/>
    <s v="Sapphire"/>
    <s v="None"/>
    <n v="60"/>
    <n v="7900"/>
    <s v="&lt;=100"/>
    <x v="4"/>
  </r>
  <r>
    <n v="223"/>
    <x v="16"/>
    <s v="Portugieser Stainless Steel 41.5"/>
    <s v="Leather"/>
    <s v="Automatic"/>
    <n v="30"/>
    <n v="41.5"/>
    <n v="12.3"/>
    <n v="22"/>
    <s v="Silver"/>
    <s v="Sapphire"/>
    <s v="None"/>
    <n v="60"/>
    <n v="7800"/>
    <s v="&lt;=100"/>
    <x v="4"/>
  </r>
  <r>
    <n v="224"/>
    <x v="16"/>
    <s v="Portugieser Stainless Steel 42.3"/>
    <s v="Leather"/>
    <s v="Automatic"/>
    <n v="30"/>
    <n v="42.3"/>
    <n v="14.2"/>
    <n v="22"/>
    <s v="White"/>
    <s v="Sapphire"/>
    <s v="Chronograph"/>
    <n v="46"/>
    <n v="7800"/>
    <s v="&lt;=100"/>
    <x v="4"/>
  </r>
  <r>
    <n v="225"/>
    <x v="16"/>
    <s v="Portugieser Chronograph Stainless Steel 41"/>
    <s v="Leather"/>
    <s v="Automatic"/>
    <n v="30"/>
    <n v="41"/>
    <n v="13.1"/>
    <n v="20"/>
    <s v="White"/>
    <s v="Sapphire"/>
    <s v="Chronograph"/>
    <n v="46"/>
    <n v="7600"/>
    <s v="&lt;=100"/>
    <x v="4"/>
  </r>
  <r>
    <n v="226"/>
    <x v="16"/>
    <s v="Portugieser Stainless Steel 40.4"/>
    <s v="Leather"/>
    <s v="Automatic"/>
    <n v="30"/>
    <n v="40.4"/>
    <n v="12.6"/>
    <n v="20"/>
    <s v="Silver"/>
    <s v="Sapphire"/>
    <s v="None"/>
    <n v="44"/>
    <n v="7600"/>
    <s v="&lt;=100"/>
    <x v="4"/>
  </r>
  <r>
    <n v="227"/>
    <x v="16"/>
    <s v="Portugieser Stainless Steel 41"/>
    <s v="Leather"/>
    <s v="Automatic"/>
    <n v="30"/>
    <n v="41"/>
    <n v="12.3"/>
    <n v="22"/>
    <s v="Silver"/>
    <s v="Sapphire"/>
    <s v="None"/>
    <n v="46"/>
    <n v="7500"/>
    <s v="&lt;=100"/>
    <x v="4"/>
  </r>
  <r>
    <n v="228"/>
    <x v="16"/>
    <s v="Pilot's Watch Stainless Steel 46.2"/>
    <s v="Leather"/>
    <s v="Automatic"/>
    <n v="60"/>
    <n v="46.2"/>
    <n v="15"/>
    <n v="20"/>
    <s v="Black"/>
    <s v="Sapphire"/>
    <s v="Chronograph"/>
    <n v="68"/>
    <n v="7500"/>
    <s v="&lt;=100"/>
    <x v="4"/>
  </r>
  <r>
    <n v="229"/>
    <x v="16"/>
    <s v="Portugieser Stainless Steel 40.4"/>
    <s v="Leather"/>
    <s v="Automatic"/>
    <n v="30"/>
    <n v="40.4"/>
    <n v="12.3"/>
    <n v="22"/>
    <s v="White"/>
    <s v="Sapphire"/>
    <s v="Date"/>
    <n v="60"/>
    <n v="7500"/>
    <s v="&lt;=100"/>
    <x v="4"/>
  </r>
  <r>
    <n v="230"/>
    <x v="16"/>
    <s v="Portugieser Stainless Steel 40.4"/>
    <s v="Leather"/>
    <s v="Automatic"/>
    <n v="30"/>
    <n v="40.4"/>
    <n v="12.3"/>
    <n v="20"/>
    <s v="White"/>
    <s v="Sapphire"/>
    <s v="None"/>
    <n v="60"/>
    <n v="7500"/>
    <s v="&lt;=100"/>
    <x v="4"/>
  </r>
  <r>
    <n v="231"/>
    <x v="16"/>
    <s v="Portugieser Stainless Steel 40.4"/>
    <s v="Leather"/>
    <s v="Automatic"/>
    <n v="30"/>
    <n v="40.4"/>
    <n v="12.3"/>
    <n v="20"/>
    <s v="Silver"/>
    <s v="Sapphire"/>
    <s v="Chronograph"/>
    <n v="46"/>
    <n v="7250"/>
    <s v="&lt;=100"/>
    <x v="4"/>
  </r>
  <r>
    <n v="232"/>
    <x v="16"/>
    <s v="Portugieser Stainless Steel 40.9"/>
    <s v="Leather"/>
    <s v="Automatic"/>
    <n v="30"/>
    <n v="40.9"/>
    <n v="12.3"/>
    <n v="20"/>
    <s v="Silver"/>
    <s v="Sapphire"/>
    <s v="Date"/>
    <n v="44"/>
    <n v="6900"/>
    <s v="&lt;=100"/>
    <x v="4"/>
  </r>
  <r>
    <n v="233"/>
    <x v="16"/>
    <s v="Portugieser Stainless Steel 41"/>
    <s v="Leather"/>
    <s v="Automatic"/>
    <n v="30"/>
    <n v="41"/>
    <n v="12.3"/>
    <n v="22"/>
    <s v="Blue"/>
    <s v="Sapphire"/>
    <s v="None"/>
    <n v="60"/>
    <n v="6900"/>
    <s v="&lt;=100"/>
    <x v="4"/>
  </r>
  <r>
    <n v="234"/>
    <x v="16"/>
    <s v="Pilot's Watch Mark Stainless Steel 41"/>
    <s v="Leather"/>
    <s v="Automatic"/>
    <n v="60"/>
    <n v="41"/>
    <n v="12.5"/>
    <n v="20"/>
    <s v="Black"/>
    <s v="Sapphire"/>
    <s v="Date, Chronograph"/>
    <n v="44"/>
    <n v="6800"/>
    <s v="&lt;=100"/>
    <x v="4"/>
  </r>
  <r>
    <n v="235"/>
    <x v="16"/>
    <s v="Portugieser Stainless Steel 41"/>
    <s v="Leather"/>
    <s v="Automatic"/>
    <n v="30"/>
    <n v="41"/>
    <n v="12.3"/>
    <n v="22"/>
    <s v="Blue"/>
    <s v="Sapphire"/>
    <s v="Date"/>
    <n v="60"/>
    <n v="6500"/>
    <s v="&lt;=100"/>
    <x v="4"/>
  </r>
  <r>
    <n v="236"/>
    <x v="16"/>
    <s v="Pilot's Watch Stainless Steel 41"/>
    <s v="Leather"/>
    <s v="Automatic"/>
    <n v="60"/>
    <n v="41"/>
    <n v="15.3"/>
    <n v="20"/>
    <s v="Black"/>
    <s v="Sapphire"/>
    <s v="Date"/>
    <n v="42"/>
    <n v="5900"/>
    <s v="&lt;=100"/>
    <x v="4"/>
  </r>
  <r>
    <n v="237"/>
    <x v="16"/>
    <s v="Pilot's Watch Stainless Steel 41"/>
    <s v="Leather"/>
    <s v="Automatic"/>
    <n v="60"/>
    <n v="41"/>
    <n v="12.5"/>
    <n v="20"/>
    <s v="Black"/>
    <s v="Sapphire"/>
    <s v="Date, Chronograph"/>
    <n v="44"/>
    <n v="5500"/>
    <s v="&lt;=100"/>
    <x v="4"/>
  </r>
  <r>
    <n v="238"/>
    <x v="16"/>
    <s v="Pilot's Watch Stainless Steel 41"/>
    <s v="Leather"/>
    <s v="Automatic"/>
    <n v="60"/>
    <n v="41"/>
    <n v="10.8"/>
    <n v="20"/>
    <s v="Black"/>
    <s v="Sapphire"/>
    <s v="Date, Stopwatch"/>
    <n v="42"/>
    <n v="5500"/>
    <s v="&lt;=100"/>
    <x v="4"/>
  </r>
  <r>
    <n v="239"/>
    <x v="16"/>
    <s v="Pilot's Watch Stainless Steel 41"/>
    <s v="Leather"/>
    <s v="Automatic"/>
    <n v="60"/>
    <n v="41"/>
    <n v="15.3"/>
    <n v="22"/>
    <s v="Black"/>
    <s v="Sapphire"/>
    <s v="Date"/>
    <n v="72"/>
    <n v="5400"/>
    <s v="&lt;=100"/>
    <x v="4"/>
  </r>
  <r>
    <n v="240"/>
    <x v="16"/>
    <s v="Pilot's Watch Stainless Steel 43"/>
    <s v="Leather"/>
    <s v="Automatic"/>
    <n v="60"/>
    <n v="43"/>
    <n v="15"/>
    <n v="22"/>
    <s v="Black"/>
    <s v="Sapphire"/>
    <s v="Date"/>
    <n v="72"/>
    <n v="4950"/>
    <s v="&lt;=100"/>
    <x v="3"/>
  </r>
  <r>
    <n v="241"/>
    <x v="16"/>
    <s v="Pilot's Watch Stainless Steel 41"/>
    <s v="Leather"/>
    <s v="Automatic"/>
    <n v="60"/>
    <n v="41"/>
    <n v="12.5"/>
    <n v="20"/>
    <s v="Black"/>
    <s v="Sapphire"/>
    <s v="Date"/>
    <n v="42"/>
    <n v="4800"/>
    <s v="&lt;=100"/>
    <x v="3"/>
  </r>
  <r>
    <n v="242"/>
    <x v="16"/>
    <s v="Pilot's Watch Stainless Steel 41"/>
    <s v="Leather"/>
    <s v="Automatic"/>
    <n v="60"/>
    <n v="41"/>
    <n v="12.8"/>
    <n v="22"/>
    <s v="Black"/>
    <s v="Sapphire"/>
    <s v="Date"/>
    <n v="42"/>
    <n v="4800"/>
    <s v="&lt;=100"/>
    <x v="3"/>
  </r>
  <r>
    <n v="243"/>
    <x v="16"/>
    <s v="Pilot's Watch Stainless Steel 39"/>
    <s v="Leather"/>
    <s v="Automatic"/>
    <n v="60"/>
    <n v="39"/>
    <n v="10.86"/>
    <n v="20"/>
    <s v="Black"/>
    <s v="Sapphire"/>
    <s v="Date"/>
    <n v="42"/>
    <n v="4500"/>
    <s v="&lt;=100"/>
    <x v="3"/>
  </r>
  <r>
    <n v="244"/>
    <x v="16"/>
    <s v="Pilot's Watch Mark XVIII Stainless Steel 40"/>
    <s v="Leather"/>
    <s v="Automatic"/>
    <n v="60"/>
    <n v="40"/>
    <n v="10.8"/>
    <n v="20"/>
    <s v="Black"/>
    <s v="Sapphire"/>
    <s v="Date"/>
    <n v="42"/>
    <n v="4200"/>
    <s v="&lt;=100"/>
    <x v="3"/>
  </r>
  <r>
    <n v="245"/>
    <x v="16"/>
    <s v="Pilot's Watch Mark XVIII Stainless Steel 40"/>
    <s v="Leather"/>
    <s v="Automatic"/>
    <n v="60"/>
    <n v="40"/>
    <n v="10.8"/>
    <n v="20"/>
    <s v="Black"/>
    <s v="Sapphire"/>
    <s v="Date"/>
    <n v="42"/>
    <n v="3900"/>
    <s v="&lt;=100"/>
    <x v="3"/>
  </r>
  <r>
    <n v="246"/>
    <x v="16"/>
    <s v="Pilot's Watch Stainless Steel 41"/>
    <s v="Leather"/>
    <s v="Automatic"/>
    <n v="60"/>
    <n v="41"/>
    <n v="10.86"/>
    <n v="20"/>
    <s v="Black"/>
    <s v="Sapphire"/>
    <s v="Date"/>
    <n v="42"/>
    <n v="3800"/>
    <s v="&lt;=100"/>
    <x v="3"/>
  </r>
  <r>
    <n v="247"/>
    <x v="17"/>
    <s v="Master Ultra Thin Stainless Steel 39"/>
    <s v="Leather"/>
    <s v="Automatic"/>
    <n v="50"/>
    <n v="39"/>
    <n v="7.58"/>
    <n v="20"/>
    <s v="Silver"/>
    <s v="Sapphire"/>
    <s v="Date"/>
    <n v="70"/>
    <n v="8900"/>
    <s v="&lt;=100"/>
    <x v="4"/>
  </r>
  <r>
    <n v="248"/>
    <x v="17"/>
    <s v="Master Control Stainless Steel 40"/>
    <s v="Leather"/>
    <s v="Automatic"/>
    <n v="50"/>
    <n v="40"/>
    <n v="8.7799999999999994"/>
    <n v="20"/>
    <s v="Silver"/>
    <s v="Sapphire"/>
    <s v="Date, Power Reserve Indicator"/>
    <n v="70"/>
    <n v="8500"/>
    <s v="&lt;=100"/>
    <x v="4"/>
  </r>
  <r>
    <n v="249"/>
    <x v="17"/>
    <s v="Master Control Stainless Steel 39"/>
    <s v="Leather"/>
    <s v="Automatic"/>
    <n v="50"/>
    <n v="39"/>
    <n v="8.5"/>
    <n v="20"/>
    <s v="Silver"/>
    <s v="Sapphire"/>
    <s v="Date, Moonphase"/>
    <n v="70"/>
    <n v="8200"/>
    <s v="&lt;=100"/>
    <x v="4"/>
  </r>
  <r>
    <n v="250"/>
    <x v="17"/>
    <s v="Master Ultra Thin Stainless Steel 39"/>
    <s v="Leather"/>
    <s v="Automatic"/>
    <n v="50"/>
    <n v="39"/>
    <n v="7.58"/>
    <n v="20"/>
    <s v="Silver"/>
    <s v="Sapphire"/>
    <s v="None"/>
    <n v="70"/>
    <n v="7500"/>
    <s v="&lt;=100"/>
    <x v="4"/>
  </r>
  <r>
    <n v="251"/>
    <x v="17"/>
    <s v="Master Control Stainless Steel 40"/>
    <s v="Leather"/>
    <s v="Automatic"/>
    <n v="50"/>
    <n v="40"/>
    <n v="8.8000000000000007"/>
    <n v="20"/>
    <s v="Silver"/>
    <s v="Sapphire"/>
    <s v="Date"/>
    <n v="70"/>
    <n v="7500"/>
    <s v="&lt;=100"/>
    <x v="4"/>
  </r>
  <r>
    <n v="252"/>
    <x v="17"/>
    <s v="Master Control Stainless Steel 39"/>
    <s v="Leather"/>
    <s v="Automatic"/>
    <n v="50"/>
    <n v="39"/>
    <n v="8.5"/>
    <n v="20"/>
    <s v="Silver"/>
    <s v="Sapphire"/>
    <s v="Date"/>
    <n v="70"/>
    <n v="7500"/>
    <s v="&lt;=100"/>
    <x v="4"/>
  </r>
  <r>
    <n v="253"/>
    <x v="17"/>
    <s v="Master Ultra Thin Stainless Steel 39"/>
    <s v="Leather"/>
    <s v="Automatic"/>
    <n v="50"/>
    <n v="39"/>
    <n v="7.58"/>
    <n v="20"/>
    <s v="Silver"/>
    <s v="Sapphire"/>
    <s v="None"/>
    <n v="43"/>
    <n v="6800"/>
    <s v="&lt;=100"/>
    <x v="4"/>
  </r>
  <r>
    <n v="254"/>
    <x v="17"/>
    <s v="Master Control Stainless Steel 40"/>
    <s v="Leather"/>
    <s v="Automatic"/>
    <n v="50"/>
    <n v="40"/>
    <n v="8.8000000000000007"/>
    <n v="20"/>
    <s v="Silver"/>
    <s v="Sapphire"/>
    <s v="Date"/>
    <n v="70"/>
    <n v="6500"/>
    <s v="&lt;=100"/>
    <x v="4"/>
  </r>
  <r>
    <n v="255"/>
    <x v="17"/>
    <s v="Master Control Stainless Steel 40"/>
    <s v="Leather"/>
    <s v="Automatic"/>
    <n v="50"/>
    <n v="40"/>
    <n v="8.5"/>
    <n v="20"/>
    <s v="Silver"/>
    <s v="Sapphire"/>
    <s v="Date, Moonphase"/>
    <n v="70"/>
    <n v="6500"/>
    <s v="&lt;=100"/>
    <x v="4"/>
  </r>
  <r>
    <n v="256"/>
    <x v="17"/>
    <s v="Master Ultra Thin Stainless Steel 39"/>
    <s v="Leather"/>
    <s v="Automatic"/>
    <n v="50"/>
    <n v="39"/>
    <n v="7.8"/>
    <n v="20"/>
    <s v="Silver"/>
    <s v="Sapphire"/>
    <s v="None"/>
    <n v="70"/>
    <n v="6500"/>
    <s v="&lt;=100"/>
    <x v="4"/>
  </r>
  <r>
    <n v="257"/>
    <x v="17"/>
    <s v="Master Ultra Thin Stainless Steel 40"/>
    <s v="Leather"/>
    <s v="Automatic"/>
    <n v="50"/>
    <n v="40"/>
    <n v="7.45"/>
    <n v="20"/>
    <s v="Silver"/>
    <s v="Sapphire"/>
    <s v="None"/>
    <n v="43"/>
    <n v="6300"/>
    <s v="&lt;=100"/>
    <x v="4"/>
  </r>
  <r>
    <n v="258"/>
    <x v="17"/>
    <s v="Master Ultra Thin Stainless Steel 39"/>
    <s v="Leather"/>
    <s v="Automatic"/>
    <n v="50"/>
    <n v="39"/>
    <n v="7.5"/>
    <n v="20"/>
    <s v="White"/>
    <s v="Sapphire"/>
    <s v="Date"/>
    <n v="38"/>
    <n v="6200"/>
    <s v="&lt;=100"/>
    <x v="4"/>
  </r>
  <r>
    <n v="259"/>
    <x v="17"/>
    <s v="Master Control Stainless Steel 40"/>
    <s v="Leather"/>
    <s v="Automatic"/>
    <n v="50"/>
    <n v="40"/>
    <n v="8.8000000000000007"/>
    <n v="20"/>
    <s v="Silver"/>
    <s v="Sapphire"/>
    <s v="Date, Power Reserve"/>
    <n v="70"/>
    <n v="6000"/>
    <s v="&lt;=100"/>
    <x v="4"/>
  </r>
  <r>
    <n v="260"/>
    <x v="17"/>
    <s v="Reverso Stainless Steel 42.9"/>
    <s v="Leather"/>
    <s v="Manual"/>
    <n v="30"/>
    <n v="42.9"/>
    <n v="9.1999999999999993"/>
    <n v="20"/>
    <s v="Black"/>
    <s v="Sapphire"/>
    <s v="None"/>
    <n v="45"/>
    <n v="5500"/>
    <s v="&lt;=100"/>
    <x v="4"/>
  </r>
  <r>
    <n v="261"/>
    <x v="17"/>
    <s v="Reverso Stainless Steel 42.9"/>
    <s v="Leather"/>
    <s v="Manual"/>
    <n v="30"/>
    <n v="42.9"/>
    <n v="9.1999999999999993"/>
    <n v="20"/>
    <s v="Black"/>
    <s v="Sapphire"/>
    <s v="None"/>
    <n v="45"/>
    <n v="5500"/>
    <s v="&lt;=100"/>
    <x v="4"/>
  </r>
  <r>
    <n v="262"/>
    <x v="17"/>
    <s v="Master Ultra Thin Stainless Steel 38"/>
    <s v="Leather"/>
    <s v="Automatic"/>
    <n v="50"/>
    <n v="38"/>
    <n v="7.58"/>
    <n v="20"/>
    <s v="Silver"/>
    <s v="Sapphire"/>
    <s v="None"/>
    <n v="70"/>
    <n v="4500"/>
    <s v="&lt;=100"/>
    <x v="3"/>
  </r>
  <r>
    <n v="263"/>
    <x v="18"/>
    <s v="Grande Seconde Stainless Steel 43"/>
    <s v="Leather"/>
    <s v="Automatic"/>
    <n v="30"/>
    <n v="43"/>
    <n v="12.48"/>
    <n v="23"/>
    <s v="Silver"/>
    <s v="Sapphire"/>
    <s v="None"/>
    <n v="68"/>
    <n v="10000"/>
    <s v="&lt;=100"/>
    <x v="4"/>
  </r>
  <r>
    <n v="264"/>
    <x v="18"/>
    <s v="Grande Seconde Stainless Steel 43"/>
    <s v="Leather"/>
    <s v="Automatic"/>
    <n v="30"/>
    <n v="43"/>
    <n v="12.27"/>
    <n v="23"/>
    <s v="Black"/>
    <s v="Sapphire"/>
    <s v="None"/>
    <n v="68"/>
    <n v="9800"/>
    <s v="&lt;=100"/>
    <x v="4"/>
  </r>
  <r>
    <n v="265"/>
    <x v="18"/>
    <s v="Grande Seconde Stainless Steel 43"/>
    <s v="Leather"/>
    <s v="Automatic"/>
    <n v="30"/>
    <n v="43"/>
    <n v="11.48"/>
    <n v="23"/>
    <s v="Black"/>
    <s v="Sapphire"/>
    <s v="None"/>
    <n v="68"/>
    <n v="9500"/>
    <s v="&lt;=100"/>
    <x v="4"/>
  </r>
  <r>
    <n v="266"/>
    <x v="18"/>
    <s v="Grande Seconde Stainless Steel 43"/>
    <s v="Leather"/>
    <s v="Automatic"/>
    <n v="30"/>
    <n v="43"/>
    <n v="11.48"/>
    <n v="22"/>
    <s v="White"/>
    <s v="Sapphire"/>
    <s v="None"/>
    <n v="68"/>
    <n v="8500"/>
    <s v="&lt;=100"/>
    <x v="4"/>
  </r>
  <r>
    <n v="267"/>
    <x v="18"/>
    <s v="Grande Seconde Stainless Steel 43"/>
    <s v="Leather"/>
    <s v="Automatic"/>
    <n v="30"/>
    <n v="43"/>
    <n v="12.13"/>
    <n v="23"/>
    <s v="Silver"/>
    <s v="Sapphire"/>
    <s v="None"/>
    <n v="68"/>
    <n v="6200"/>
    <s v="&lt;=100"/>
    <x v="4"/>
  </r>
  <r>
    <n v="268"/>
    <x v="19"/>
    <s v="Master Collection Stainless Steel 40"/>
    <s v="Leather"/>
    <s v="Automatic"/>
    <n v="30"/>
    <n v="40"/>
    <n v="10.25"/>
    <n v="20"/>
    <s v="Black"/>
    <s v="Sapphire"/>
    <s v="Date"/>
    <n v="64"/>
    <n v="2500"/>
    <s v="&lt;=100"/>
    <x v="3"/>
  </r>
  <r>
    <n v="269"/>
    <x v="19"/>
    <s v="Conquest Stainless Steel 41"/>
    <s v="Stainless Steel"/>
    <s v="Automatic"/>
    <n v="300"/>
    <n v="41"/>
    <n v="13.2"/>
    <n v="20"/>
    <s v="Black"/>
    <s v="Sapphire"/>
    <s v="Chronograph"/>
    <n v="54"/>
    <n v="2200"/>
    <s v="200-300"/>
    <x v="3"/>
  </r>
  <r>
    <n v="270"/>
    <x v="19"/>
    <s v="Conquest Classic Stainless Steel 40"/>
    <s v="Leather"/>
    <s v="Automatic"/>
    <n v="50"/>
    <n v="40"/>
    <n v="10.75"/>
    <n v="20"/>
    <s v="Silver"/>
    <s v="Sapphire"/>
    <s v="Date"/>
    <n v="54"/>
    <n v="1850"/>
    <s v="&lt;=100"/>
    <x v="6"/>
  </r>
  <r>
    <n v="271"/>
    <x v="19"/>
    <s v="HydroConquest Stainless Steel 41"/>
    <s v="Stainless Steel"/>
    <s v="Automatic"/>
    <n v="300"/>
    <n v="41"/>
    <n v="12.65"/>
    <n v="20"/>
    <s v="Black"/>
    <s v="Sapphire"/>
    <s v="Date"/>
    <n v="64"/>
    <n v="1800"/>
    <s v="200-300"/>
    <x v="6"/>
  </r>
  <r>
    <n v="272"/>
    <x v="19"/>
    <s v="Master Collection Stainless Steel 38.5"/>
    <s v="Leather"/>
    <s v="Automatic"/>
    <n v="30"/>
    <n v="38.5"/>
    <n v="9.6999999999999993"/>
    <n v="20"/>
    <s v="Blue"/>
    <s v="Sapphire"/>
    <s v="Date"/>
    <n v="64"/>
    <n v="1800"/>
    <s v="&lt;=100"/>
    <x v="6"/>
  </r>
  <r>
    <n v="273"/>
    <x v="19"/>
    <s v="Master Collection Stainless Steel 38.5"/>
    <s v="Leather"/>
    <s v="Automatic"/>
    <n v="30"/>
    <n v="38.5"/>
    <n v="9.3000000000000007"/>
    <n v="20"/>
    <s v="Blue"/>
    <s v="Sapphire"/>
    <s v="Date"/>
    <n v="42"/>
    <n v="1600"/>
    <s v="&lt;=100"/>
    <x v="6"/>
  </r>
  <r>
    <n v="274"/>
    <x v="19"/>
    <s v="Conquest VHP Stainless Steel 41"/>
    <s v="Stainless Steel"/>
    <s v="Quartz"/>
    <n v="50"/>
    <n v="41"/>
    <n v="12.1"/>
    <n v="20"/>
    <s v="Black"/>
    <s v="Sapphire"/>
    <s v="Chronograph, Date"/>
    <s v="N/A"/>
    <n v="1500"/>
    <s v="&lt;=100"/>
    <x v="6"/>
  </r>
  <r>
    <n v="275"/>
    <x v="19"/>
    <s v="Master Collection Stainless Steel 40"/>
    <s v="Leather"/>
    <s v="Automatic"/>
    <n v="30"/>
    <n v="40"/>
    <n v="9.35"/>
    <n v="20"/>
    <s v="Silver"/>
    <s v="Sapphire"/>
    <s v="Date"/>
    <n v="64"/>
    <n v="1500"/>
    <s v="&lt;=100"/>
    <x v="6"/>
  </r>
  <r>
    <n v="276"/>
    <x v="19"/>
    <s v="HydroConquest Stainless Steel 43"/>
    <s v="Stainless Steel"/>
    <s v="Automatic"/>
    <n v="300"/>
    <n v="43"/>
    <n v="12.75"/>
    <n v="22"/>
    <s v="Blue"/>
    <s v="Sapphire"/>
    <s v="Date"/>
    <n v="64"/>
    <n v="1400"/>
    <s v="200-300"/>
    <x v="6"/>
  </r>
  <r>
    <n v="277"/>
    <x v="19"/>
    <s v="Master Collection Stainless Steel 38.5"/>
    <s v="Leather"/>
    <s v="Automatic"/>
    <n v="30"/>
    <n v="38.5"/>
    <n v="9.6999999999999993"/>
    <n v="20"/>
    <s v="Silver"/>
    <s v="Sapphire"/>
    <s v="Date"/>
    <n v="64"/>
    <n v="1150"/>
    <s v="&lt;=100"/>
    <x v="6"/>
  </r>
  <r>
    <n v="278"/>
    <x v="20"/>
    <s v="1858 Geosphere Titanium 42"/>
    <s v="Leather"/>
    <s v="Automatic"/>
    <n v="100"/>
    <n v="42"/>
    <n v="12.8"/>
    <n v="22"/>
    <s v="Black"/>
    <s v="Sapphire"/>
    <s v="GMT"/>
    <n v="42"/>
    <n v="6500"/>
    <s v="&lt;=100"/>
    <x v="4"/>
  </r>
  <r>
    <n v="279"/>
    <x v="20"/>
    <s v="1858 Geosphere Stainless Steel 42"/>
    <s v="Leather"/>
    <s v="Automatic"/>
    <n v="100"/>
    <n v="42"/>
    <n v="11.2"/>
    <n v="22"/>
    <s v="Black"/>
    <s v="Sapphire"/>
    <s v="World Time, GMT"/>
    <n v="42"/>
    <n v="6200"/>
    <s v="&lt;=100"/>
    <x v="4"/>
  </r>
  <r>
    <n v="280"/>
    <x v="20"/>
    <s v="1858 Bronze 44"/>
    <s v="Leather"/>
    <s v="Automatic"/>
    <n v="100"/>
    <n v="44"/>
    <n v="12.8"/>
    <n v="22"/>
    <s v="Black"/>
    <s v="Sapphire"/>
    <s v="None"/>
    <n v="42"/>
    <n v="5300"/>
    <s v="&lt;=100"/>
    <x v="4"/>
  </r>
  <r>
    <n v="281"/>
    <x v="20"/>
    <s v="Star Legacy Stainless Steel 42"/>
    <s v="Leather"/>
    <s v="Automatic"/>
    <n v="50"/>
    <n v="42"/>
    <n v="11.4"/>
    <n v="22"/>
    <s v="White"/>
    <s v="Sapphire"/>
    <s v="Date, Moonphase"/>
    <n v="42"/>
    <n v="3900"/>
    <s v="&lt;=100"/>
    <x v="3"/>
  </r>
  <r>
    <n v="282"/>
    <x v="20"/>
    <s v="1858 Stainless Steel 42"/>
    <s v="Leather"/>
    <s v="Automatic"/>
    <n v="100"/>
    <n v="42"/>
    <n v="12.8"/>
    <n v="22"/>
    <s v="Black"/>
    <s v="Sapphire"/>
    <s v="None"/>
    <n v="38"/>
    <n v="3600"/>
    <s v="&lt;=100"/>
    <x v="3"/>
  </r>
  <r>
    <n v="283"/>
    <x v="20"/>
    <s v="1858 Stainless Steel 44"/>
    <s v="Leather"/>
    <s v="Manual"/>
    <n v="30"/>
    <n v="44"/>
    <n v="12.3"/>
    <n v="22"/>
    <s v="Black"/>
    <s v="Sapphire"/>
    <s v="None"/>
    <n v="50"/>
    <n v="3500"/>
    <s v="&lt;=100"/>
    <x v="3"/>
  </r>
  <r>
    <n v="284"/>
    <x v="20"/>
    <s v="Star Legacy Stainless Steel 39"/>
    <s v="Leather"/>
    <s v="Automatic"/>
    <n v="50"/>
    <n v="39"/>
    <n v="9.9"/>
    <n v="19"/>
    <s v="Silver"/>
    <s v="Sapphire"/>
    <s v="Date"/>
    <n v="42"/>
    <n v="3500"/>
    <s v="&lt;=100"/>
    <x v="3"/>
  </r>
  <r>
    <n v="285"/>
    <x v="20"/>
    <s v="Heritage Stainless Steel 40"/>
    <s v="Leather"/>
    <s v="Automatic"/>
    <n v="50"/>
    <n v="40"/>
    <n v="9.85"/>
    <n v="20"/>
    <s v="Silver"/>
    <s v="Sapphire"/>
    <s v="Date"/>
    <n v="42"/>
    <n v="2750"/>
    <s v="&lt;=100"/>
    <x v="3"/>
  </r>
  <r>
    <n v="286"/>
    <x v="20"/>
    <s v="Heritage Stainless Steel 40"/>
    <s v="Leather"/>
    <s v="Automatic"/>
    <n v="50"/>
    <n v="40"/>
    <n v="9.85"/>
    <n v="20"/>
    <s v="Black"/>
    <s v="Sapphire"/>
    <s v="Date"/>
    <n v="38"/>
    <n v="2700"/>
    <s v="&lt;=100"/>
    <x v="3"/>
  </r>
  <r>
    <n v="287"/>
    <x v="21"/>
    <s v="Speedmaster Stainless Steel 42"/>
    <s v="Stainless Steel"/>
    <s v="Automatic"/>
    <n v="50"/>
    <n v="42"/>
    <n v="13.5"/>
    <n v="20"/>
    <s v="Black"/>
    <s v="Sapphire"/>
    <s v="Chronograph"/>
    <n v="60"/>
    <n v="6800"/>
    <s v="&lt;=100"/>
    <x v="4"/>
  </r>
  <r>
    <n v="288"/>
    <x v="21"/>
    <s v="Speedmaster Stainless Steel 42"/>
    <s v="Stainless Steel"/>
    <s v="Automatic"/>
    <n v="50"/>
    <n v="42"/>
    <n v="13.5"/>
    <n v="20"/>
    <s v="Black"/>
    <s v="Sapphire"/>
    <s v="Chronograph"/>
    <n v="60"/>
    <n v="6500"/>
    <s v="&lt;=100"/>
    <x v="4"/>
  </r>
  <r>
    <n v="289"/>
    <x v="21"/>
    <s v="Speedmaster Stainless Steel 42"/>
    <s v="Stainless Steel"/>
    <s v="Automatic"/>
    <n v="50"/>
    <n v="42"/>
    <n v="13.7"/>
    <n v="20"/>
    <s v="Black"/>
    <s v="Sapphire"/>
    <s v="Chronograph, Tachymeter"/>
    <n v="60"/>
    <n v="6500"/>
    <s v="&lt;=100"/>
    <x v="4"/>
  </r>
  <r>
    <n v="290"/>
    <x v="21"/>
    <s v="Seamaster Titanium 43.5"/>
    <s v="Rubber"/>
    <s v="Automatic"/>
    <n v="600"/>
    <n v="43.5"/>
    <n v="14.47"/>
    <n v="21"/>
    <s v="Blue"/>
    <s v="Sapphire"/>
    <s v="Date"/>
    <n v="60"/>
    <n v="5800"/>
    <s v="500-1000"/>
    <x v="4"/>
  </r>
  <r>
    <n v="291"/>
    <x v="21"/>
    <s v="Seamaster Titanium 43.5"/>
    <s v="Rubber"/>
    <s v="Automatic"/>
    <n v="600"/>
    <n v="43.5"/>
    <n v="14.47"/>
    <n v="21"/>
    <s v="Blue"/>
    <s v="Sapphire"/>
    <s v="Date"/>
    <n v="60"/>
    <n v="5800"/>
    <s v="500-1000"/>
    <x v="4"/>
  </r>
  <r>
    <n v="292"/>
    <x v="21"/>
    <s v="Speedmaster Stainless Steel 42"/>
    <s v="Stainless Steel"/>
    <s v="Manual"/>
    <n v="50"/>
    <n v="42"/>
    <n v="14.3"/>
    <n v="20"/>
    <s v="Black"/>
    <s v="Hesalite"/>
    <s v="Chronograph, Tachymeter"/>
    <n v="48"/>
    <n v="5500"/>
    <s v="&lt;=100"/>
    <x v="4"/>
  </r>
  <r>
    <n v="293"/>
    <x v="21"/>
    <s v="Speedmaster Moonwatch Stainless Steel 42"/>
    <s v="Stainless Steel"/>
    <s v="Manual"/>
    <n v="50"/>
    <n v="42"/>
    <n v="13.2"/>
    <n v="20"/>
    <s v="Black"/>
    <s v="Hesalite"/>
    <s v="Chronograph, Tachymeter"/>
    <n v="48"/>
    <n v="5500"/>
    <s v="&lt;=100"/>
    <x v="4"/>
  </r>
  <r>
    <n v="294"/>
    <x v="21"/>
    <s v="Speedmaster Stainless Steel 42"/>
    <s v="Leather"/>
    <s v="Manual"/>
    <n v="50"/>
    <n v="42"/>
    <n v="13.7"/>
    <n v="20"/>
    <s v="Black"/>
    <s v="Hesalite"/>
    <s v="Chronograph"/>
    <n v="48"/>
    <n v="5500"/>
    <s v="&lt;=100"/>
    <x v="4"/>
  </r>
  <r>
    <n v="295"/>
    <x v="21"/>
    <s v="Speedmaster Stainless Steel 42"/>
    <s v="Stainless Steel"/>
    <s v="Manual"/>
    <n v="50"/>
    <n v="42"/>
    <n v="14.3"/>
    <n v="20"/>
    <s v="Black"/>
    <s v="Sapphire"/>
    <s v="Chronograph"/>
    <n v="48"/>
    <n v="5400"/>
    <s v="&lt;=100"/>
    <x v="4"/>
  </r>
  <r>
    <n v="296"/>
    <x v="21"/>
    <s v="Speedmaster Moonwatch Stainless Steel 42"/>
    <s v="Stainless Steel"/>
    <s v="Manual"/>
    <n v="50"/>
    <n v="42"/>
    <n v="14.3"/>
    <n v="20"/>
    <s v="Black"/>
    <s v="Hesalite"/>
    <s v="Chronograph"/>
    <n v="48"/>
    <n v="5400"/>
    <s v="&lt;=100"/>
    <x v="4"/>
  </r>
  <r>
    <n v="297"/>
    <x v="21"/>
    <s v="Speedmaster Moonwatch Stainless Steel 42"/>
    <s v="Stainless Steel"/>
    <s v="Manual"/>
    <n v="50"/>
    <n v="42"/>
    <n v="13.75"/>
    <n v="20"/>
    <s v="Black"/>
    <s v="Hesalite"/>
    <s v="Chronograph, Tachymeter"/>
    <n v="48"/>
    <n v="5350"/>
    <s v="&lt;=100"/>
    <x v="4"/>
  </r>
  <r>
    <n v="298"/>
    <x v="21"/>
    <s v="Speedmaster Stainless Steel 42"/>
    <s v="Stainless Steel"/>
    <s v="Manual"/>
    <n v="50"/>
    <n v="42"/>
    <n v="14.3"/>
    <n v="20"/>
    <s v="Black"/>
    <s v="Hesalite"/>
    <s v="Chronograph"/>
    <n v="48"/>
    <n v="5350"/>
    <s v="&lt;=100"/>
    <x v="4"/>
  </r>
  <r>
    <n v="299"/>
    <x v="21"/>
    <s v="Speedmaster Stainless Steel 42"/>
    <s v="Stainless Steel"/>
    <s v="Automatic"/>
    <n v="50"/>
    <n v="42"/>
    <n v="13.75"/>
    <n v="20"/>
    <s v="Black"/>
    <s v="Sapphire"/>
    <s v="Chronograph, Date"/>
    <n v="48"/>
    <n v="5300"/>
    <s v="&lt;=100"/>
    <x v="4"/>
  </r>
  <r>
    <n v="300"/>
    <x v="21"/>
    <s v="Speedmaster Moonwatch Stainless Steel 42"/>
    <s v="Stainless Steel"/>
    <s v="Manual"/>
    <n v="50"/>
    <n v="42"/>
    <n v="14.3"/>
    <n v="20"/>
    <s v="Black"/>
    <s v="Hesalite"/>
    <s v="Chronograph, Tachymeter"/>
    <n v="48"/>
    <n v="5250"/>
    <s v="&lt;=100"/>
    <x v="4"/>
  </r>
  <r>
    <n v="301"/>
    <x v="21"/>
    <s v="Speedmaster Stainless Steel 42"/>
    <s v="Stainless Steel"/>
    <s v="Manual"/>
    <n v="50"/>
    <n v="42"/>
    <n v="14.3"/>
    <n v="20"/>
    <s v="Black"/>
    <s v="Hesalite"/>
    <s v="Chronograph"/>
    <n v="48"/>
    <n v="5200"/>
    <s v="&lt;=100"/>
    <x v="4"/>
  </r>
  <r>
    <n v="302"/>
    <x v="21"/>
    <s v="Speedmaster Stainless Steel 42"/>
    <s v="Stainless Steel"/>
    <s v="Automatic"/>
    <n v="50"/>
    <n v="42"/>
    <n v="14.3"/>
    <n v="20"/>
    <s v="Black"/>
    <s v="Hesalite"/>
    <s v="Chronograph"/>
    <n v="48"/>
    <n v="5000"/>
    <s v="&lt;=100"/>
    <x v="3"/>
  </r>
  <r>
    <n v="303"/>
    <x v="21"/>
    <s v="Speedmaster Stainless Steel 42"/>
    <s v="Stainless Steel"/>
    <s v="Automatic"/>
    <n v="50"/>
    <n v="42"/>
    <n v="13.7"/>
    <n v="20"/>
    <s v="Black"/>
    <s v="Hesalite"/>
    <s v="Chronograph"/>
    <n v="48"/>
    <n v="4950"/>
    <s v="&lt;=100"/>
    <x v="3"/>
  </r>
  <r>
    <n v="304"/>
    <x v="21"/>
    <s v="Constellation Stainless Steel 39"/>
    <s v="Stainless Steel"/>
    <s v="Automatic"/>
    <n v="100"/>
    <n v="39"/>
    <n v="10.6"/>
    <n v="20"/>
    <s v="Black"/>
    <s v="Sapphire"/>
    <s v="Date"/>
    <n v="50"/>
    <n v="4800"/>
    <s v="&lt;=100"/>
    <x v="3"/>
  </r>
  <r>
    <n v="305"/>
    <x v="21"/>
    <s v="Aqua Terra Stainless Steel 41.5"/>
    <s v="Stainless Steel"/>
    <s v="Automatic"/>
    <n v="150"/>
    <n v="41.5"/>
    <n v="13"/>
    <n v="20"/>
    <s v="Silver"/>
    <s v="Sapphire"/>
    <s v="Date"/>
    <n v="60"/>
    <n v="4700"/>
    <s v="100-200"/>
    <x v="3"/>
  </r>
  <r>
    <n v="306"/>
    <x v="21"/>
    <s v="Speedmaster Stainless Steel 42"/>
    <s v="Stainless Steel"/>
    <s v="Automatic"/>
    <n v="50"/>
    <n v="42"/>
    <n v="14.5"/>
    <n v="20"/>
    <s v="Black"/>
    <s v="Sapphire"/>
    <s v="Chronograph, Tachymeter"/>
    <n v="60"/>
    <n v="4500"/>
    <s v="&lt;=100"/>
    <x v="3"/>
  </r>
  <r>
    <n v="307"/>
    <x v="21"/>
    <s v="Speedmaster Stainless Steel 42"/>
    <s v="Stainless Steel"/>
    <s v="Manual"/>
    <n v="50"/>
    <n v="42"/>
    <n v="14.3"/>
    <n v="20"/>
    <s v="Black"/>
    <s v="Hesalite"/>
    <s v="Chronograph, Tachymeter"/>
    <n v="48"/>
    <n v="4500"/>
    <s v="&lt;=100"/>
    <x v="3"/>
  </r>
  <r>
    <n v="308"/>
    <x v="21"/>
    <s v="Speedmaster Stainless Steel 42"/>
    <s v="Stainless Steel"/>
    <s v="Manual"/>
    <n v="50"/>
    <n v="42"/>
    <n v="14.3"/>
    <n v="20"/>
    <s v="Black"/>
    <s v="Hesalite"/>
    <s v="Chronograph"/>
    <n v="48"/>
    <n v="4500"/>
    <s v="&lt;=100"/>
    <x v="3"/>
  </r>
  <r>
    <n v="309"/>
    <x v="21"/>
    <s v="Speedmaster Stainless Steel 42"/>
    <s v="Stainless Steel"/>
    <s v="Manual"/>
    <n v="50"/>
    <n v="42"/>
    <n v="14.3"/>
    <n v="20"/>
    <s v="Black"/>
    <s v="Hesalite"/>
    <s v="Chronograph"/>
    <n v="48"/>
    <n v="4300"/>
    <s v="&lt;=100"/>
    <x v="3"/>
  </r>
  <r>
    <n v="310"/>
    <x v="22"/>
    <s v="Big Crown ProPilot Stainless Steel 41"/>
    <s v="Textile"/>
    <s v="Automatic"/>
    <n v="100"/>
    <n v="41"/>
    <n v="12"/>
    <n v="20"/>
    <s v="Black"/>
    <s v="Sapphire"/>
    <s v="Date, GMT"/>
    <n v="38"/>
    <n v="1800"/>
    <s v="&lt;=100"/>
    <x v="6"/>
  </r>
  <r>
    <n v="311"/>
    <x v="22"/>
    <s v="Divers Sixty-Five Stainless Steel 40"/>
    <s v="Leather"/>
    <s v="Automatic"/>
    <n v="100"/>
    <n v="40"/>
    <n v="12.9"/>
    <n v="20"/>
    <s v="Blue"/>
    <s v="Sapphire"/>
    <s v="Date"/>
    <n v="38"/>
    <n v="1500"/>
    <s v="&lt;=100"/>
    <x v="6"/>
  </r>
  <r>
    <n v="312"/>
    <x v="23"/>
    <s v="Luminor Titanium 44"/>
    <s v="Rubber"/>
    <s v="Automatic"/>
    <n v="300"/>
    <n v="44"/>
    <n v="15.65"/>
    <n v="24"/>
    <s v="Black"/>
    <s v="Sapphire"/>
    <s v="Date"/>
    <n v="72"/>
    <n v="9600"/>
    <s v="200-300"/>
    <x v="4"/>
  </r>
  <r>
    <n v="313"/>
    <x v="23"/>
    <s v="Luminor Titanium 44"/>
    <s v="Leather"/>
    <s v="Automatic"/>
    <n v="300"/>
    <n v="44"/>
    <n v="16.149999999999999"/>
    <n v="24"/>
    <s v="Black"/>
    <s v="Sapphire"/>
    <s v="None"/>
    <n v="72"/>
    <n v="9500"/>
    <s v="200-300"/>
    <x v="4"/>
  </r>
  <r>
    <n v="314"/>
    <x v="23"/>
    <s v="Luminor Marina Titanium 44"/>
    <s v="Rubber"/>
    <s v="Automatic"/>
    <n v="300"/>
    <n v="44"/>
    <n v="15.65"/>
    <n v="24"/>
    <s v="Black"/>
    <s v="Sapphire"/>
    <s v="None"/>
    <n v="72"/>
    <n v="9500"/>
    <s v="200-300"/>
    <x v="4"/>
  </r>
  <r>
    <n v="315"/>
    <x v="23"/>
    <s v="Luminor Marina Stainless Steel 44"/>
    <s v="Leather"/>
    <s v="Automatic"/>
    <n v="300"/>
    <n v="44"/>
    <n v="13.05"/>
    <n v="24"/>
    <s v="Black"/>
    <s v="Sapphire"/>
    <s v="Date, Second Time Zone"/>
    <n v="72"/>
    <n v="8900"/>
    <s v="200-300"/>
    <x v="4"/>
  </r>
  <r>
    <n v="316"/>
    <x v="23"/>
    <s v="Luminor Marina Stainless Steel 44"/>
    <s v="Leather"/>
    <s v="Automatic"/>
    <n v="300"/>
    <n v="44"/>
    <n v="13.05"/>
    <n v="22"/>
    <s v="Black"/>
    <s v="Sapphire"/>
    <s v="Date"/>
    <n v="72"/>
    <n v="8900"/>
    <s v="200-300"/>
    <x v="4"/>
  </r>
  <r>
    <n v="317"/>
    <x v="23"/>
    <s v="Luminor Marina Stainless Steel 44"/>
    <s v="Leather"/>
    <s v="Automatic"/>
    <n v="300"/>
    <n v="44"/>
    <n v="15.65"/>
    <n v="24"/>
    <s v="Black"/>
    <s v="Sapphire"/>
    <s v="None"/>
    <n v="72"/>
    <n v="8500"/>
    <s v="200-300"/>
    <x v="4"/>
  </r>
  <r>
    <n v="318"/>
    <x v="23"/>
    <s v="Luminor Titanium 44"/>
    <s v="Rubber"/>
    <s v="Automatic"/>
    <n v="300"/>
    <n v="44"/>
    <n v="13.05"/>
    <n v="24"/>
    <s v="Black"/>
    <s v="Sapphire"/>
    <s v="None"/>
    <n v="72"/>
    <n v="8500"/>
    <s v="200-300"/>
    <x v="4"/>
  </r>
  <r>
    <n v="319"/>
    <x v="23"/>
    <s v="Luminor Titanium 44"/>
    <s v="Rubber"/>
    <s v="Manual"/>
    <n v="300"/>
    <n v="44"/>
    <n v="15.6"/>
    <n v="24"/>
    <s v="Black"/>
    <s v="Sapphire"/>
    <s v="None"/>
    <n v="72"/>
    <n v="8500"/>
    <s v="200-300"/>
    <x v="4"/>
  </r>
  <r>
    <n v="320"/>
    <x v="23"/>
    <s v="Luminor Marina Stainless Steel 44"/>
    <s v="Leather"/>
    <s v="Automatic"/>
    <n v="300"/>
    <n v="44"/>
    <n v="15.65"/>
    <n v="24"/>
    <s v="Black"/>
    <s v="Sapphire"/>
    <s v="Date"/>
    <n v="72"/>
    <n v="8000"/>
    <s v="200-300"/>
    <x v="4"/>
  </r>
  <r>
    <n v="321"/>
    <x v="23"/>
    <s v="Luminor Stainless Steel 44"/>
    <s v="Leather"/>
    <s v="Manual"/>
    <n v="100"/>
    <n v="44"/>
    <n v="13.05"/>
    <n v="24"/>
    <s v="Black"/>
    <s v="Sapphire"/>
    <s v="None"/>
    <n v="56"/>
    <n v="7500"/>
    <s v="&lt;=100"/>
    <x v="4"/>
  </r>
  <r>
    <n v="322"/>
    <x v="23"/>
    <s v="Luminor Marina Stainless Steel 42"/>
    <s v="Leather"/>
    <s v="Automatic"/>
    <n v="300"/>
    <n v="42"/>
    <n v="13.2"/>
    <n v="22"/>
    <s v="Black"/>
    <s v="Sapphire"/>
    <s v="Date"/>
    <n v="72"/>
    <n v="7500"/>
    <s v="200-300"/>
    <x v="4"/>
  </r>
  <r>
    <n v="323"/>
    <x v="23"/>
    <s v="Luminor Titanium 44"/>
    <s v="Leather"/>
    <s v="Automatic"/>
    <n v="100"/>
    <n v="44"/>
    <n v="15.65"/>
    <n v="24"/>
    <s v="Black"/>
    <s v="Sapphire"/>
    <s v="None"/>
    <n v="72"/>
    <n v="7500"/>
    <s v="&lt;=100"/>
    <x v="4"/>
  </r>
  <r>
    <n v="324"/>
    <x v="23"/>
    <s v="Luminor Marina Stainless Steel 44"/>
    <s v="Leather"/>
    <s v="Automatic"/>
    <n v="300"/>
    <n v="44"/>
    <n v="15.65"/>
    <n v="22"/>
    <s v="Black"/>
    <s v="Sapphire"/>
    <s v="Date, GMT"/>
    <n v="72"/>
    <n v="7500"/>
    <s v="200-300"/>
    <x v="4"/>
  </r>
  <r>
    <n v="325"/>
    <x v="23"/>
    <s v="Luminor Titanium 44"/>
    <s v="Rubber"/>
    <s v="Automatic"/>
    <n v="300"/>
    <n v="44"/>
    <n v="13.05"/>
    <n v="24"/>
    <s v="Black"/>
    <s v="Sapphire"/>
    <s v="Date, Sub Seconds"/>
    <n v="72"/>
    <n v="7500"/>
    <s v="200-300"/>
    <x v="4"/>
  </r>
  <r>
    <n v="326"/>
    <x v="23"/>
    <s v="Luminor Marina Stainless Steel 44"/>
    <s v="Leather"/>
    <s v="Manual"/>
    <n v="300"/>
    <n v="44"/>
    <n v="15.65"/>
    <n v="24"/>
    <s v="Black"/>
    <s v="Sapphire"/>
    <s v="None"/>
    <n v="56"/>
    <n v="7200"/>
    <s v="200-300"/>
    <x v="4"/>
  </r>
  <r>
    <n v="327"/>
    <x v="23"/>
    <s v="Luminor Marina Stainless Steel 42"/>
    <s v="Leather"/>
    <s v="Automatic"/>
    <n v="300"/>
    <n v="42"/>
    <n v="14.5"/>
    <n v="22"/>
    <s v="Black"/>
    <s v="Sapphire"/>
    <s v="Date"/>
    <n v="50"/>
    <n v="7200"/>
    <s v="200-300"/>
    <x v="4"/>
  </r>
  <r>
    <n v="328"/>
    <x v="23"/>
    <s v="Luminor Titanium 44"/>
    <s v="Leather"/>
    <s v="Manual"/>
    <n v="100"/>
    <n v="44"/>
    <n v="13.05"/>
    <n v="24"/>
    <s v="Black"/>
    <s v="Sapphire"/>
    <s v="None"/>
    <n v="56"/>
    <n v="6900"/>
    <s v="&lt;=100"/>
    <x v="4"/>
  </r>
  <r>
    <n v="329"/>
    <x v="23"/>
    <s v="Luminor Due Stainless Steel 38"/>
    <s v="Leather"/>
    <s v="Automatic"/>
    <n v="30"/>
    <n v="38"/>
    <n v="11.2"/>
    <n v="20"/>
    <s v="Black"/>
    <s v="Sapphire"/>
    <s v="None"/>
    <n v="72"/>
    <n v="6500"/>
    <s v="&lt;=100"/>
    <x v="4"/>
  </r>
  <r>
    <n v="330"/>
    <x v="23"/>
    <s v="Luminor Marina Stainless Steel 44"/>
    <s v="Leather"/>
    <s v="Automatic"/>
    <n v="300"/>
    <n v="44"/>
    <n v="13.05"/>
    <n v="24"/>
    <s v="Black"/>
    <s v="Sapphire"/>
    <s v="None"/>
    <n v="72"/>
    <n v="6500"/>
    <s v="200-300"/>
    <x v="4"/>
  </r>
  <r>
    <n v="331"/>
    <x v="23"/>
    <s v="Luminor Marina Stainless Steel 44"/>
    <s v="Leather"/>
    <s v="Automatic"/>
    <n v="300"/>
    <n v="44"/>
    <n v="15.65"/>
    <n v="24"/>
    <s v="Black"/>
    <s v="Sapphire"/>
    <s v="Date"/>
    <n v="72"/>
    <n v="6500"/>
    <s v="200-300"/>
    <x v="4"/>
  </r>
  <r>
    <n v="332"/>
    <x v="23"/>
    <s v="Luminor Stainless Steel 44"/>
    <s v="Leather"/>
    <s v="Manual"/>
    <n v="100"/>
    <n v="44"/>
    <n v="13.05"/>
    <n v="24"/>
    <s v="Black"/>
    <s v="Sapphire"/>
    <s v="None"/>
    <n v="56"/>
    <n v="6400"/>
    <s v="&lt;=100"/>
    <x v="4"/>
  </r>
  <r>
    <n v="333"/>
    <x v="23"/>
    <s v="Luminor Base Stainless Steel 44"/>
    <s v="Leather"/>
    <s v="Manual"/>
    <n v="100"/>
    <n v="44"/>
    <n v="10.5"/>
    <n v="24"/>
    <s v="Black"/>
    <s v="Sapphire"/>
    <s v="None"/>
    <n v="56"/>
    <n v="5800"/>
    <s v="&lt;=100"/>
    <x v="4"/>
  </r>
  <r>
    <n v="334"/>
    <x v="23"/>
    <s v="Luminor Marina Titanium 44"/>
    <s v="Leather"/>
    <s v="Manual"/>
    <n v="300"/>
    <n v="44"/>
    <n v="13.05"/>
    <n v="24"/>
    <s v="Black"/>
    <s v="Sapphire"/>
    <s v="None"/>
    <n v="56"/>
    <n v="5700"/>
    <s v="200-300"/>
    <x v="4"/>
  </r>
  <r>
    <n v="335"/>
    <x v="23"/>
    <s v="Luminor Marina Stainless Steel 44"/>
    <s v="Leather"/>
    <s v="Manual"/>
    <n v="300"/>
    <n v="44"/>
    <n v="13.05"/>
    <n v="24"/>
    <s v="Black"/>
    <s v="Sapphire"/>
    <s v="None"/>
    <n v="56"/>
    <n v="5200"/>
    <s v="200-300"/>
    <x v="4"/>
  </r>
  <r>
    <n v="336"/>
    <x v="23"/>
    <s v="Luminor Base Logo Stainless Steel 44"/>
    <s v="Leather"/>
    <s v="Manual"/>
    <n v="100"/>
    <n v="44"/>
    <n v="10.5"/>
    <n v="22"/>
    <s v="Black"/>
    <s v="Sapphire"/>
    <s v="None"/>
    <n v="56"/>
    <n v="3900"/>
    <s v="&lt;=100"/>
    <x v="3"/>
  </r>
  <r>
    <n v="337"/>
    <x v="24"/>
    <s v="Nautilus Stainless Steel 40.5"/>
    <s v="Stainless Steel"/>
    <s v="Automatic"/>
    <n v="120"/>
    <n v="40.5"/>
    <n v="8.3000000000000007"/>
    <n v="22"/>
    <s v="Blue"/>
    <s v="Sapphire"/>
    <s v="Date, Moon Phase"/>
    <n v="45"/>
    <n v="70000"/>
    <s v="100-200"/>
    <x v="2"/>
  </r>
  <r>
    <n v="338"/>
    <x v="24"/>
    <s v="Nautilus Stainless Steel 40.5"/>
    <s v="Stainless Steel"/>
    <s v="Automatic"/>
    <n v="120"/>
    <n v="40.5"/>
    <n v="8.3000000000000007"/>
    <n v="20"/>
    <s v="Blue"/>
    <s v="Sapphire"/>
    <s v="Date, Chronograph"/>
    <n v="55"/>
    <n v="67000"/>
    <s v="100-200"/>
    <x v="2"/>
  </r>
  <r>
    <n v="339"/>
    <x v="24"/>
    <s v="Nautilus Stainless Steel 40.8"/>
    <s v="Stainless Steel"/>
    <s v="Automatic"/>
    <n v="120"/>
    <n v="40.799999999999997"/>
    <n v="8.3000000000000007"/>
    <n v="21"/>
    <s v="Blue"/>
    <s v="Sapphire"/>
    <s v="Date"/>
    <n v="45"/>
    <n v="62500"/>
    <s v="100-200"/>
    <x v="2"/>
  </r>
  <r>
    <n v="340"/>
    <x v="24"/>
    <s v="Nautilus Stainless Steel 40.8"/>
    <s v="Stainless Steel"/>
    <s v="Automatic"/>
    <n v="120"/>
    <n v="40.799999999999997"/>
    <n v="8.3000000000000007"/>
    <n v="20"/>
    <s v="Blue"/>
    <s v="Sapphire"/>
    <s v="Date"/>
    <n v="45"/>
    <n v="57000"/>
    <s v="100-200"/>
    <x v="2"/>
  </r>
  <r>
    <n v="341"/>
    <x v="24"/>
    <s v="Nautilus Stainless Steel 40.8"/>
    <s v="Stainless Steel"/>
    <s v="Automatic"/>
    <n v="120"/>
    <n v="40.799999999999997"/>
    <n v="8.3000000000000007"/>
    <n v="20"/>
    <s v="Blue"/>
    <s v="Sapphire"/>
    <s v="Date"/>
    <n v="45"/>
    <n v="52000"/>
    <s v="100-200"/>
    <x v="2"/>
  </r>
  <r>
    <n v="342"/>
    <x v="24"/>
    <s v="Nautilus Stainless Steel 40.8"/>
    <s v="Stainless Steel"/>
    <s v="Automatic"/>
    <n v="120"/>
    <n v="40.799999999999997"/>
    <n v="8.3000000000000007"/>
    <n v="21"/>
    <s v="Blue"/>
    <s v="Sapphire"/>
    <s v="Date"/>
    <n v="55"/>
    <n v="51000"/>
    <s v="100-200"/>
    <x v="2"/>
  </r>
  <r>
    <n v="343"/>
    <x v="24"/>
    <s v="Nautilus Stainless Steel 40.5"/>
    <s v="Stainless Steel"/>
    <s v="Automatic"/>
    <n v="120"/>
    <n v="40.5"/>
    <n v="8.3000000000000007"/>
    <n v="22"/>
    <s v="Blue"/>
    <s v="Sapphire"/>
    <s v="Date"/>
    <n v="45"/>
    <n v="51000"/>
    <s v="100-200"/>
    <x v="2"/>
  </r>
  <r>
    <n v="344"/>
    <x v="24"/>
    <s v="Nautilus Stainless Steel 40.5"/>
    <s v="Stainless Steel"/>
    <s v="Automatic"/>
    <n v="120"/>
    <n v="40.5"/>
    <n v="8.3000000000000007"/>
    <n v="20"/>
    <s v="Blue"/>
    <s v="Sapphire"/>
    <s v="Date"/>
    <n v="45"/>
    <n v="49800"/>
    <s v="100-200"/>
    <x v="2"/>
  </r>
  <r>
    <n v="345"/>
    <x v="24"/>
    <s v="Nautilus Stainless Steel 40.8"/>
    <s v="Stainless Steel"/>
    <s v="Automatic"/>
    <n v="120"/>
    <n v="40.799999999999997"/>
    <n v="8.3000000000000007"/>
    <n v="20"/>
    <s v="Blue"/>
    <s v="Sapphire"/>
    <s v="Date"/>
    <n v="45"/>
    <n v="47000"/>
    <s v="100-200"/>
    <x v="2"/>
  </r>
  <r>
    <n v="346"/>
    <x v="24"/>
    <s v="Nautilus Stainless Steel 40.8"/>
    <s v="Stainless Steel"/>
    <s v="Automatic"/>
    <n v="120"/>
    <n v="40.799999999999997"/>
    <n v="8.3000000000000007"/>
    <n v="20"/>
    <s v="Blue"/>
    <s v="Sapphire"/>
    <s v="Date, Moon Phase"/>
    <n v="48"/>
    <n v="44500"/>
    <s v="100-200"/>
    <x v="2"/>
  </r>
  <r>
    <n v="347"/>
    <x v="24"/>
    <s v="Nautilus Stainless Steel 40.5"/>
    <s v="Stainless Steel"/>
    <s v="Automatic"/>
    <n v="120"/>
    <n v="40.5"/>
    <n v="8.3000000000000007"/>
    <n v="20"/>
    <s v="Blue"/>
    <s v="Sapphire"/>
    <s v="Date"/>
    <n v="55"/>
    <n v="44000"/>
    <s v="100-200"/>
    <x v="2"/>
  </r>
  <r>
    <n v="348"/>
    <x v="24"/>
    <s v="Nautilus Stainless Steel 40.5"/>
    <s v="Stainless Steel"/>
    <s v="Automatic"/>
    <n v="120"/>
    <n v="40.5"/>
    <n v="8.3000000000000007"/>
    <n v="21"/>
    <s v="Blue"/>
    <s v="Sapphire"/>
    <s v="Date"/>
    <n v="45"/>
    <n v="40000"/>
    <s v="100-200"/>
    <x v="2"/>
  </r>
  <r>
    <n v="349"/>
    <x v="24"/>
    <s v="Nautilus Stainless Steel 40.5"/>
    <s v="Stainless Steel"/>
    <s v="Automatic"/>
    <n v="120"/>
    <n v="40.5"/>
    <n v="8.3000000000000007"/>
    <n v="20"/>
    <s v="Blue"/>
    <s v="Sapphire"/>
    <s v="Date"/>
    <n v="45"/>
    <n v="39000"/>
    <s v="100-200"/>
    <x v="0"/>
  </r>
  <r>
    <n v="350"/>
    <x v="24"/>
    <s v="Nautilus Stainless Steel 40.8"/>
    <s v="Stainless Steel"/>
    <s v="Automatic"/>
    <n v="120"/>
    <n v="40.799999999999997"/>
    <n v="8.3000000000000007"/>
    <n v="20"/>
    <s v="Blue"/>
    <s v="Sapphire"/>
    <s v="Date, Power Reserve, Moon Phase"/>
    <n v="45"/>
    <n v="38000"/>
    <s v="100-200"/>
    <x v="0"/>
  </r>
  <r>
    <n v="351"/>
    <x v="24"/>
    <s v="Nautilus Stainless Steel 40.8"/>
    <s v="Stainless Steel"/>
    <s v="Automatic"/>
    <n v="120"/>
    <n v="40.799999999999997"/>
    <n v="8.3000000000000007"/>
    <n v="20"/>
    <s v="Blue"/>
    <s v="Sapphire"/>
    <s v="Date"/>
    <n v="45"/>
    <n v="38000"/>
    <s v="100-200"/>
    <x v="0"/>
  </r>
  <r>
    <n v="352"/>
    <x v="24"/>
    <s v="Nautilus Stainless Steel 40"/>
    <s v="Stainless Steel"/>
    <s v="Automatic"/>
    <n v="120"/>
    <n v="40"/>
    <n v="8.3000000000000007"/>
    <n v="22"/>
    <s v="Blue"/>
    <s v="Sapphire"/>
    <s v="Date"/>
    <n v="45"/>
    <n v="36000"/>
    <s v="100-200"/>
    <x v="0"/>
  </r>
  <r>
    <n v="353"/>
    <x v="24"/>
    <s v="Nautilus Stainless Steel 40.5"/>
    <s v="Stainless Steel"/>
    <s v="Automatic"/>
    <n v="120"/>
    <n v="40.5"/>
    <n v="8.3000000000000007"/>
    <n v="20"/>
    <s v="Blue"/>
    <s v="Sapphire"/>
    <s v="Date"/>
    <n v="45"/>
    <n v="35000"/>
    <s v="100-200"/>
    <x v="0"/>
  </r>
  <r>
    <n v="354"/>
    <x v="24"/>
    <s v="Nautilus Stainless Steel 40.5"/>
    <s v="Stainless Steel"/>
    <s v="Automatic"/>
    <n v="120"/>
    <n v="40.5"/>
    <n v="8.3000000000000007"/>
    <n v="22"/>
    <s v="Blue"/>
    <s v="Sapphire"/>
    <s v="Date"/>
    <n v="45"/>
    <n v="34000"/>
    <s v="100-200"/>
    <x v="0"/>
  </r>
  <r>
    <n v="355"/>
    <x v="24"/>
    <s v="Nautilus Stainless Steel 40.5"/>
    <s v="Stainless Steel"/>
    <s v="Automatic"/>
    <n v="120"/>
    <n v="40.5"/>
    <n v="8.3000000000000007"/>
    <n v="22"/>
    <s v="Blue"/>
    <s v="Sapphire"/>
    <s v="Date"/>
    <n v="45"/>
    <n v="34000"/>
    <s v="100-200"/>
    <x v="0"/>
  </r>
  <r>
    <n v="356"/>
    <x v="24"/>
    <s v="Nautilus Stainless Steel 40.5"/>
    <s v="Stainless Steel"/>
    <s v="Automatic"/>
    <n v="120"/>
    <n v="40.5"/>
    <n v="8.3000000000000007"/>
    <n v="21"/>
    <s v="Blue"/>
    <s v="Sapphire"/>
    <s v="Date"/>
    <n v="45"/>
    <n v="34000"/>
    <s v="100-200"/>
    <x v="0"/>
  </r>
  <r>
    <n v="357"/>
    <x v="24"/>
    <s v="Nautilus Stainless Steel 40.5"/>
    <s v="Stainless Steel"/>
    <s v="Automatic"/>
    <n v="120"/>
    <n v="40.5"/>
    <n v="8.3000000000000007"/>
    <n v="20"/>
    <s v="Blue"/>
    <s v="Sapphire"/>
    <s v="Date"/>
    <n v="45"/>
    <n v="29800"/>
    <s v="100-200"/>
    <x v="0"/>
  </r>
  <r>
    <n v="358"/>
    <x v="24"/>
    <s v="Nautilus Stainless Steel 40.5"/>
    <s v="Stainless Steel"/>
    <s v="Automatic"/>
    <n v="120"/>
    <n v="40.5"/>
    <n v="8.3000000000000007"/>
    <n v="22"/>
    <s v="Blue"/>
    <s v="Sapphire"/>
    <s v="Date"/>
    <n v="45"/>
    <n v="29800"/>
    <s v="100-200"/>
    <x v="0"/>
  </r>
  <r>
    <n v="359"/>
    <x v="24"/>
    <s v="Nautilus Stainless Steel 40.5"/>
    <s v="Stainless Steel"/>
    <s v="Automatic"/>
    <n v="120"/>
    <n v="40.5"/>
    <n v="8.3000000000000007"/>
    <n v="21"/>
    <s v="Blue"/>
    <s v="Sapphire"/>
    <s v="Date"/>
    <n v="45"/>
    <n v="29800"/>
    <s v="100-200"/>
    <x v="0"/>
  </r>
  <r>
    <n v="360"/>
    <x v="24"/>
    <s v="Nautilus Stainless Steel 40.8"/>
    <s v="Stainless Steel"/>
    <s v="Automatic"/>
    <n v="120"/>
    <n v="40.799999999999997"/>
    <n v="8.3000000000000007"/>
    <n v="21"/>
    <s v="Blue"/>
    <s v="Sapphire"/>
    <s v="Date"/>
    <n v="55"/>
    <n v="29800"/>
    <s v="100-200"/>
    <x v="0"/>
  </r>
  <r>
    <n v="361"/>
    <x v="24"/>
    <s v="Nautilus Stainless Steel 40.5"/>
    <s v="Stainless Steel"/>
    <s v="Automatic"/>
    <n v="120"/>
    <n v="40.5"/>
    <n v="8.3000000000000007"/>
    <n v="22"/>
    <s v="Blue"/>
    <s v="Sapphire"/>
    <s v="Date"/>
    <n v="45"/>
    <n v="29000"/>
    <s v="100-200"/>
    <x v="0"/>
  </r>
  <r>
    <n v="362"/>
    <x v="24"/>
    <s v="Nautilus Stainless Steel 40"/>
    <s v="Stainless Steel"/>
    <s v="Automatic"/>
    <n v="120"/>
    <n v="40"/>
    <n v="8.3000000000000007"/>
    <n v="20"/>
    <s v="Blue"/>
    <s v="Sapphire"/>
    <s v="Date"/>
    <n v="45"/>
    <n v="26000"/>
    <s v="100-200"/>
    <x v="0"/>
  </r>
  <r>
    <n v="363"/>
    <x v="24"/>
    <s v="Calatrava White Gold 39"/>
    <s v="Leather"/>
    <s v="Automatic"/>
    <n v="30"/>
    <n v="39"/>
    <n v="8.25"/>
    <n v="20"/>
    <s v="Silver"/>
    <s v="Sapphire"/>
    <s v="None"/>
    <n v="48"/>
    <n v="25800"/>
    <s v="&lt;=100"/>
    <x v="0"/>
  </r>
  <r>
    <n v="364"/>
    <x v="24"/>
    <s v="Calatrava White Gold 37"/>
    <s v="Leather"/>
    <s v="Manual"/>
    <n v="30"/>
    <n v="37"/>
    <n v="7.7"/>
    <n v="20"/>
    <s v="White"/>
    <s v="Sapphire"/>
    <s v="None"/>
    <n v="44"/>
    <n v="25000"/>
    <s v="&lt;=100"/>
    <x v="0"/>
  </r>
  <r>
    <n v="365"/>
    <x v="24"/>
    <s v="Calatrava 18K White Gold 38"/>
    <s v="Leather"/>
    <s v="Manual"/>
    <n v="30"/>
    <n v="38"/>
    <n v="8.25"/>
    <n v="20"/>
    <s v="White"/>
    <s v="Sapphire"/>
    <s v="None"/>
    <n v="44"/>
    <n v="25000"/>
    <s v="&lt;=100"/>
    <x v="0"/>
  </r>
  <r>
    <n v="366"/>
    <x v="24"/>
    <s v="Calatrava White Gold 37"/>
    <s v="Leather"/>
    <s v="Automatic"/>
    <n v="30"/>
    <n v="37"/>
    <n v="8.5"/>
    <n v="18"/>
    <s v="White"/>
    <s v="Sapphire"/>
    <s v="Date"/>
    <n v="45"/>
    <n v="25000"/>
    <s v="&lt;=100"/>
    <x v="0"/>
  </r>
  <r>
    <n v="367"/>
    <x v="24"/>
    <s v="Calatrava 18k Rose Gold 38"/>
    <s v="Leather"/>
    <s v="Manual"/>
    <n v="30"/>
    <n v="38"/>
    <n v="7.68"/>
    <n v="19"/>
    <s v="White"/>
    <s v="Sapphire"/>
    <s v="None"/>
    <n v="44"/>
    <n v="22900"/>
    <s v="&lt;=100"/>
    <x v="0"/>
  </r>
  <r>
    <n v="368"/>
    <x v="24"/>
    <s v="Calatrava 18k White Gold 39"/>
    <s v="Leather"/>
    <s v="Automatic"/>
    <n v="30"/>
    <n v="39"/>
    <n v="8.6"/>
    <n v="20"/>
    <s v="Silver"/>
    <s v="Sapphire"/>
    <s v="Date"/>
    <n v="48"/>
    <n v="22000"/>
    <s v="&lt;=100"/>
    <x v="0"/>
  </r>
  <r>
    <n v="369"/>
    <x v="24"/>
    <s v="Calatrava Rose Gold 36"/>
    <s v="Leather"/>
    <s v="Manual"/>
    <n v="30"/>
    <n v="36"/>
    <n v="7.45"/>
    <n v="18"/>
    <s v="White"/>
    <s v="Sapphire"/>
    <s v="None"/>
    <n v="44"/>
    <n v="18000"/>
    <s v="&lt;=100"/>
    <x v="1"/>
  </r>
  <r>
    <n v="370"/>
    <x v="25"/>
    <s v="Altiplano White Gold 40"/>
    <s v="Leather"/>
    <s v="Manual"/>
    <n v="30"/>
    <n v="40"/>
    <n v="6.36"/>
    <n v="20"/>
    <s v="Silver"/>
    <s v="Sapphire"/>
    <s v="None"/>
    <n v="44"/>
    <n v="22000"/>
    <s v="&lt;=100"/>
    <x v="0"/>
  </r>
  <r>
    <n v="371"/>
    <x v="25"/>
    <s v="Altiplano 18k Rose Gold 38"/>
    <s v="Leather"/>
    <s v="Manual"/>
    <n v="30"/>
    <n v="38"/>
    <n v="6"/>
    <n v="20"/>
    <s v="White"/>
    <s v="Sapphire"/>
    <s v="None"/>
    <n v="43"/>
    <n v="20800"/>
    <s v="&lt;=100"/>
    <x v="0"/>
  </r>
  <r>
    <n v="372"/>
    <x v="25"/>
    <s v="Altiplano 18k White Gold 40"/>
    <s v="Leather"/>
    <s v="Manual"/>
    <n v="30"/>
    <n v="40"/>
    <n v="6.36"/>
    <n v="20"/>
    <s v="Silver"/>
    <s v="Sapphire"/>
    <s v="None"/>
    <n v="43"/>
    <n v="18500"/>
    <s v="&lt;=100"/>
    <x v="1"/>
  </r>
  <r>
    <n v="373"/>
    <x v="25"/>
    <s v="Altiplano White Gold 38"/>
    <s v="Leather"/>
    <s v="Manual"/>
    <n v="30"/>
    <n v="38"/>
    <n v="6.1"/>
    <n v="20"/>
    <s v="Silver"/>
    <s v="Sapphire"/>
    <s v="None"/>
    <n v="43"/>
    <n v="16500"/>
    <s v="&lt;=100"/>
    <x v="1"/>
  </r>
  <r>
    <n v="374"/>
    <x v="25"/>
    <s v="Polo Stainless Steel 42"/>
    <s v="Stainless Steel"/>
    <s v="Automatic"/>
    <n v="100"/>
    <n v="42"/>
    <n v="9.4"/>
    <n v="22"/>
    <s v="Blue"/>
    <s v="Sapphire"/>
    <s v="Date"/>
    <n v="44"/>
    <n v="10500"/>
    <s v="&lt;=100"/>
    <x v="1"/>
  </r>
  <r>
    <n v="375"/>
    <x v="25"/>
    <s v="Polo S Stainless Steel 42"/>
    <s v="Stainless Steel"/>
    <s v="Automatic"/>
    <n v="100"/>
    <n v="42"/>
    <n v="9.4"/>
    <n v="24"/>
    <s v="Blue"/>
    <s v="Sapphire"/>
    <s v="Date"/>
    <n v="50"/>
    <n v="10000"/>
    <s v="&lt;=100"/>
    <x v="4"/>
  </r>
  <r>
    <n v="376"/>
    <x v="26"/>
    <s v="True Thinline High-Tech Ceramic 39"/>
    <s v="Leather"/>
    <s v="Quartz"/>
    <n v="30"/>
    <n v="39"/>
    <n v="5"/>
    <n v="22"/>
    <s v="Black"/>
    <s v="Sapphire"/>
    <s v="None"/>
    <s v="N/A"/>
    <n v="1600"/>
    <s v="&lt;=100"/>
    <x v="6"/>
  </r>
  <r>
    <n v="377"/>
    <x v="27"/>
    <s v="Daytona Yellow Gold 40"/>
    <s v="Leather"/>
    <s v="Automatic"/>
    <n v="100"/>
    <n v="40"/>
    <n v="12.4"/>
    <n v="20"/>
    <s v="Ivory"/>
    <s v="Sapphire"/>
    <s v="Chronograph"/>
    <n v="72"/>
    <n v="39500"/>
    <s v="&lt;=100"/>
    <x v="0"/>
  </r>
  <r>
    <n v="378"/>
    <x v="27"/>
    <s v="Daytona 18k Yellow Gold 40"/>
    <s v="Leather"/>
    <s v="Automatic"/>
    <n v="100"/>
    <n v="40"/>
    <n v="12.4"/>
    <n v="20"/>
    <s v="Champagne"/>
    <s v="Sapphire"/>
    <s v="Chronograph"/>
    <n v="72"/>
    <n v="29500"/>
    <s v="&lt;=100"/>
    <x v="0"/>
  </r>
  <r>
    <n v="379"/>
    <x v="27"/>
    <s v="GMT-Master II Stainless Steel 40"/>
    <s v="Stainless Steel"/>
    <s v="Automatic"/>
    <n v="100"/>
    <n v="40"/>
    <n v="12.5"/>
    <n v="20"/>
    <s v="Black"/>
    <s v="Sapphire"/>
    <s v="GMT"/>
    <n v="48"/>
    <n v="14000"/>
    <s v="&lt;=100"/>
    <x v="1"/>
  </r>
  <r>
    <n v="380"/>
    <x v="27"/>
    <s v="Daytona Stainless Steel 40"/>
    <s v="Stainless Steel"/>
    <s v="Automatic"/>
    <n v="100"/>
    <n v="40"/>
    <n v="12.4"/>
    <n v="20"/>
    <s v="White"/>
    <s v="Sapphire"/>
    <s v="Chronograph"/>
    <n v="72"/>
    <n v="13500"/>
    <s v="&lt;=100"/>
    <x v="1"/>
  </r>
  <r>
    <n v="381"/>
    <x v="27"/>
    <s v="GMT-Master II Stainless Steel 40"/>
    <s v="Stainless Steel"/>
    <s v="Automatic"/>
    <n v="100"/>
    <n v="40"/>
    <n v="12.5"/>
    <n v="20"/>
    <s v="Black"/>
    <s v="Sapphire"/>
    <s v="GMT, Date"/>
    <n v="70"/>
    <n v="9950"/>
    <s v="&lt;=100"/>
    <x v="4"/>
  </r>
  <r>
    <n v="382"/>
    <x v="27"/>
    <s v="GMT-Master II Stainless Steel 40"/>
    <s v="Stainless Steel"/>
    <s v="Automatic"/>
    <n v="100"/>
    <n v="40"/>
    <n v="12.5"/>
    <n v="20"/>
    <s v="Black"/>
    <s v="Sapphire"/>
    <s v="GMT, Date"/>
    <n v="70"/>
    <n v="9900"/>
    <s v="&lt;=100"/>
    <x v="4"/>
  </r>
  <r>
    <n v="383"/>
    <x v="27"/>
    <s v="GMT-Master II Stainless Steel 40"/>
    <s v="Stainless Steel"/>
    <s v="Automatic"/>
    <n v="100"/>
    <n v="40"/>
    <n v="12.5"/>
    <n v="20"/>
    <s v="Black"/>
    <s v="Sapphire"/>
    <s v="Date, GMT"/>
    <n v="70"/>
    <n v="9700"/>
    <s v="&lt;=100"/>
    <x v="4"/>
  </r>
  <r>
    <n v="384"/>
    <x v="27"/>
    <s v="Submariner Stainless Steel 40"/>
    <s v="Stainless Steel"/>
    <s v="Automatic"/>
    <n v="300"/>
    <n v="40"/>
    <n v="13"/>
    <n v="20"/>
    <s v="Black"/>
    <s v="Sapphire"/>
    <s v="Date"/>
    <n v="48"/>
    <n v="9500"/>
    <s v="200-300"/>
    <x v="4"/>
  </r>
  <r>
    <n v="385"/>
    <x v="27"/>
    <s v="Submariner Stainless Steel 40"/>
    <s v="Stainless Steel"/>
    <s v="Automatic"/>
    <n v="300"/>
    <n v="40"/>
    <n v="13"/>
    <n v="20"/>
    <s v="Black"/>
    <s v="Sapphire"/>
    <s v="Date"/>
    <n v="48"/>
    <n v="9500"/>
    <s v="200-300"/>
    <x v="4"/>
  </r>
  <r>
    <n v="386"/>
    <x v="27"/>
    <s v="GMT-Master II Stainless Steel 40"/>
    <s v="Stainless Steel"/>
    <s v="Automatic"/>
    <n v="100"/>
    <n v="40"/>
    <n v="12.5"/>
    <n v="20"/>
    <s v="Black"/>
    <s v="Sapphire"/>
    <s v="GMT, Date"/>
    <n v="70"/>
    <n v="9500"/>
    <s v="&lt;=100"/>
    <x v="4"/>
  </r>
  <r>
    <n v="387"/>
    <x v="27"/>
    <s v="Datejust Stainless Steel 41"/>
    <s v="Jubilee Bracelet"/>
    <s v="Automatic"/>
    <n v="100"/>
    <n v="41"/>
    <n v="11.8"/>
    <n v="20"/>
    <s v="Blue"/>
    <s v="Sapphire"/>
    <s v="Date"/>
    <n v="70"/>
    <n v="9500"/>
    <s v="&lt;=100"/>
    <x v="4"/>
  </r>
  <r>
    <n v="388"/>
    <x v="27"/>
    <s v="GMT-Master II Stainless Steel 40"/>
    <s v="Stainless Steel"/>
    <s v="Automatic"/>
    <n v="100"/>
    <n v="40"/>
    <n v="12.5"/>
    <n v="20"/>
    <s v="Black"/>
    <s v="Sapphire"/>
    <s v="Dual Time Zone"/>
    <n v="70"/>
    <n v="9500"/>
    <s v="&lt;=100"/>
    <x v="4"/>
  </r>
  <r>
    <n v="389"/>
    <x v="27"/>
    <s v="GMT-Master II Stainless Steel 40"/>
    <s v="Stainless Steel"/>
    <s v="Automatic"/>
    <n v="100"/>
    <n v="40"/>
    <n v="12.1"/>
    <n v="20"/>
    <s v="Black"/>
    <s v="Sapphire"/>
    <s v="GMT, Date"/>
    <n v="70"/>
    <n v="9450"/>
    <s v="&lt;=100"/>
    <x v="4"/>
  </r>
  <r>
    <n v="390"/>
    <x v="27"/>
    <s v="GMT-Master II Stainless Steel 40"/>
    <s v="Stainless Steel"/>
    <s v="Automatic"/>
    <n v="100"/>
    <n v="40"/>
    <n v="12.4"/>
    <n v="20"/>
    <s v="Black"/>
    <s v="Sapphire"/>
    <s v="GMT, Date"/>
    <n v="70"/>
    <n v="9100"/>
    <s v="&lt;=100"/>
    <x v="4"/>
  </r>
  <r>
    <n v="391"/>
    <x v="27"/>
    <s v="Datejust Stainless Steel 36"/>
    <s v="Jubilee"/>
    <s v="Automatic"/>
    <n v="100"/>
    <n v="36"/>
    <n v="12"/>
    <n v="20"/>
    <s v="Silver"/>
    <s v="Sapphire"/>
    <s v="Date"/>
    <n v="70"/>
    <n v="9000"/>
    <s v="&lt;=100"/>
    <x v="4"/>
  </r>
  <r>
    <n v="392"/>
    <x v="27"/>
    <s v="Datejust Stainless Steel 41"/>
    <s v="Stainless Steel"/>
    <s v="Automatic"/>
    <n v="100"/>
    <n v="41"/>
    <n v="11.2"/>
    <n v="20"/>
    <s v="Silver"/>
    <s v="Sapphire"/>
    <s v="Date"/>
    <n v="70"/>
    <n v="8900"/>
    <s v="&lt;=100"/>
    <x v="4"/>
  </r>
  <r>
    <n v="393"/>
    <x v="27"/>
    <s v="Datejust Stainless Steel 36"/>
    <s v="Jubilee Bracelet"/>
    <s v="Automatic"/>
    <n v="100"/>
    <n v="36"/>
    <n v="12.5"/>
    <n v="20"/>
    <s v="Silver"/>
    <s v="Sapphire"/>
    <s v="Date"/>
    <n v="70"/>
    <n v="8900"/>
    <s v="&lt;=100"/>
    <x v="4"/>
  </r>
  <r>
    <n v="394"/>
    <x v="27"/>
    <s v="Datejust Stainless Steel 41"/>
    <s v="Stainless Steel"/>
    <s v="Automatic"/>
    <n v="100"/>
    <n v="41"/>
    <n v="11.8"/>
    <n v="20"/>
    <s v="Black"/>
    <s v="Sapphire"/>
    <s v="Date"/>
    <n v="70"/>
    <n v="8200"/>
    <s v="&lt;=100"/>
    <x v="4"/>
  </r>
  <r>
    <n v="395"/>
    <x v="27"/>
    <s v="Datejust Stainless Steel 36"/>
    <s v="Stainless Steel"/>
    <s v="Automatic"/>
    <n v="100"/>
    <n v="36"/>
    <n v="12"/>
    <n v="20"/>
    <s v="Black"/>
    <s v="Sapphire"/>
    <s v="Date"/>
    <n v="70"/>
    <n v="8100"/>
    <s v="&lt;=100"/>
    <x v="4"/>
  </r>
  <r>
    <n v="396"/>
    <x v="27"/>
    <s v="Datejust Stainless Steel 36"/>
    <s v="Jubilee"/>
    <s v="Automatic"/>
    <n v="100"/>
    <n v="36"/>
    <n v="12.5"/>
    <n v="20"/>
    <s v="Black"/>
    <s v="Sapphire"/>
    <s v="Date"/>
    <n v="70"/>
    <n v="8000"/>
    <s v="&lt;=100"/>
    <x v="4"/>
  </r>
  <r>
    <n v="397"/>
    <x v="27"/>
    <s v="Datejust Stainless Steel 36"/>
    <s v="Stainless Steel"/>
    <s v="Automatic"/>
    <n v="100"/>
    <n v="36"/>
    <n v="12.5"/>
    <n v="20"/>
    <s v="Silver"/>
    <s v="Sapphire"/>
    <s v="Date, Cyclops Lens"/>
    <n v="70"/>
    <n v="8000"/>
    <s v="&lt;=100"/>
    <x v="4"/>
  </r>
  <r>
    <n v="398"/>
    <x v="27"/>
    <s v="Datejust Stainless Steel 41"/>
    <s v="Stainless Steel"/>
    <s v="Automatic"/>
    <n v="100"/>
    <n v="41"/>
    <n v="11.7"/>
    <n v="20"/>
    <s v="White"/>
    <s v="Sapphire"/>
    <s v="Date"/>
    <n v="70"/>
    <n v="8000"/>
    <s v="&lt;=100"/>
    <x v="4"/>
  </r>
  <r>
    <n v="399"/>
    <x v="27"/>
    <s v="Datejust Stainless Steel 41"/>
    <s v="Stainless Steel"/>
    <s v="Automatic"/>
    <n v="100"/>
    <n v="41"/>
    <n v="11.8"/>
    <n v="21"/>
    <s v="Blue"/>
    <s v="Sapphire"/>
    <s v="Date"/>
    <n v="70"/>
    <n v="7800"/>
    <s v="&lt;=100"/>
    <x v="4"/>
  </r>
  <r>
    <n v="400"/>
    <x v="27"/>
    <s v="Datejust Stainless Steel 36"/>
    <s v="Jubilee Bracelet"/>
    <s v="Automatic"/>
    <n v="100"/>
    <n v="36"/>
    <n v="12"/>
    <n v="20"/>
    <s v="Blue"/>
    <s v="Sapphire"/>
    <s v="Date"/>
    <n v="70"/>
    <n v="7650"/>
    <s v="&lt;=100"/>
    <x v="4"/>
  </r>
  <r>
    <n v="401"/>
    <x v="27"/>
    <s v="Datejust Stainless Steel 36"/>
    <s v="Stainless Steel"/>
    <s v="Automatic"/>
    <n v="100"/>
    <n v="36"/>
    <n v="12"/>
    <n v="20"/>
    <s v="Silver"/>
    <s v="Sapphire"/>
    <s v="Date"/>
    <n v="70"/>
    <n v="7500"/>
    <s v="&lt;=100"/>
    <x v="4"/>
  </r>
  <r>
    <n v="402"/>
    <x v="27"/>
    <s v="Datejust Stainless Steel 36"/>
    <s v="Stainless Steel"/>
    <s v="Automatic"/>
    <n v="100"/>
    <n v="36"/>
    <n v="12.5"/>
    <n v="20"/>
    <s v="Blue"/>
    <s v="Sapphire"/>
    <s v="Date, Cyclops"/>
    <n v="70"/>
    <n v="7400"/>
    <s v="&lt;=100"/>
    <x v="4"/>
  </r>
  <r>
    <n v="403"/>
    <x v="27"/>
    <s v="Datejust Stainless Steel 36"/>
    <s v="Stainless Steel"/>
    <s v="Automatic"/>
    <n v="100"/>
    <n v="36"/>
    <n v="12.5"/>
    <n v="20"/>
    <s v="Black"/>
    <s v="Sapphire"/>
    <s v="Date"/>
    <n v="70"/>
    <n v="6500"/>
    <s v="&lt;=100"/>
    <x v="4"/>
  </r>
  <r>
    <n v="404"/>
    <x v="28"/>
    <s v="Prospex Stainless Steel 44.3"/>
    <s v="Rubber"/>
    <s v="Automatic"/>
    <n v="200"/>
    <n v="44.3"/>
    <n v="12.9"/>
    <n v="20"/>
    <s v="Black"/>
    <s v="Sapphire"/>
    <s v="Date"/>
    <n v="50"/>
    <n v="1400"/>
    <s v="100-200"/>
    <x v="6"/>
  </r>
  <r>
    <n v="405"/>
    <x v="28"/>
    <s v="Prospex Stainless Steel 43"/>
    <s v="Silicone"/>
    <s v="Automatic"/>
    <n v="200"/>
    <n v="43"/>
    <n v="13.2"/>
    <n v="22"/>
    <s v="Blue"/>
    <s v="Hardlex"/>
    <s v="Date"/>
    <n v="50"/>
    <n v="1300"/>
    <s v="100-200"/>
    <x v="6"/>
  </r>
  <r>
    <n v="406"/>
    <x v="28"/>
    <s v="Prospex Stainless Steel 44.3"/>
    <s v="Silicone"/>
    <s v="Automatic"/>
    <n v="200"/>
    <n v="44.3"/>
    <n v="12.7"/>
    <n v="20"/>
    <s v="Blue"/>
    <s v="Sapphire"/>
    <s v="Day/Date"/>
    <n v="41"/>
    <n v="1200"/>
    <s v="100-200"/>
    <x v="6"/>
  </r>
  <r>
    <n v="407"/>
    <x v="28"/>
    <s v="Prospex Stainless Steel 44.3"/>
    <s v="Silicone"/>
    <s v="Automatic"/>
    <n v="200"/>
    <n v="44.3"/>
    <n v="13.1"/>
    <n v="22"/>
    <s v="Black"/>
    <s v="Hardlex"/>
    <s v="Date, GMT"/>
    <n v="50"/>
    <n v="1200"/>
    <s v="100-200"/>
    <x v="6"/>
  </r>
  <r>
    <n v="408"/>
    <x v="28"/>
    <s v="Prospex Stainless Steel 42.3"/>
    <s v="Silicone"/>
    <s v="Automatic"/>
    <n v="200"/>
    <n v="42.3"/>
    <n v="13.4"/>
    <n v="22"/>
    <s v="Blue"/>
    <s v="Hardlex"/>
    <s v="None"/>
    <n v="50"/>
    <n v="650"/>
    <s v="100-200"/>
    <x v="5"/>
  </r>
  <r>
    <n v="409"/>
    <x v="29"/>
    <s v="U50 German Submarine Steel 45"/>
    <s v="Silicone"/>
    <s v="Automatic"/>
    <n v="500"/>
    <n v="45"/>
    <n v="14.7"/>
    <n v="22"/>
    <s v="Black"/>
    <s v="Sapphire"/>
    <s v="None"/>
    <n v="38"/>
    <n v="3350"/>
    <s v="300-500"/>
    <x v="3"/>
  </r>
  <r>
    <n v="410"/>
    <x v="29"/>
    <s v="U1 Stainless Steel 44"/>
    <s v="Rubber"/>
    <s v="Automatic"/>
    <n v="1000"/>
    <n v="44"/>
    <n v="14.3"/>
    <n v="22"/>
    <s v="Black"/>
    <s v="Sapphire"/>
    <s v="None"/>
    <n v="38"/>
    <n v="2500"/>
    <s v="1000+"/>
    <x v="3"/>
  </r>
  <r>
    <n v="411"/>
    <x v="29"/>
    <s v="104 Stainless Steel 41"/>
    <s v="Leather"/>
    <s v="Automatic"/>
    <n v="200"/>
    <n v="41"/>
    <n v="11.5"/>
    <n v="20"/>
    <s v="Black"/>
    <s v="Sapphire"/>
    <s v="Date"/>
    <n v="42"/>
    <n v="1400"/>
    <s v="100-200"/>
    <x v="6"/>
  </r>
  <r>
    <n v="412"/>
    <x v="30"/>
    <s v="Monaco Stainless Steel 39"/>
    <s v="Leather"/>
    <s v="Automatic"/>
    <n v="100"/>
    <n v="39"/>
    <n v="14"/>
    <n v="22"/>
    <s v="Blue"/>
    <s v="Sapphire"/>
    <s v="Chronograph"/>
    <n v="42"/>
    <n v="6550"/>
    <s v="&lt;=100"/>
    <x v="4"/>
  </r>
  <r>
    <n v="413"/>
    <x v="30"/>
    <s v="Monaco Stainless Steel 39"/>
    <s v="Leather"/>
    <s v="Automatic"/>
    <n v="100"/>
    <n v="39"/>
    <n v="14.5"/>
    <n v="22"/>
    <s v="Blue"/>
    <s v="Sapphire"/>
    <s v="Chronograph"/>
    <n v="42"/>
    <n v="5900"/>
    <s v="&lt;=100"/>
    <x v="4"/>
  </r>
  <r>
    <n v="414"/>
    <x v="30"/>
    <s v="Monaco Stainless Steel 39"/>
    <s v="Leather"/>
    <s v="Automatic"/>
    <n v="100"/>
    <n v="39"/>
    <n v="14.5"/>
    <n v="22"/>
    <s v="Blue"/>
    <s v="Sapphire"/>
    <s v="Chronograph"/>
    <n v="40"/>
    <n v="5200"/>
    <s v="&lt;=100"/>
    <x v="4"/>
  </r>
  <r>
    <n v="415"/>
    <x v="30"/>
    <s v="Monaco Stainless Steel 39"/>
    <s v="Leather"/>
    <s v="Automatic"/>
    <n v="100"/>
    <n v="39"/>
    <n v="14"/>
    <n v="22"/>
    <s v="Blue"/>
    <s v="Sapphire"/>
    <s v="Chronograph"/>
    <n v="40"/>
    <n v="4950"/>
    <s v="&lt;=100"/>
    <x v="3"/>
  </r>
  <r>
    <n v="416"/>
    <x v="30"/>
    <s v="Carrera Stainless Steel 41"/>
    <s v="Leather"/>
    <s v="Automatic"/>
    <n v="100"/>
    <n v="41"/>
    <n v="13"/>
    <n v="20"/>
    <s v="White"/>
    <s v="Sapphire"/>
    <s v="Chronograph"/>
    <n v="42"/>
    <n v="4200"/>
    <s v="&lt;=100"/>
    <x v="3"/>
  </r>
  <r>
    <n v="417"/>
    <x v="30"/>
    <s v="Carrera Stainless Steel 41"/>
    <s v="Leather"/>
    <s v="Automatic"/>
    <n v="100"/>
    <n v="41"/>
    <n v="13"/>
    <n v="20"/>
    <s v="White"/>
    <s v="Sapphire"/>
    <s v="Chronograph"/>
    <n v="42"/>
    <n v="4200"/>
    <s v="&lt;=100"/>
    <x v="3"/>
  </r>
  <r>
    <n v="418"/>
    <x v="30"/>
    <s v="Aquaracer Stainless Steel 43"/>
    <s v="Stainless Steel"/>
    <s v="Automatic"/>
    <n v="300"/>
    <n v="43"/>
    <n v="13"/>
    <n v="21"/>
    <s v="Blue"/>
    <s v="Sapphire"/>
    <s v="Date"/>
    <n v="38"/>
    <n v="3700"/>
    <s v="200-300"/>
    <x v="3"/>
  </r>
  <r>
    <n v="419"/>
    <x v="30"/>
    <s v="Aquaracer Stainless Steel 43"/>
    <s v="Stainless Steel"/>
    <s v="Automatic"/>
    <n v="300"/>
    <n v="43"/>
    <n v="12.5"/>
    <n v="21"/>
    <s v="Black"/>
    <s v="Sapphire"/>
    <s v="Date"/>
    <n v="38"/>
    <n v="3100"/>
    <s v="200-300"/>
    <x v="3"/>
  </r>
  <r>
    <n v="420"/>
    <x v="30"/>
    <s v="Aquaracer Stainless Steel 41"/>
    <s v="Stainless Steel"/>
    <s v="Automatic"/>
    <n v="300"/>
    <n v="41"/>
    <n v="12"/>
    <n v="20"/>
    <s v="Blue"/>
    <s v="Sapphire"/>
    <s v="Date"/>
    <n v="38"/>
    <n v="2800"/>
    <s v="200-300"/>
    <x v="3"/>
  </r>
  <r>
    <n v="421"/>
    <x v="30"/>
    <s v="Aquaracer Stainless Steel 41"/>
    <s v="Stainless Steel"/>
    <s v="Automatic"/>
    <n v="300"/>
    <n v="41"/>
    <n v="12.5"/>
    <n v="20"/>
    <s v="Black"/>
    <s v="Sapphire"/>
    <s v="Date"/>
    <n v="38"/>
    <n v="2700"/>
    <s v="200-300"/>
    <x v="3"/>
  </r>
  <r>
    <n v="422"/>
    <x v="30"/>
    <s v="Aquaracer Stainless Steel 43"/>
    <s v="Stainless Steel"/>
    <s v="Quartz"/>
    <n v="300"/>
    <n v="43"/>
    <n v="10.8"/>
    <n v="21"/>
    <s v="Blue"/>
    <s v="Sapphire"/>
    <s v="Date"/>
    <s v="N/A"/>
    <n v="2600"/>
    <s v="200-300"/>
    <x v="3"/>
  </r>
  <r>
    <n v="423"/>
    <x v="30"/>
    <s v="Aquaracer Stainless Steel 43"/>
    <s v="Stainless Steel"/>
    <s v="Quartz"/>
    <n v="300"/>
    <n v="43"/>
    <n v="10.8"/>
    <n v="20"/>
    <s v="Blue"/>
    <s v="Sapphire"/>
    <s v="None"/>
    <s v="N/A"/>
    <n v="1800"/>
    <s v="200-300"/>
    <x v="6"/>
  </r>
  <r>
    <n v="424"/>
    <x v="30"/>
    <s v="Aquaracer Stainless Steel 32"/>
    <s v="Stainless Steel"/>
    <s v="Quartz"/>
    <n v="300"/>
    <n v="32"/>
    <n v="9.5"/>
    <n v="15"/>
    <s v="Blue"/>
    <s v="Sapphire"/>
    <s v="None"/>
    <s v="N/A"/>
    <n v="1700"/>
    <s v="200-300"/>
    <x v="6"/>
  </r>
  <r>
    <n v="425"/>
    <x v="31"/>
    <s v="Le Locle Stainless Steel 39.3"/>
    <s v="Leather"/>
    <s v="Automatic"/>
    <n v="30"/>
    <n v="39.299999999999997"/>
    <n v="9.75"/>
    <n v="19"/>
    <s v="White"/>
    <s v="Sapphire"/>
    <s v="Date"/>
    <n v="38"/>
    <n v="650"/>
    <s v="&lt;=100"/>
    <x v="5"/>
  </r>
  <r>
    <n v="426"/>
    <x v="31"/>
    <s v="Le Locle Stainless Steel 39.3"/>
    <s v="Leather"/>
    <s v="Automatic"/>
    <n v="30"/>
    <n v="39.299999999999997"/>
    <n v="9.75"/>
    <n v="20"/>
    <s v="Silver"/>
    <s v="Sapphire"/>
    <s v="Date"/>
    <n v="38"/>
    <n v="650"/>
    <s v="&lt;=100"/>
    <x v="5"/>
  </r>
  <r>
    <n v="427"/>
    <x v="32"/>
    <s v="Black Bay Stainless Steel 41"/>
    <s v="Fabric"/>
    <s v="Automatic"/>
    <n v="200"/>
    <n v="41"/>
    <n v="12.7"/>
    <n v="22"/>
    <s v="Black"/>
    <s v="Sapphire"/>
    <s v="None"/>
    <n v="70"/>
    <n v="4500"/>
    <s v="100-200"/>
    <x v="3"/>
  </r>
  <r>
    <n v="428"/>
    <x v="32"/>
    <s v="Black Bay GMT Stainless Steel 41"/>
    <s v="Stainless Steel"/>
    <s v="Automatic"/>
    <n v="200"/>
    <n v="41"/>
    <n v="14.5"/>
    <n v="22"/>
    <s v="Black"/>
    <s v="Sapphire"/>
    <s v="GMT"/>
    <n v="70"/>
    <n v="4500"/>
    <s v="100-200"/>
    <x v="3"/>
  </r>
  <r>
    <n v="429"/>
    <x v="32"/>
    <s v="Black Bay Stainless Steel 41"/>
    <s v="Fabric"/>
    <s v="Automatic"/>
    <n v="200"/>
    <n v="41"/>
    <n v="11.9"/>
    <n v="22"/>
    <s v="Black"/>
    <s v="Sapphire"/>
    <s v="Date"/>
    <n v="70"/>
    <n v="4100"/>
    <s v="100-200"/>
    <x v="3"/>
  </r>
  <r>
    <n v="430"/>
    <x v="32"/>
    <s v="Black Bay GMT Stainless Steel 41"/>
    <s v="Stainless Steel"/>
    <s v="Automatic"/>
    <n v="200"/>
    <n v="41"/>
    <n v="14.5"/>
    <n v="22"/>
    <s v="Black"/>
    <s v="Sapphire"/>
    <s v="GMT"/>
    <n v="70"/>
    <n v="4000"/>
    <s v="100-200"/>
    <x v="3"/>
  </r>
  <r>
    <n v="431"/>
    <x v="32"/>
    <s v="Black Bay Stainless Steel 41"/>
    <s v="Leather"/>
    <s v="Automatic"/>
    <n v="200"/>
    <n v="41"/>
    <n v="12.7"/>
    <n v="22"/>
    <s v="Black"/>
    <s v="Sapphire"/>
    <s v="Date"/>
    <n v="70"/>
    <n v="3900"/>
    <s v="100-200"/>
    <x v="3"/>
  </r>
  <r>
    <n v="432"/>
    <x v="32"/>
    <s v="Black Bay Stainless Steel 41"/>
    <s v="Leather"/>
    <s v="Automatic"/>
    <n v="200"/>
    <n v="41"/>
    <n v="12.7"/>
    <n v="22"/>
    <s v="Black"/>
    <s v="Sapphire"/>
    <s v="Date"/>
    <n v="70"/>
    <n v="3800"/>
    <s v="100-200"/>
    <x v="3"/>
  </r>
  <r>
    <n v="433"/>
    <x v="32"/>
    <s v="Black Bay Stainless Steel 41"/>
    <s v="Leather"/>
    <s v="Automatic"/>
    <n v="200"/>
    <n v="41"/>
    <n v="14.75"/>
    <n v="22"/>
    <s v="Black"/>
    <s v="Sapphire"/>
    <s v="None"/>
    <n v="70"/>
    <n v="3800"/>
    <s v="100-200"/>
    <x v="3"/>
  </r>
  <r>
    <n v="434"/>
    <x v="32"/>
    <s v="Black Bay Stainless Steel 41"/>
    <s v="Leather"/>
    <s v="Automatic"/>
    <n v="200"/>
    <n v="41"/>
    <n v="12.7"/>
    <n v="22"/>
    <s v="Black"/>
    <s v="Sapphire"/>
    <s v="Date"/>
    <n v="70"/>
    <n v="3800"/>
    <s v="100-200"/>
    <x v="3"/>
  </r>
  <r>
    <n v="435"/>
    <x v="32"/>
    <s v="Black Bay Stainless Steel 41"/>
    <s v="Leather"/>
    <s v="Automatic"/>
    <n v="200"/>
    <n v="41"/>
    <n v="14.75"/>
    <n v="22"/>
    <s v="Black"/>
    <s v="Sapphire"/>
    <s v="None"/>
    <n v="70"/>
    <n v="3800"/>
    <s v="100-200"/>
    <x v="3"/>
  </r>
  <r>
    <n v="436"/>
    <x v="32"/>
    <s v="Black Bay Stainless Steel 41"/>
    <s v="Leather"/>
    <s v="Automatic"/>
    <n v="200"/>
    <n v="41"/>
    <n v="12.7"/>
    <n v="22"/>
    <s v="Black"/>
    <s v="Sapphire"/>
    <s v="Date"/>
    <n v="70"/>
    <n v="3600"/>
    <s v="100-200"/>
    <x v="3"/>
  </r>
  <r>
    <n v="437"/>
    <x v="32"/>
    <s v="Black Bay Stainless Steel 41"/>
    <s v="Leather"/>
    <s v="Automatic"/>
    <n v="200"/>
    <n v="41"/>
    <n v="11.9"/>
    <n v="22"/>
    <s v="Black"/>
    <s v="Sapphire"/>
    <s v="None"/>
    <n v="70"/>
    <n v="3500"/>
    <s v="100-200"/>
    <x v="3"/>
  </r>
  <r>
    <n v="438"/>
    <x v="32"/>
    <s v="Black Bay Stainless Steel 41"/>
    <s v="Leather"/>
    <s v="Automatic"/>
    <n v="200"/>
    <n v="41"/>
    <n v="12.75"/>
    <n v="22"/>
    <s v="Black"/>
    <s v="Sapphire"/>
    <s v="Date"/>
    <n v="70"/>
    <n v="3500"/>
    <s v="100-200"/>
    <x v="3"/>
  </r>
  <r>
    <n v="439"/>
    <x v="32"/>
    <s v="Black Bay Stainless Steel 41"/>
    <s v="Leather"/>
    <s v="Automatic"/>
    <n v="200"/>
    <n v="41"/>
    <n v="12.7"/>
    <n v="22"/>
    <s v="Black"/>
    <s v="Sapphire"/>
    <s v="None"/>
    <n v="70"/>
    <n v="3500"/>
    <s v="100-200"/>
    <x v="3"/>
  </r>
  <r>
    <n v="440"/>
    <x v="32"/>
    <s v="Black Bay Stainless Steel 41"/>
    <s v="NATO Strap"/>
    <s v="Automatic"/>
    <n v="200"/>
    <n v="41"/>
    <n v="11.9"/>
    <n v="22"/>
    <s v="Black"/>
    <s v="Sapphire"/>
    <s v="None"/>
    <n v="70"/>
    <n v="3500"/>
    <s v="100-200"/>
    <x v="3"/>
  </r>
  <r>
    <n v="441"/>
    <x v="33"/>
    <s v="Marine Stainless Steel 44"/>
    <s v="Rubber"/>
    <s v="Automatic"/>
    <n v="100"/>
    <n v="44"/>
    <n v="12.5"/>
    <n v="22"/>
    <s v="Blue"/>
    <s v="Sapphire"/>
    <s v="Date"/>
    <n v="60"/>
    <n v="9500"/>
    <s v="&lt;=100"/>
    <x v="4"/>
  </r>
  <r>
    <n v="442"/>
    <x v="33"/>
    <s v="Marine Stainless Steel 44"/>
    <s v="Rubber"/>
    <s v="Automatic"/>
    <n v="300"/>
    <n v="44"/>
    <n v="12.5"/>
    <n v="22"/>
    <s v="Black"/>
    <s v="Sapphire"/>
    <s v="Date"/>
    <n v="60"/>
    <n v="9500"/>
    <s v="200-300"/>
    <x v="4"/>
  </r>
  <r>
    <n v="443"/>
    <x v="33"/>
    <s v="Marine Titanium 44"/>
    <s v="Rubber"/>
    <s v="Automatic"/>
    <n v="300"/>
    <n v="44"/>
    <n v="14.5"/>
    <n v="22"/>
    <s v="Blue"/>
    <s v="Sapphire"/>
    <s v="Date"/>
    <n v="60"/>
    <n v="9500"/>
    <s v="200-300"/>
    <x v="4"/>
  </r>
  <r>
    <n v="444"/>
    <x v="33"/>
    <s v="Marine Stainless Steel 42.2"/>
    <s v="Rubber"/>
    <s v="Automatic"/>
    <n v="100"/>
    <n v="42.2"/>
    <n v="12.6"/>
    <n v="22"/>
    <s v="Blue"/>
    <s v="Sapphire"/>
    <s v="Date"/>
    <n v="60"/>
    <n v="8900"/>
    <s v="&lt;=100"/>
    <x v="4"/>
  </r>
  <r>
    <n v="445"/>
    <x v="33"/>
    <s v="Marine Stainless Steel 42"/>
    <s v="Rubber"/>
    <s v="Automatic"/>
    <n v="100"/>
    <n v="42"/>
    <n v="12.8"/>
    <n v="22"/>
    <s v="Blue"/>
    <s v="Sapphire"/>
    <s v="Date"/>
    <n v="60"/>
    <n v="8500"/>
    <s v="&lt;=100"/>
    <x v="4"/>
  </r>
  <r>
    <n v="446"/>
    <x v="33"/>
    <s v="Marine Stainless Steel 42.2"/>
    <s v="Leather"/>
    <s v="Automatic"/>
    <n v="100"/>
    <n v="42.2"/>
    <n v="14.2"/>
    <n v="22"/>
    <s v="Blue"/>
    <s v="Sapphire"/>
    <s v="Date"/>
    <n v="60"/>
    <n v="8400"/>
    <s v="&lt;=100"/>
    <x v="4"/>
  </r>
  <r>
    <n v="447"/>
    <x v="33"/>
    <s v="Marine Torpilleur Stainless Steel 42"/>
    <s v="Leather"/>
    <s v="Automatic"/>
    <n v="50"/>
    <n v="42"/>
    <n v="11.15"/>
    <n v="20"/>
    <s v="Blue"/>
    <s v="Sapphire"/>
    <s v="Date"/>
    <n v="60"/>
    <n v="7900"/>
    <s v="&lt;=100"/>
    <x v="4"/>
  </r>
  <r>
    <n v="448"/>
    <x v="33"/>
    <s v="Marine Stainless Steel 44"/>
    <s v="Rubber"/>
    <s v="Automatic"/>
    <n v="100"/>
    <n v="44"/>
    <n v="14.4"/>
    <n v="22"/>
    <s v="Blue"/>
    <s v="Sapphire"/>
    <s v="Date, Power Reserve"/>
    <n v="60"/>
    <n v="7500"/>
    <s v="&lt;=100"/>
    <x v="4"/>
  </r>
  <r>
    <n v="449"/>
    <x v="33"/>
    <s v="Marine Stainless Steel 42.2"/>
    <s v="Leather"/>
    <s v="Automatic"/>
    <n v="100"/>
    <n v="42.2"/>
    <n v="12.6"/>
    <n v="20"/>
    <s v="Blue"/>
    <s v="Sapphire"/>
    <s v="Date"/>
    <n v="60"/>
    <n v="7500"/>
    <s v="&lt;=100"/>
    <x v="4"/>
  </r>
  <r>
    <n v="450"/>
    <x v="33"/>
    <s v="Marine Stainless Steel 43"/>
    <s v="Rubber"/>
    <s v="Automatic"/>
    <n v="100"/>
    <n v="43"/>
    <n v="12.6"/>
    <n v="22"/>
    <s v="Blue"/>
    <s v="Sapphire"/>
    <s v="Date"/>
    <n v="60"/>
    <n v="7000"/>
    <s v="&lt;=100"/>
    <x v="4"/>
  </r>
  <r>
    <n v="451"/>
    <x v="34"/>
    <s v="Patrimony White Gold 40"/>
    <s v="Leather"/>
    <s v="Manual"/>
    <n v="30"/>
    <n v="40"/>
    <n v="6.79"/>
    <n v="20"/>
    <s v="Silver"/>
    <s v="Sapphire"/>
    <s v="None"/>
    <n v="65"/>
    <n v="28000"/>
    <s v="&lt;=100"/>
    <x v="0"/>
  </r>
  <r>
    <n v="452"/>
    <x v="34"/>
    <s v="Overseas Stainless Steel 41"/>
    <s v="Stainless Steel"/>
    <s v="Automatic"/>
    <n v="150"/>
    <n v="41"/>
    <n v="11"/>
    <n v="22"/>
    <s v="Blue"/>
    <s v="Sapphire"/>
    <s v="Date, World Time"/>
    <n v="60"/>
    <n v="23000"/>
    <s v="100-200"/>
    <x v="0"/>
  </r>
  <r>
    <n v="453"/>
    <x v="34"/>
    <s v="Patrimony 18k Rose Gold 42"/>
    <s v="Leather"/>
    <s v="Manual"/>
    <n v="30"/>
    <n v="42"/>
    <n v="7.65"/>
    <n v="20"/>
    <s v="Silver"/>
    <s v="Sapphire"/>
    <s v="None"/>
    <n v="65"/>
    <n v="22500"/>
    <s v="&lt;=100"/>
    <x v="0"/>
  </r>
  <r>
    <n v="454"/>
    <x v="34"/>
    <s v="Overseas Stainless Steel 41"/>
    <s v="Rubber"/>
    <s v="Automatic"/>
    <n v="150"/>
    <n v="41"/>
    <n v="11"/>
    <n v="21"/>
    <s v="Blue"/>
    <s v="Sapphire"/>
    <s v="Date"/>
    <n v="60"/>
    <n v="22000"/>
    <s v="100-200"/>
    <x v="0"/>
  </r>
  <r>
    <n v="455"/>
    <x v="34"/>
    <s v="Overseas Stainless Steel 41"/>
    <s v="Stainless Steel"/>
    <s v="Automatic"/>
    <n v="150"/>
    <n v="41"/>
    <n v="11"/>
    <n v="20"/>
    <s v="Silver"/>
    <s v="Sapphire"/>
    <s v="Date"/>
    <n v="60"/>
    <n v="21500"/>
    <s v="100-200"/>
    <x v="0"/>
  </r>
  <r>
    <n v="456"/>
    <x v="34"/>
    <s v="Overseas Stainless Steel 41"/>
    <s v="Stainless Steel"/>
    <s v="Automatic"/>
    <n v="150"/>
    <n v="41"/>
    <n v="11"/>
    <n v="22"/>
    <s v="Silver"/>
    <s v="Sapphire"/>
    <s v="Date"/>
    <n v="60"/>
    <n v="21500"/>
    <s v="100-200"/>
    <x v="0"/>
  </r>
  <r>
    <n v="457"/>
    <x v="34"/>
    <s v="Overseas Stainless Steel 41"/>
    <s v="Stainless Steel"/>
    <s v="Automatic"/>
    <n v="150"/>
    <n v="41"/>
    <n v="11"/>
    <n v="22"/>
    <s v="Blue"/>
    <s v="Sapphire"/>
    <s v="Date, Power Reserve"/>
    <n v="40"/>
    <n v="21000"/>
    <s v="100-200"/>
    <x v="0"/>
  </r>
  <r>
    <n v="458"/>
    <x v="34"/>
    <s v="Overseas Stainless Steel 41.5"/>
    <s v="Stainless Steel"/>
    <s v="Automatic"/>
    <n v="150"/>
    <n v="41.5"/>
    <n v="11"/>
    <n v="22"/>
    <s v="Blue"/>
    <s v="Sapphire"/>
    <s v="Date"/>
    <n v="60"/>
    <n v="21000"/>
    <s v="100-200"/>
    <x v="0"/>
  </r>
  <r>
    <n v="459"/>
    <x v="34"/>
    <s v="Overseas Stainless Steel 41"/>
    <s v="Stainless Steel"/>
    <s v="Automatic"/>
    <n v="150"/>
    <n v="41"/>
    <n v="11"/>
    <n v="20"/>
    <s v="Black"/>
    <s v="Sapphire"/>
    <s v="Date, World Time"/>
    <n v="60"/>
    <n v="20200"/>
    <s v="100-200"/>
    <x v="0"/>
  </r>
  <r>
    <n v="460"/>
    <x v="34"/>
    <s v="Overseas Stainless Steel 41.5"/>
    <s v="Stainless Steel"/>
    <s v="Automatic"/>
    <n v="150"/>
    <n v="41.5"/>
    <n v="11"/>
    <n v="22"/>
    <s v="Silver"/>
    <s v="Sapphire"/>
    <s v="Date"/>
    <n v="60"/>
    <n v="20000"/>
    <s v="100-200"/>
    <x v="1"/>
  </r>
  <r>
    <n v="461"/>
    <x v="34"/>
    <s v="Overseas Stainless Steel 42.5"/>
    <s v="Rubber"/>
    <s v="Automatic"/>
    <n v="150"/>
    <n v="42.5"/>
    <n v="13.7"/>
    <n v="22"/>
    <s v="Blue"/>
    <s v="Sapphire"/>
    <s v="Date"/>
    <n v="40"/>
    <n v="20000"/>
    <s v="100-200"/>
    <x v="1"/>
  </r>
  <r>
    <n v="462"/>
    <x v="34"/>
    <s v="Overseas Stainless Steel 41"/>
    <s v="Rubber"/>
    <s v="Automatic"/>
    <n v="150"/>
    <n v="41"/>
    <n v="11"/>
    <n v="22"/>
    <s v="Blue"/>
    <s v="Sapphire"/>
    <s v="Date"/>
    <n v="40"/>
    <n v="19800"/>
    <s v="100-200"/>
    <x v="1"/>
  </r>
  <r>
    <n v="463"/>
    <x v="34"/>
    <s v="Overseas Stainless Steel 41.5"/>
    <s v="Rubber"/>
    <s v="Automatic"/>
    <n v="150"/>
    <n v="41.5"/>
    <n v="11"/>
    <n v="21"/>
    <s v="Silver"/>
    <s v="Sapphire"/>
    <s v="Date"/>
    <n v="40"/>
    <n v="19500"/>
    <s v="100-200"/>
    <x v="1"/>
  </r>
  <r>
    <n v="464"/>
    <x v="34"/>
    <s v="Overseas Stainless Steel 41"/>
    <s v="Stainless Steel"/>
    <s v="Automatic"/>
    <n v="150"/>
    <n v="41"/>
    <n v="11"/>
    <n v="20"/>
    <s v="Black"/>
    <s v="Sapphire"/>
    <s v="Date"/>
    <n v="60"/>
    <n v="19200"/>
    <s v="100-200"/>
    <x v="1"/>
  </r>
  <r>
    <n v="465"/>
    <x v="34"/>
    <s v="Overseas Stainless Steel 41"/>
    <s v="Rubber"/>
    <s v="Automatic"/>
    <n v="150"/>
    <n v="41"/>
    <n v="11"/>
    <n v="22"/>
    <s v="Blue"/>
    <s v="Sapphire"/>
    <s v="Date"/>
    <n v="40"/>
    <n v="19000"/>
    <s v="100-200"/>
    <x v="1"/>
  </r>
  <r>
    <n v="466"/>
    <x v="34"/>
    <s v="Overseas Stainless Steel 41.5"/>
    <s v="Stainless Steel"/>
    <s v="Automatic"/>
    <n v="150"/>
    <n v="41.5"/>
    <n v="11"/>
    <n v="22"/>
    <s v="Blue"/>
    <s v="Sapphire"/>
    <s v="Date"/>
    <n v="40"/>
    <n v="19000"/>
    <s v="100-200"/>
    <x v="1"/>
  </r>
  <r>
    <n v="467"/>
    <x v="34"/>
    <s v="Overseas Stainless Steel 41.5"/>
    <s v="Rubber"/>
    <s v="Automatic"/>
    <n v="150"/>
    <n v="41.5"/>
    <n v="11"/>
    <n v="22"/>
    <s v="Blue"/>
    <s v="Sapphire"/>
    <s v="Date"/>
    <n v="40"/>
    <n v="18900"/>
    <s v="100-200"/>
    <x v="1"/>
  </r>
  <r>
    <n v="468"/>
    <x v="34"/>
    <s v="Patrimony 18K White Gold 40"/>
    <s v="Leather"/>
    <s v="Manual"/>
    <n v="30"/>
    <n v="40"/>
    <n v="6.79"/>
    <n v="20"/>
    <s v="Silver"/>
    <s v="Sapphire"/>
    <s v="None"/>
    <n v="65"/>
    <n v="18500"/>
    <s v="&lt;=100"/>
    <x v="1"/>
  </r>
  <r>
    <n v="469"/>
    <x v="34"/>
    <s v="Overseas Stainless Steel 41"/>
    <s v="Stainless Steel"/>
    <s v="Automatic"/>
    <n v="50"/>
    <n v="41"/>
    <n v="11"/>
    <n v="22"/>
    <s v="Blue"/>
    <s v="Sapphire"/>
    <s v="Date"/>
    <n v="40"/>
    <n v="18000"/>
    <s v="&lt;=100"/>
    <x v="1"/>
  </r>
  <r>
    <n v="470"/>
    <x v="34"/>
    <s v="Overseas Stainless Steel 41"/>
    <s v="Rubber"/>
    <s v="Automatic"/>
    <n v="150"/>
    <n v="41"/>
    <n v="11"/>
    <n v="21"/>
    <s v="Blue"/>
    <s v="Sapphire"/>
    <s v="Date"/>
    <n v="60"/>
    <n v="17500"/>
    <s v="100-200"/>
    <x v="1"/>
  </r>
  <r>
    <n v="471"/>
    <x v="34"/>
    <s v="Overseas Stainless Steel 41"/>
    <s v="Stainless Steel"/>
    <s v="Automatic"/>
    <n v="150"/>
    <n v="41"/>
    <n v="11"/>
    <n v="22"/>
    <s v="Blue"/>
    <s v="Sapphire"/>
    <s v="Date"/>
    <n v="60"/>
    <n v="16300"/>
    <s v="100-200"/>
    <x v="1"/>
  </r>
  <r>
    <n v="472"/>
    <x v="34"/>
    <s v="Overseas Stainless Steel 41"/>
    <s v="Stainless Steel"/>
    <s v="Automatic"/>
    <n v="50"/>
    <n v="41"/>
    <n v="11"/>
    <n v="20"/>
    <s v="Blue"/>
    <s v="Sapphire"/>
    <s v="Date, Second Time Zone"/>
    <n v="60"/>
    <n v="15500"/>
    <s v="&lt;=100"/>
    <x v="1"/>
  </r>
  <r>
    <n v="473"/>
    <x v="34"/>
    <s v="Overseas Stainless Steel 41"/>
    <s v="Stainless Steel"/>
    <s v="Automatic"/>
    <n v="150"/>
    <n v="41"/>
    <n v="11"/>
    <n v="22"/>
    <s v="Blue"/>
    <s v="Sapphire"/>
    <s v="Date"/>
    <n v="60"/>
    <n v="15000"/>
    <s v="100-200"/>
    <x v="1"/>
  </r>
  <r>
    <n v="474"/>
    <x v="34"/>
    <s v="Patrimony Rose Gold 40"/>
    <s v="Leather"/>
    <s v="Automatic"/>
    <n v="30"/>
    <n v="40"/>
    <n v="6.79"/>
    <n v="20"/>
    <s v="White"/>
    <s v="Sapphire"/>
    <s v="None"/>
    <n v="40"/>
    <n v="15000"/>
    <s v="&lt;=100"/>
    <x v="1"/>
  </r>
  <r>
    <n v="475"/>
    <x v="34"/>
    <s v="Overseas Stainless Steel 41"/>
    <s v="Rubber"/>
    <s v="Automatic"/>
    <n v="150"/>
    <n v="41"/>
    <n v="11"/>
    <n v="22"/>
    <s v="Blue"/>
    <s v="Sapphire"/>
    <s v="Date"/>
    <n v="40"/>
    <n v="12000"/>
    <s v="100-200"/>
    <x v="1"/>
  </r>
  <r>
    <n v="476"/>
    <x v="35"/>
    <s v="Defy Titanium 41"/>
    <s v="Rubber"/>
    <s v="Automatic"/>
    <n v="100"/>
    <n v="41"/>
    <n v="10.75"/>
    <n v="22"/>
    <s v="Blue"/>
    <s v="Sapphire"/>
    <s v="Chronograph"/>
    <n v="50"/>
    <n v="9500"/>
    <s v="&lt;=100"/>
    <x v="4"/>
  </r>
  <r>
    <n v="477"/>
    <x v="35"/>
    <s v="Chronomaster Stainless Steel 42"/>
    <s v="Leather"/>
    <s v="Automatic"/>
    <n v="100"/>
    <n v="42"/>
    <n v="13.1"/>
    <n v="22"/>
    <s v="Silver"/>
    <s v="Sapphire"/>
    <s v="Chronograph"/>
    <n v="50"/>
    <n v="9400"/>
    <s v="&lt;=100"/>
    <x v="4"/>
  </r>
  <r>
    <n v="478"/>
    <x v="35"/>
    <s v="El Primero Stainless Steel 42"/>
    <s v="Leather"/>
    <s v="Automatic"/>
    <n v="100"/>
    <n v="42"/>
    <n v="12.75"/>
    <n v="20"/>
    <s v="White"/>
    <s v="Sapphire"/>
    <s v="Chronograph, Date"/>
    <n v="50"/>
    <n v="7900"/>
    <s v="&lt;=100"/>
    <x v="4"/>
  </r>
  <r>
    <n v="479"/>
    <x v="35"/>
    <s v="El Primero Stainless Steel 38"/>
    <s v="Leather"/>
    <s v="Automatic"/>
    <n v="100"/>
    <n v="38"/>
    <n v="12.15"/>
    <n v="19"/>
    <s v="Silver"/>
    <s v="Sapphire"/>
    <s v="Chronograph"/>
    <n v="50"/>
    <n v="7500"/>
    <s v="&lt;=100"/>
    <x v="4"/>
  </r>
  <r>
    <n v="480"/>
    <x v="35"/>
    <s v="Chronomaster Stainless Steel 38"/>
    <s v="Leather"/>
    <s v="Automatic"/>
    <n v="50"/>
    <n v="38"/>
    <n v="12.6"/>
    <n v="20"/>
    <s v="Silver"/>
    <s v="Sapphire"/>
    <s v="Chronograph"/>
    <n v="50"/>
    <n v="7500"/>
    <s v="&lt;=100"/>
    <x v="4"/>
  </r>
  <r>
    <n v="481"/>
    <x v="35"/>
    <s v="El Primero Stainless Steel 42"/>
    <s v="Leather"/>
    <s v="Automatic"/>
    <n v="100"/>
    <n v="42"/>
    <n v="12.75"/>
    <n v="20"/>
    <s v="Black"/>
    <s v="Sapphire"/>
    <s v="Chronograph"/>
    <n v="50"/>
    <n v="7500"/>
    <s v="&lt;=100"/>
    <x v="4"/>
  </r>
  <r>
    <n v="482"/>
    <x v="35"/>
    <s v="El Primero Stainless Steel 42"/>
    <s v="Leather"/>
    <s v="Automatic"/>
    <n v="100"/>
    <n v="42"/>
    <n v="12.75"/>
    <n v="20"/>
    <s v="White"/>
    <s v="Sapphire"/>
    <s v="Date, Chronograph, Moon Phase"/>
    <n v="50"/>
    <n v="7500"/>
    <s v="&lt;=100"/>
    <x v="4"/>
  </r>
  <r>
    <n v="483"/>
    <x v="35"/>
    <s v="El Primero Stainless Steel 42"/>
    <s v="Leather"/>
    <s v="Automatic"/>
    <n v="100"/>
    <n v="42"/>
    <n v="12.75"/>
    <n v="22"/>
    <s v="Silver"/>
    <s v="Sapphire"/>
    <s v="Chronograph"/>
    <n v="50"/>
    <n v="7500"/>
    <s v="&lt;=100"/>
    <x v="4"/>
  </r>
  <r>
    <n v="484"/>
    <x v="35"/>
    <s v="Chronomaster Stainless Steel 42"/>
    <s v="Leather"/>
    <s v="Automatic"/>
    <n v="50"/>
    <n v="42"/>
    <n v="14.05"/>
    <n v="22"/>
    <s v="Silver"/>
    <s v="Sapphire"/>
    <s v="Chronograph"/>
    <n v="50"/>
    <n v="7400"/>
    <s v="&lt;=100"/>
    <x v="4"/>
  </r>
  <r>
    <n v="485"/>
    <x v="35"/>
    <s v="El Primero Stainless Steel 42"/>
    <s v="Stainless Steel"/>
    <s v="Automatic"/>
    <n v="100"/>
    <n v="42"/>
    <n v="12.75"/>
    <n v="20"/>
    <s v="Blue"/>
    <s v="Sapphire"/>
    <s v="Chronograph"/>
    <n v="50"/>
    <n v="7000"/>
    <s v="&lt;=100"/>
    <x v="4"/>
  </r>
  <r>
    <n v="486"/>
    <x v="35"/>
    <s v="El Primero Stainless Steel 38"/>
    <s v="Leather"/>
    <s v="Automatic"/>
    <n v="100"/>
    <n v="38"/>
    <n v="12.5"/>
    <n v="20"/>
    <s v="Silver"/>
    <s v="Sapphire"/>
    <s v="Chronograph"/>
    <n v="50"/>
    <n v="7000"/>
    <s v="&lt;=100"/>
    <x v="4"/>
  </r>
  <r>
    <n v="487"/>
    <x v="35"/>
    <s v="Chronomaster Stainless Steel 42"/>
    <s v="Leather"/>
    <s v="Automatic"/>
    <n v="50"/>
    <n v="42"/>
    <n v="14.05"/>
    <n v="22"/>
    <s v="Silver"/>
    <s v="Sapphire"/>
    <s v="Chronograph, Date"/>
    <n v="50"/>
    <n v="6900"/>
    <s v="&lt;=100"/>
    <x v="4"/>
  </r>
  <r>
    <n v="488"/>
    <x v="35"/>
    <s v="El Primero Stainless Steel 38"/>
    <s v="Leather"/>
    <s v="Automatic"/>
    <n v="100"/>
    <n v="38"/>
    <n v="12.45"/>
    <n v="19"/>
    <s v="White"/>
    <s v="Sapphire"/>
    <s v="Chronograph"/>
    <n v="50"/>
    <n v="6900"/>
    <s v="&lt;=100"/>
    <x v="4"/>
  </r>
  <r>
    <n v="489"/>
    <x v="35"/>
    <s v="El Primero Stainless Steel 42"/>
    <s v="Stainless Steel"/>
    <s v="Automatic"/>
    <n v="100"/>
    <n v="42"/>
    <n v="12.75"/>
    <n v="20"/>
    <s v="Blue"/>
    <s v="Sapphire"/>
    <s v="Chronograph"/>
    <n v="50"/>
    <n v="6900"/>
    <s v="&lt;=100"/>
    <x v="4"/>
  </r>
  <r>
    <n v="490"/>
    <x v="35"/>
    <s v="El Primero Stainless Steel 42"/>
    <s v="Alligator"/>
    <s v="Automatic"/>
    <n v="100"/>
    <n v="42"/>
    <n v="12.75"/>
    <n v="20"/>
    <s v="Silver"/>
    <s v="Sapphire"/>
    <s v="Chronograph"/>
    <n v="50"/>
    <n v="6500"/>
    <s v="&lt;=100"/>
    <x v="4"/>
  </r>
  <r>
    <n v="491"/>
    <x v="35"/>
    <s v="El Primero Stainless Steel 42"/>
    <s v="Leather"/>
    <s v="Automatic"/>
    <n v="100"/>
    <n v="42"/>
    <n v="12.75"/>
    <n v="22"/>
    <s v="Black"/>
    <s v="Sapphire"/>
    <s v="Chronograph"/>
    <n v="50"/>
    <n v="6500"/>
    <s v="&lt;=100"/>
    <x v="4"/>
  </r>
  <r>
    <n v="492"/>
    <x v="35"/>
    <s v="El Primero Stainless Steel 42"/>
    <s v="Leather"/>
    <s v="Automatic"/>
    <n v="100"/>
    <n v="42"/>
    <n v="12.75"/>
    <n v="20"/>
    <s v="Black"/>
    <s v="Sapphire"/>
    <s v="Chronograph"/>
    <n v="50"/>
    <n v="6500"/>
    <s v="&lt;=100"/>
    <x v="4"/>
  </r>
  <r>
    <n v="493"/>
    <x v="35"/>
    <s v="El Primero Stainless Steel 42"/>
    <s v="Leather"/>
    <s v="Automatic"/>
    <n v="100"/>
    <n v="42"/>
    <n v="12.75"/>
    <n v="20"/>
    <s v="Black"/>
    <s v="Sapphire"/>
    <s v="Chronograph"/>
    <n v="50"/>
    <n v="6500"/>
    <s v="&lt;=100"/>
    <x v="4"/>
  </r>
  <r>
    <n v="494"/>
    <x v="35"/>
    <s v="Chronomaster Stainless Steel 42"/>
    <s v="Leather"/>
    <s v="Automatic"/>
    <n v="50"/>
    <n v="42"/>
    <n v="13.5"/>
    <n v="22"/>
    <s v="Blue"/>
    <s v="Sapphire"/>
    <s v="Chronograph"/>
    <n v="50"/>
    <n v="6500"/>
    <s v="&lt;=100"/>
    <x v="4"/>
  </r>
  <r>
    <n v="495"/>
    <x v="35"/>
    <s v="El Primero Stainless Steel 38"/>
    <s v="Leather"/>
    <s v="Automatic"/>
    <n v="100"/>
    <n v="38"/>
    <n v="12.45"/>
    <n v="20"/>
    <s v="Silver"/>
    <s v="Sapphire"/>
    <s v="Chronograph"/>
    <n v="50"/>
    <n v="6200"/>
    <s v="&lt;=100"/>
    <x v="4"/>
  </r>
  <r>
    <n v="496"/>
    <x v="35"/>
    <s v="El Primero Stainless Steel 42"/>
    <s v="Leather"/>
    <s v="Automatic"/>
    <n v="100"/>
    <n v="42"/>
    <n v="12.75"/>
    <n v="20"/>
    <s v="Silver"/>
    <s v="Sapphire"/>
    <s v="Chronograph"/>
    <n v="50"/>
    <n v="6000"/>
    <s v="&lt;=100"/>
    <x v="4"/>
  </r>
  <r>
    <n v="497"/>
    <x v="35"/>
    <s v="El Primero Stainless Steel 38"/>
    <s v="Leather"/>
    <s v="Automatic"/>
    <n v="100"/>
    <n v="38"/>
    <n v="12.4"/>
    <n v="19"/>
    <s v="White"/>
    <s v="Sapphire"/>
    <s v="Chronograph"/>
    <n v="50"/>
    <n v="6000"/>
    <s v="&lt;=100"/>
    <x v="4"/>
  </r>
  <r>
    <n v="498"/>
    <x v="35"/>
    <s v="Chronomaster Stainless Steel 42"/>
    <s v="Leather"/>
    <s v="Automatic"/>
    <n v="100"/>
    <n v="42"/>
    <n v="14.05"/>
    <n v="20"/>
    <s v="Silver"/>
    <s v="Sapphire"/>
    <s v="Date, Chronograph"/>
    <n v="50"/>
    <n v="6000"/>
    <s v="&lt;=100"/>
    <x v="4"/>
  </r>
  <r>
    <n v="499"/>
    <x v="35"/>
    <s v="Chronomaster El Primero Stainless Steel 38"/>
    <s v="Leather"/>
    <s v="Automatic"/>
    <n v="100"/>
    <n v="38"/>
    <n v="12.45"/>
    <n v="20"/>
    <s v="Silver"/>
    <s v="Sapphire"/>
    <s v="Chronograph"/>
    <n v="50"/>
    <n v="6000"/>
    <s v="&lt;=100"/>
    <x v="4"/>
  </r>
  <r>
    <n v="500"/>
    <x v="35"/>
    <s v="El Primero Stainless Steel 38"/>
    <s v="Leather"/>
    <s v="Automatic"/>
    <n v="100"/>
    <n v="38"/>
    <n v="12.45"/>
    <n v="20"/>
    <s v="White"/>
    <s v="Sapphire"/>
    <s v="Date, Chronograph"/>
    <n v="50"/>
    <n v="5600"/>
    <s v="&lt;=100"/>
    <x v="4"/>
  </r>
  <r>
    <n v="501"/>
    <x v="35"/>
    <s v="El Primero Stainless Steel 38"/>
    <s v="Leather"/>
    <s v="Automatic"/>
    <n v="100"/>
    <n v="38"/>
    <n v="12.75"/>
    <n v="20"/>
    <s v="White"/>
    <s v="Sapphire"/>
    <s v="Chronograph"/>
    <n v="50"/>
    <n v="5500"/>
    <s v="&lt;=100"/>
    <x v="4"/>
  </r>
  <r>
    <n v="502"/>
    <x v="35"/>
    <s v="Elite Stainless Steel 40.5"/>
    <s v="Leather"/>
    <s v="Automatic"/>
    <n v="50"/>
    <n v="40.5"/>
    <n v="8.15"/>
    <n v="22"/>
    <s v="White"/>
    <s v="Sapphire"/>
    <s v="Date"/>
    <n v="50"/>
    <n v="5500"/>
    <s v="&lt;=100"/>
    <x v="4"/>
  </r>
  <r>
    <n v="503"/>
    <x v="35"/>
    <s v="El Primero Stainless Steel 42"/>
    <s v="Leather"/>
    <s v="Automatic"/>
    <n v="100"/>
    <n v="42"/>
    <n v="12.75"/>
    <n v="22"/>
    <s v="Black"/>
    <s v="Sapphire"/>
    <s v="Chronograph"/>
    <n v="50"/>
    <n v="5500"/>
    <s v="&lt;=100"/>
    <x v="4"/>
  </r>
  <r>
    <n v="504"/>
    <x v="35"/>
    <s v="Elite Classic Stainless Steel 39"/>
    <s v="Leather"/>
    <s v="Automatic"/>
    <n v="50"/>
    <n v="39"/>
    <n v="8.15"/>
    <n v="20"/>
    <s v="Silver"/>
    <s v="Sapphire"/>
    <s v="Date"/>
    <n v="50"/>
    <n v="4900"/>
    <s v="&lt;=100"/>
    <x v="3"/>
  </r>
  <r>
    <n v="505"/>
    <x v="35"/>
    <s v="Elite Stainless Steel 40.5"/>
    <s v="Leather"/>
    <s v="Automatic"/>
    <n v="50"/>
    <n v="40.5"/>
    <n v="9.15"/>
    <n v="20"/>
    <s v="Silver"/>
    <s v="Sapphire"/>
    <s v="None"/>
    <n v="50"/>
    <n v="4500"/>
    <s v="&lt;=100"/>
    <x v="3"/>
  </r>
  <r>
    <m/>
    <x v="36"/>
    <m/>
    <m/>
    <m/>
    <m/>
    <m/>
    <m/>
    <m/>
    <m/>
    <m/>
    <m/>
    <m/>
    <m/>
    <m/>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5">
  <r>
    <n v="1"/>
    <x v="0"/>
    <x v="0"/>
    <s v="Leather"/>
    <x v="0"/>
    <x v="0"/>
    <n v="38.5"/>
    <n v="7.8"/>
    <n v="18"/>
    <s v="Silver"/>
    <x v="0"/>
    <s v="None"/>
    <x v="0"/>
    <x v="0"/>
    <x v="0"/>
    <x v="0"/>
  </r>
  <r>
    <n v="2"/>
    <x v="0"/>
    <x v="1"/>
    <s v="Leather"/>
    <x v="0"/>
    <x v="0"/>
    <n v="38.5"/>
    <n v="7.8"/>
    <n v="18"/>
    <s v="Silver"/>
    <x v="0"/>
    <s v="None"/>
    <x v="1"/>
    <x v="1"/>
    <x v="0"/>
    <x v="0"/>
  </r>
  <r>
    <n v="3"/>
    <x v="0"/>
    <x v="2"/>
    <s v="Leather"/>
    <x v="0"/>
    <x v="0"/>
    <n v="37"/>
    <n v="7.5"/>
    <n v="18"/>
    <s v="Silver"/>
    <x v="0"/>
    <s v="None"/>
    <x v="0"/>
    <x v="2"/>
    <x v="0"/>
    <x v="1"/>
  </r>
  <r>
    <n v="4"/>
    <x v="1"/>
    <x v="3"/>
    <s v="Rose Gold"/>
    <x v="1"/>
    <x v="1"/>
    <n v="41"/>
    <n v="9.8000000000000007"/>
    <n v="20"/>
    <s v="Blue"/>
    <x v="0"/>
    <s v="Date"/>
    <x v="2"/>
    <x v="3"/>
    <x v="0"/>
    <x v="2"/>
  </r>
  <r>
    <n v="5"/>
    <x v="1"/>
    <x v="4"/>
    <s v="Leather"/>
    <x v="1"/>
    <x v="1"/>
    <n v="37"/>
    <n v="9.8000000000000007"/>
    <n v="20"/>
    <s v="Black"/>
    <x v="0"/>
    <s v="Date"/>
    <x v="2"/>
    <x v="4"/>
    <x v="0"/>
    <x v="0"/>
  </r>
  <r>
    <n v="6"/>
    <x v="1"/>
    <x v="4"/>
    <s v="Rose Gold"/>
    <x v="1"/>
    <x v="1"/>
    <n v="37"/>
    <n v="9.8000000000000007"/>
    <n v="18"/>
    <s v="Blue"/>
    <x v="0"/>
    <s v="None"/>
    <x v="2"/>
    <x v="5"/>
    <x v="0"/>
    <x v="0"/>
  </r>
  <r>
    <n v="7"/>
    <x v="1"/>
    <x v="5"/>
    <s v="Stainless Steel"/>
    <x v="1"/>
    <x v="1"/>
    <n v="41"/>
    <n v="10.4"/>
    <n v="20"/>
    <s v="Blue"/>
    <x v="0"/>
    <s v="Date"/>
    <x v="2"/>
    <x v="6"/>
    <x v="0"/>
    <x v="0"/>
  </r>
  <r>
    <n v="8"/>
    <x v="1"/>
    <x v="5"/>
    <s v="Stainless Steel"/>
    <x v="1"/>
    <x v="1"/>
    <n v="41"/>
    <n v="10.4"/>
    <n v="20"/>
    <s v="Blue"/>
    <x v="0"/>
    <s v="Date"/>
    <x v="2"/>
    <x v="6"/>
    <x v="0"/>
    <x v="0"/>
  </r>
  <r>
    <n v="9"/>
    <x v="1"/>
    <x v="5"/>
    <s v="Stainless Steel"/>
    <x v="1"/>
    <x v="1"/>
    <n v="41"/>
    <n v="10.4"/>
    <n v="20"/>
    <s v="Blue"/>
    <x v="0"/>
    <s v="Date"/>
    <x v="2"/>
    <x v="7"/>
    <x v="0"/>
    <x v="0"/>
  </r>
  <r>
    <n v="10"/>
    <x v="1"/>
    <x v="5"/>
    <s v="Stainless Steel"/>
    <x v="1"/>
    <x v="1"/>
    <n v="41"/>
    <n v="10.4"/>
    <n v="20"/>
    <s v="Blue"/>
    <x v="0"/>
    <s v="Date"/>
    <x v="2"/>
    <x v="8"/>
    <x v="0"/>
    <x v="0"/>
  </r>
  <r>
    <n v="11"/>
    <x v="1"/>
    <x v="5"/>
    <s v="Stainless Steel"/>
    <x v="1"/>
    <x v="1"/>
    <n v="41"/>
    <n v="9.8000000000000007"/>
    <n v="20"/>
    <s v="Blue"/>
    <x v="0"/>
    <s v="Date"/>
    <x v="2"/>
    <x v="9"/>
    <x v="0"/>
    <x v="0"/>
  </r>
  <r>
    <n v="12"/>
    <x v="1"/>
    <x v="5"/>
    <s v="Stainless Steel"/>
    <x v="1"/>
    <x v="1"/>
    <n v="41"/>
    <n v="10.4"/>
    <n v="20"/>
    <s v="Blue"/>
    <x v="0"/>
    <s v="Date, Stopwatch"/>
    <x v="2"/>
    <x v="9"/>
    <x v="0"/>
    <x v="0"/>
  </r>
  <r>
    <n v="13"/>
    <x v="1"/>
    <x v="5"/>
    <s v="Stainless Steel"/>
    <x v="1"/>
    <x v="1"/>
    <n v="41"/>
    <n v="9.8000000000000007"/>
    <n v="20"/>
    <s v="Blue"/>
    <x v="0"/>
    <s v="Date, Power Reserve"/>
    <x v="2"/>
    <x v="9"/>
    <x v="0"/>
    <x v="0"/>
  </r>
  <r>
    <n v="14"/>
    <x v="1"/>
    <x v="5"/>
    <s v="Stainless Steel"/>
    <x v="1"/>
    <x v="1"/>
    <n v="41"/>
    <n v="10.4"/>
    <n v="20"/>
    <s v="Blue"/>
    <x v="0"/>
    <s v="Date"/>
    <x v="2"/>
    <x v="10"/>
    <x v="0"/>
    <x v="0"/>
  </r>
  <r>
    <n v="15"/>
    <x v="1"/>
    <x v="5"/>
    <s v="Stainless Steel"/>
    <x v="1"/>
    <x v="1"/>
    <n v="41"/>
    <n v="9.8000000000000007"/>
    <n v="20"/>
    <s v="Blue"/>
    <x v="0"/>
    <s v="Date"/>
    <x v="2"/>
    <x v="11"/>
    <x v="0"/>
    <x v="0"/>
  </r>
  <r>
    <n v="16"/>
    <x v="1"/>
    <x v="5"/>
    <s v="Stainless Steel"/>
    <x v="1"/>
    <x v="1"/>
    <n v="41"/>
    <n v="9.8000000000000007"/>
    <n v="20"/>
    <s v="Blue"/>
    <x v="0"/>
    <s v="Date"/>
    <x v="2"/>
    <x v="11"/>
    <x v="0"/>
    <x v="0"/>
  </r>
  <r>
    <n v="17"/>
    <x v="1"/>
    <x v="5"/>
    <s v="Stainless Steel"/>
    <x v="1"/>
    <x v="1"/>
    <n v="41"/>
    <n v="10.4"/>
    <n v="20"/>
    <s v="Black"/>
    <x v="0"/>
    <s v="Date"/>
    <x v="2"/>
    <x v="12"/>
    <x v="0"/>
    <x v="0"/>
  </r>
  <r>
    <n v="18"/>
    <x v="1"/>
    <x v="5"/>
    <s v="Stainless Steel"/>
    <x v="1"/>
    <x v="1"/>
    <n v="41"/>
    <n v="9.8000000000000007"/>
    <n v="20"/>
    <s v="Black"/>
    <x v="0"/>
    <s v="Date"/>
    <x v="2"/>
    <x v="13"/>
    <x v="0"/>
    <x v="0"/>
  </r>
  <r>
    <n v="19"/>
    <x v="1"/>
    <x v="5"/>
    <s v="Stainless Steel"/>
    <x v="1"/>
    <x v="1"/>
    <n v="41"/>
    <n v="9.8000000000000007"/>
    <n v="20"/>
    <s v="Black"/>
    <x v="0"/>
    <s v="Date"/>
    <x v="2"/>
    <x v="14"/>
    <x v="0"/>
    <x v="0"/>
  </r>
  <r>
    <n v="20"/>
    <x v="1"/>
    <x v="5"/>
    <s v="Stainless Steel"/>
    <x v="1"/>
    <x v="1"/>
    <n v="41"/>
    <n v="9.8000000000000007"/>
    <n v="20"/>
    <s v="Blue"/>
    <x v="0"/>
    <s v="Date, Chronograph"/>
    <x v="3"/>
    <x v="15"/>
    <x v="0"/>
    <x v="0"/>
  </r>
  <r>
    <n v="21"/>
    <x v="1"/>
    <x v="5"/>
    <s v="Stainless Steel"/>
    <x v="1"/>
    <x v="1"/>
    <n v="41"/>
    <n v="9.8000000000000007"/>
    <n v="20"/>
    <s v="Silver"/>
    <x v="0"/>
    <s v="Date"/>
    <x v="2"/>
    <x v="16"/>
    <x v="0"/>
    <x v="0"/>
  </r>
  <r>
    <n v="22"/>
    <x v="1"/>
    <x v="5"/>
    <s v="Stainless Steel"/>
    <x v="1"/>
    <x v="1"/>
    <n v="41"/>
    <n v="9.8000000000000007"/>
    <n v="20"/>
    <s v="Blue"/>
    <x v="0"/>
    <s v="Date"/>
    <x v="2"/>
    <x v="16"/>
    <x v="0"/>
    <x v="0"/>
  </r>
  <r>
    <n v="23"/>
    <x v="1"/>
    <x v="5"/>
    <s v="Stainless Steel"/>
    <x v="1"/>
    <x v="1"/>
    <n v="41"/>
    <n v="9.8000000000000007"/>
    <n v="20"/>
    <s v="Black"/>
    <x v="0"/>
    <s v="Date"/>
    <x v="2"/>
    <x v="16"/>
    <x v="0"/>
    <x v="0"/>
  </r>
  <r>
    <n v="24"/>
    <x v="1"/>
    <x v="5"/>
    <s v="Stainless Steel"/>
    <x v="1"/>
    <x v="1"/>
    <n v="41"/>
    <n v="9.8000000000000007"/>
    <n v="20"/>
    <s v="Blue"/>
    <x v="0"/>
    <s v="Date"/>
    <x v="2"/>
    <x v="16"/>
    <x v="0"/>
    <x v="0"/>
  </r>
  <r>
    <n v="25"/>
    <x v="1"/>
    <x v="5"/>
    <s v="Stainless Steel"/>
    <x v="1"/>
    <x v="1"/>
    <n v="41"/>
    <n v="10.4"/>
    <n v="20"/>
    <s v="Black"/>
    <x v="0"/>
    <s v="Date"/>
    <x v="2"/>
    <x v="16"/>
    <x v="0"/>
    <x v="0"/>
  </r>
  <r>
    <n v="26"/>
    <x v="1"/>
    <x v="5"/>
    <s v="Stainless Steel"/>
    <x v="1"/>
    <x v="1"/>
    <n v="41"/>
    <n v="9.8000000000000007"/>
    <n v="20"/>
    <s v="Black"/>
    <x v="0"/>
    <s v="Date"/>
    <x v="2"/>
    <x v="16"/>
    <x v="0"/>
    <x v="0"/>
  </r>
  <r>
    <n v="27"/>
    <x v="1"/>
    <x v="5"/>
    <s v="Stainless Steel"/>
    <x v="1"/>
    <x v="1"/>
    <n v="41"/>
    <n v="10.4"/>
    <n v="20"/>
    <s v="Black"/>
    <x v="0"/>
    <s v="Date"/>
    <x v="2"/>
    <x v="17"/>
    <x v="0"/>
    <x v="0"/>
  </r>
  <r>
    <n v="28"/>
    <x v="1"/>
    <x v="5"/>
    <s v="Stainless Steel"/>
    <x v="1"/>
    <x v="1"/>
    <n v="41"/>
    <n v="10.4"/>
    <n v="20"/>
    <s v="Silver"/>
    <x v="0"/>
    <s v="Date"/>
    <x v="2"/>
    <x v="17"/>
    <x v="0"/>
    <x v="0"/>
  </r>
  <r>
    <n v="29"/>
    <x v="1"/>
    <x v="5"/>
    <s v="Stainless Steel"/>
    <x v="1"/>
    <x v="1"/>
    <n v="41"/>
    <n v="10.4"/>
    <n v="20"/>
    <s v="Blue"/>
    <x v="0"/>
    <s v="Date"/>
    <x v="2"/>
    <x v="18"/>
    <x v="0"/>
    <x v="0"/>
  </r>
  <r>
    <n v="30"/>
    <x v="1"/>
    <x v="5"/>
    <s v="Stainless Steel"/>
    <x v="1"/>
    <x v="1"/>
    <n v="41"/>
    <n v="9.8000000000000007"/>
    <n v="20"/>
    <s v="Blue"/>
    <x v="0"/>
    <s v="Date"/>
    <x v="2"/>
    <x v="19"/>
    <x v="0"/>
    <x v="0"/>
  </r>
  <r>
    <n v="31"/>
    <x v="1"/>
    <x v="5"/>
    <s v="Stainless Steel"/>
    <x v="1"/>
    <x v="1"/>
    <n v="41"/>
    <n v="9.8000000000000007"/>
    <n v="20"/>
    <s v="Blue"/>
    <x v="0"/>
    <s v="Date"/>
    <x v="2"/>
    <x v="20"/>
    <x v="0"/>
    <x v="1"/>
  </r>
  <r>
    <n v="32"/>
    <x v="1"/>
    <x v="5"/>
    <s v="Stainless Steel"/>
    <x v="1"/>
    <x v="1"/>
    <n v="41"/>
    <n v="10.4"/>
    <n v="20"/>
    <s v="Blue"/>
    <x v="0"/>
    <s v="Date"/>
    <x v="2"/>
    <x v="21"/>
    <x v="0"/>
    <x v="1"/>
  </r>
  <r>
    <n v="33"/>
    <x v="1"/>
    <x v="5"/>
    <s v="Stainless Steel"/>
    <x v="1"/>
    <x v="1"/>
    <n v="41"/>
    <n v="9.5"/>
    <n v="20"/>
    <s v="Black"/>
    <x v="0"/>
    <s v="Date"/>
    <x v="2"/>
    <x v="22"/>
    <x v="0"/>
    <x v="1"/>
  </r>
  <r>
    <n v="34"/>
    <x v="1"/>
    <x v="6"/>
    <s v="Stainless Steel"/>
    <x v="1"/>
    <x v="1"/>
    <n v="37"/>
    <n v="9.8000000000000007"/>
    <n v="20"/>
    <s v="Blue"/>
    <x v="0"/>
    <s v="Date"/>
    <x v="4"/>
    <x v="23"/>
    <x v="0"/>
    <x v="1"/>
  </r>
  <r>
    <n v="35"/>
    <x v="1"/>
    <x v="5"/>
    <s v="Stainless Steel"/>
    <x v="1"/>
    <x v="1"/>
    <n v="41"/>
    <n v="10.4"/>
    <n v="20"/>
    <s v="Blue"/>
    <x v="0"/>
    <s v="Date"/>
    <x v="2"/>
    <x v="23"/>
    <x v="0"/>
    <x v="1"/>
  </r>
  <r>
    <n v="36"/>
    <x v="1"/>
    <x v="7"/>
    <s v="Stainless Steel"/>
    <x v="1"/>
    <x v="1"/>
    <n v="39"/>
    <n v="9.4"/>
    <n v="20"/>
    <s v="Blue"/>
    <x v="0"/>
    <s v="Date, Power Reserve Indicator"/>
    <x v="2"/>
    <x v="24"/>
    <x v="0"/>
    <x v="1"/>
  </r>
  <r>
    <n v="37"/>
    <x v="1"/>
    <x v="5"/>
    <s v="Stainless Steel"/>
    <x v="1"/>
    <x v="1"/>
    <n v="41"/>
    <n v="9.8000000000000007"/>
    <n v="20"/>
    <s v="Blue"/>
    <x v="0"/>
    <s v="Date"/>
    <x v="2"/>
    <x v="25"/>
    <x v="0"/>
    <x v="1"/>
  </r>
  <r>
    <n v="38"/>
    <x v="1"/>
    <x v="6"/>
    <s v="Stainless Steel"/>
    <x v="1"/>
    <x v="1"/>
    <n v="37"/>
    <n v="9"/>
    <n v="16"/>
    <s v="Blue"/>
    <x v="0"/>
    <s v="Date"/>
    <x v="2"/>
    <x v="26"/>
    <x v="0"/>
    <x v="1"/>
  </r>
  <r>
    <n v="39"/>
    <x v="1"/>
    <x v="5"/>
    <s v="Stainless Steel"/>
    <x v="1"/>
    <x v="1"/>
    <n v="41"/>
    <n v="10.4"/>
    <n v="20"/>
    <s v="Black"/>
    <x v="0"/>
    <s v="Date"/>
    <x v="2"/>
    <x v="27"/>
    <x v="0"/>
    <x v="1"/>
  </r>
  <r>
    <n v="40"/>
    <x v="1"/>
    <x v="5"/>
    <s v="Stainless Steel"/>
    <x v="1"/>
    <x v="1"/>
    <n v="41"/>
    <n v="10.4"/>
    <n v="20"/>
    <s v="Blue"/>
    <x v="0"/>
    <s v="Date"/>
    <x v="2"/>
    <x v="28"/>
    <x v="0"/>
    <x v="1"/>
  </r>
  <r>
    <n v="41"/>
    <x v="1"/>
    <x v="5"/>
    <s v="Stainless Steel"/>
    <x v="1"/>
    <x v="1"/>
    <n v="41"/>
    <n v="10.4"/>
    <n v="20"/>
    <s v="Grey"/>
    <x v="0"/>
    <s v="Date"/>
    <x v="2"/>
    <x v="28"/>
    <x v="0"/>
    <x v="1"/>
  </r>
  <r>
    <n v="42"/>
    <x v="2"/>
    <x v="8"/>
    <s v="Leather"/>
    <x v="1"/>
    <x v="1"/>
    <n v="40"/>
    <n v="10.3"/>
    <n v="20"/>
    <s v="Silver"/>
    <x v="0"/>
    <s v="Date"/>
    <x v="5"/>
    <x v="29"/>
    <x v="0"/>
    <x v="3"/>
  </r>
  <r>
    <n v="43"/>
    <x v="3"/>
    <x v="9"/>
    <s v="Rubber"/>
    <x v="1"/>
    <x v="2"/>
    <n v="42"/>
    <n v="11.5"/>
    <n v="24"/>
    <s v="Black"/>
    <x v="0"/>
    <s v="Chronograph"/>
    <x v="6"/>
    <x v="30"/>
    <x v="0"/>
    <x v="3"/>
  </r>
  <r>
    <n v="44"/>
    <x v="3"/>
    <x v="10"/>
    <s v="Rubber"/>
    <x v="1"/>
    <x v="2"/>
    <n v="42"/>
    <n v="9.8000000000000007"/>
    <n v="24"/>
    <s v="Black"/>
    <x v="0"/>
    <s v="None"/>
    <x v="4"/>
    <x v="31"/>
    <x v="0"/>
    <x v="3"/>
  </r>
  <r>
    <n v="45"/>
    <x v="3"/>
    <x v="11"/>
    <s v="Rubber"/>
    <x v="1"/>
    <x v="2"/>
    <n v="41"/>
    <n v="9.6999999999999993"/>
    <n v="22"/>
    <s v="Black"/>
    <x v="0"/>
    <s v="Date"/>
    <x v="4"/>
    <x v="32"/>
    <x v="0"/>
    <x v="3"/>
  </r>
  <r>
    <n v="46"/>
    <x v="3"/>
    <x v="10"/>
    <s v="Rubber"/>
    <x v="1"/>
    <x v="2"/>
    <n v="42"/>
    <n v="9.3000000000000007"/>
    <n v="22"/>
    <s v="Black"/>
    <x v="0"/>
    <s v="None"/>
    <x v="6"/>
    <x v="33"/>
    <x v="0"/>
    <x v="3"/>
  </r>
  <r>
    <n v="47"/>
    <x v="4"/>
    <x v="12"/>
    <s v="Rubber"/>
    <x v="1"/>
    <x v="3"/>
    <n v="45"/>
    <n v="15.5"/>
    <n v="23"/>
    <s v="Black"/>
    <x v="0"/>
    <s v="None"/>
    <x v="5"/>
    <x v="34"/>
    <x v="1"/>
    <x v="1"/>
  </r>
  <r>
    <n v="48"/>
    <x v="4"/>
    <x v="13"/>
    <s v="Canvas"/>
    <x v="1"/>
    <x v="3"/>
    <n v="45"/>
    <n v="15.4"/>
    <n v="23"/>
    <s v="Black"/>
    <x v="0"/>
    <s v="Date"/>
    <x v="5"/>
    <x v="35"/>
    <x v="1"/>
    <x v="1"/>
  </r>
  <r>
    <n v="49"/>
    <x v="4"/>
    <x v="13"/>
    <s v="Canvas"/>
    <x v="1"/>
    <x v="3"/>
    <n v="45"/>
    <n v="15.5"/>
    <n v="23"/>
    <s v="Black"/>
    <x v="0"/>
    <s v="Date"/>
    <x v="5"/>
    <x v="36"/>
    <x v="1"/>
    <x v="1"/>
  </r>
  <r>
    <n v="50"/>
    <x v="4"/>
    <x v="14"/>
    <s v="Rubber"/>
    <x v="1"/>
    <x v="3"/>
    <n v="43"/>
    <n v="13.4"/>
    <n v="23"/>
    <s v="Black"/>
    <x v="0"/>
    <s v="Date"/>
    <x v="5"/>
    <x v="37"/>
    <x v="1"/>
    <x v="1"/>
  </r>
  <r>
    <n v="51"/>
    <x v="4"/>
    <x v="12"/>
    <s v="Fabric"/>
    <x v="1"/>
    <x v="3"/>
    <n v="45"/>
    <n v="15.4"/>
    <n v="23"/>
    <s v="Black"/>
    <x v="0"/>
    <s v="Date"/>
    <x v="5"/>
    <x v="38"/>
    <x v="1"/>
    <x v="1"/>
  </r>
  <r>
    <n v="52"/>
    <x v="4"/>
    <x v="13"/>
    <s v="Canvas"/>
    <x v="1"/>
    <x v="3"/>
    <n v="45"/>
    <n v="15.5"/>
    <n v="22"/>
    <s v="Black"/>
    <x v="0"/>
    <s v="Date"/>
    <x v="5"/>
    <x v="39"/>
    <x v="1"/>
    <x v="1"/>
  </r>
  <r>
    <n v="53"/>
    <x v="4"/>
    <x v="13"/>
    <s v="Fabric"/>
    <x v="1"/>
    <x v="3"/>
    <n v="45"/>
    <n v="15.5"/>
    <n v="23"/>
    <s v="Black"/>
    <x v="0"/>
    <s v="Date"/>
    <x v="5"/>
    <x v="40"/>
    <x v="1"/>
    <x v="1"/>
  </r>
  <r>
    <n v="54"/>
    <x v="4"/>
    <x v="13"/>
    <s v="Canvas"/>
    <x v="1"/>
    <x v="3"/>
    <n v="45"/>
    <n v="15.4"/>
    <n v="23"/>
    <s v="Black"/>
    <x v="0"/>
    <s v="Date"/>
    <x v="5"/>
    <x v="40"/>
    <x v="1"/>
    <x v="1"/>
  </r>
  <r>
    <n v="55"/>
    <x v="4"/>
    <x v="13"/>
    <s v="Rubber"/>
    <x v="1"/>
    <x v="3"/>
    <n v="45"/>
    <n v="15.5"/>
    <n v="23"/>
    <s v="Black"/>
    <x v="0"/>
    <s v="Date"/>
    <x v="5"/>
    <x v="40"/>
    <x v="1"/>
    <x v="1"/>
  </r>
  <r>
    <n v="56"/>
    <x v="4"/>
    <x v="12"/>
    <s v="Fabric"/>
    <x v="1"/>
    <x v="3"/>
    <n v="45"/>
    <n v="15.4"/>
    <n v="23"/>
    <s v="Black"/>
    <x v="0"/>
    <s v="None"/>
    <x v="5"/>
    <x v="40"/>
    <x v="1"/>
    <x v="1"/>
  </r>
  <r>
    <n v="57"/>
    <x v="4"/>
    <x v="13"/>
    <s v="Fabric"/>
    <x v="1"/>
    <x v="3"/>
    <n v="45"/>
    <n v="15.4"/>
    <n v="23"/>
    <s v="Black"/>
    <x v="0"/>
    <s v="Date"/>
    <x v="5"/>
    <x v="41"/>
    <x v="1"/>
    <x v="1"/>
  </r>
  <r>
    <n v="58"/>
    <x v="4"/>
    <x v="13"/>
    <s v="Canvas"/>
    <x v="1"/>
    <x v="3"/>
    <n v="45"/>
    <n v="15.4"/>
    <n v="23"/>
    <s v="Black"/>
    <x v="0"/>
    <s v="Date, Rotating Bezel"/>
    <x v="5"/>
    <x v="42"/>
    <x v="1"/>
    <x v="1"/>
  </r>
  <r>
    <n v="59"/>
    <x v="4"/>
    <x v="13"/>
    <s v="Rubber"/>
    <x v="1"/>
    <x v="3"/>
    <n v="45"/>
    <n v="15.4"/>
    <n v="23"/>
    <s v="Black"/>
    <x v="0"/>
    <s v="Date"/>
    <x v="5"/>
    <x v="42"/>
    <x v="1"/>
    <x v="1"/>
  </r>
  <r>
    <n v="60"/>
    <x v="4"/>
    <x v="13"/>
    <s v="Rubber"/>
    <x v="1"/>
    <x v="3"/>
    <n v="45"/>
    <n v="15.5"/>
    <n v="23"/>
    <s v="Black"/>
    <x v="0"/>
    <s v="Date"/>
    <x v="5"/>
    <x v="42"/>
    <x v="1"/>
    <x v="1"/>
  </r>
  <r>
    <n v="61"/>
    <x v="4"/>
    <x v="13"/>
    <s v="Fabric"/>
    <x v="1"/>
    <x v="3"/>
    <n v="45"/>
    <n v="15.5"/>
    <n v="23"/>
    <s v="Black"/>
    <x v="0"/>
    <s v="Date"/>
    <x v="5"/>
    <x v="42"/>
    <x v="1"/>
    <x v="1"/>
  </r>
  <r>
    <n v="62"/>
    <x v="4"/>
    <x v="13"/>
    <s v="Fabric"/>
    <x v="1"/>
    <x v="3"/>
    <n v="45"/>
    <n v="15.5"/>
    <n v="23"/>
    <s v="Black"/>
    <x v="0"/>
    <s v="Date"/>
    <x v="5"/>
    <x v="43"/>
    <x v="1"/>
    <x v="1"/>
  </r>
  <r>
    <n v="63"/>
    <x v="4"/>
    <x v="13"/>
    <s v="Rubber"/>
    <x v="1"/>
    <x v="3"/>
    <n v="45"/>
    <n v="15.5"/>
    <n v="23"/>
    <s v="Black"/>
    <x v="0"/>
    <s v="Date"/>
    <x v="5"/>
    <x v="44"/>
    <x v="1"/>
    <x v="1"/>
  </r>
  <r>
    <n v="64"/>
    <x v="4"/>
    <x v="13"/>
    <s v="Canvas"/>
    <x v="1"/>
    <x v="3"/>
    <n v="45"/>
    <n v="15.5"/>
    <n v="23"/>
    <s v="Black"/>
    <x v="0"/>
    <s v="Date"/>
    <x v="5"/>
    <x v="45"/>
    <x v="1"/>
    <x v="1"/>
  </r>
  <r>
    <n v="65"/>
    <x v="4"/>
    <x v="13"/>
    <s v="NATO Strap"/>
    <x v="1"/>
    <x v="3"/>
    <n v="45"/>
    <n v="15.5"/>
    <n v="23"/>
    <s v="Black"/>
    <x v="0"/>
    <s v="None"/>
    <x v="5"/>
    <x v="46"/>
    <x v="1"/>
    <x v="1"/>
  </r>
  <r>
    <n v="66"/>
    <x v="4"/>
    <x v="13"/>
    <s v="Rubber"/>
    <x v="1"/>
    <x v="3"/>
    <n v="45"/>
    <n v="15.4"/>
    <n v="23"/>
    <s v="Black"/>
    <x v="0"/>
    <s v="Date"/>
    <x v="5"/>
    <x v="46"/>
    <x v="1"/>
    <x v="1"/>
  </r>
  <r>
    <n v="67"/>
    <x v="4"/>
    <x v="13"/>
    <s v="Canvas"/>
    <x v="1"/>
    <x v="3"/>
    <n v="45"/>
    <n v="15.5"/>
    <n v="23"/>
    <s v="Black"/>
    <x v="0"/>
    <s v="Date"/>
    <x v="5"/>
    <x v="46"/>
    <x v="1"/>
    <x v="1"/>
  </r>
  <r>
    <n v="68"/>
    <x v="4"/>
    <x v="15"/>
    <s v="Fabric"/>
    <x v="1"/>
    <x v="3"/>
    <n v="43.6"/>
    <n v="13.83"/>
    <n v="23"/>
    <s v="Black"/>
    <x v="0"/>
    <s v="Date, Unidirectional Bezel"/>
    <x v="5"/>
    <x v="47"/>
    <x v="1"/>
    <x v="1"/>
  </r>
  <r>
    <n v="69"/>
    <x v="4"/>
    <x v="12"/>
    <s v="Fabric"/>
    <x v="1"/>
    <x v="3"/>
    <n v="45"/>
    <n v="15.4"/>
    <n v="23"/>
    <s v="Black"/>
    <x v="0"/>
    <s v="Date"/>
    <x v="5"/>
    <x v="47"/>
    <x v="1"/>
    <x v="1"/>
  </r>
  <r>
    <n v="70"/>
    <x v="4"/>
    <x v="13"/>
    <s v="NATO Strap"/>
    <x v="1"/>
    <x v="3"/>
    <n v="45"/>
    <n v="15.5"/>
    <n v="23"/>
    <s v="Black"/>
    <x v="0"/>
    <s v="Date"/>
    <x v="5"/>
    <x v="47"/>
    <x v="1"/>
    <x v="1"/>
  </r>
  <r>
    <n v="71"/>
    <x v="4"/>
    <x v="13"/>
    <s v="Canvas"/>
    <x v="1"/>
    <x v="3"/>
    <n v="45"/>
    <n v="15.4"/>
    <n v="23"/>
    <s v="Black"/>
    <x v="0"/>
    <s v="Date"/>
    <x v="5"/>
    <x v="48"/>
    <x v="1"/>
    <x v="1"/>
  </r>
  <r>
    <n v="72"/>
    <x v="4"/>
    <x v="13"/>
    <s v="Canvas"/>
    <x v="1"/>
    <x v="3"/>
    <n v="45"/>
    <n v="15.4"/>
    <n v="23"/>
    <s v="Black"/>
    <x v="0"/>
    <s v="Date"/>
    <x v="5"/>
    <x v="48"/>
    <x v="1"/>
    <x v="1"/>
  </r>
  <r>
    <n v="73"/>
    <x v="4"/>
    <x v="13"/>
    <s v="Fabric"/>
    <x v="1"/>
    <x v="3"/>
    <n v="45"/>
    <n v="15.5"/>
    <n v="23"/>
    <s v="Black"/>
    <x v="0"/>
    <s v="Date, Power Reserve Indicator"/>
    <x v="5"/>
    <x v="49"/>
    <x v="1"/>
    <x v="1"/>
  </r>
  <r>
    <n v="74"/>
    <x v="4"/>
    <x v="13"/>
    <s v="Canvas"/>
    <x v="1"/>
    <x v="3"/>
    <n v="45"/>
    <n v="15.5"/>
    <n v="23"/>
    <s v="Black"/>
    <x v="0"/>
    <s v="None"/>
    <x v="5"/>
    <x v="50"/>
    <x v="1"/>
    <x v="1"/>
  </r>
  <r>
    <n v="75"/>
    <x v="4"/>
    <x v="13"/>
    <s v="NATO Strap"/>
    <x v="1"/>
    <x v="3"/>
    <n v="45"/>
    <n v="15.4"/>
    <n v="23"/>
    <s v="Black"/>
    <x v="0"/>
    <s v="None"/>
    <x v="5"/>
    <x v="51"/>
    <x v="1"/>
    <x v="4"/>
  </r>
  <r>
    <n v="76"/>
    <x v="5"/>
    <x v="16"/>
    <s v="Leather"/>
    <x v="1"/>
    <x v="0"/>
    <n v="39"/>
    <n v="9.9"/>
    <n v="22"/>
    <s v="White"/>
    <x v="0"/>
    <s v="Date, Moonphase"/>
    <x v="7"/>
    <x v="52"/>
    <x v="0"/>
    <x v="0"/>
  </r>
  <r>
    <n v="77"/>
    <x v="5"/>
    <x v="16"/>
    <s v="Leather"/>
    <x v="0"/>
    <x v="0"/>
    <n v="39"/>
    <n v="10.199999999999999"/>
    <n v="22"/>
    <s v="Silver"/>
    <x v="0"/>
    <s v="None"/>
    <x v="4"/>
    <x v="8"/>
    <x v="0"/>
    <x v="0"/>
  </r>
  <r>
    <n v="78"/>
    <x v="5"/>
    <x v="17"/>
    <s v="Leather"/>
    <x v="1"/>
    <x v="0"/>
    <n v="39"/>
    <n v="10.199999999999999"/>
    <n v="20"/>
    <s v="Silver"/>
    <x v="0"/>
    <s v="Date"/>
    <x v="8"/>
    <x v="8"/>
    <x v="0"/>
    <x v="0"/>
  </r>
  <r>
    <n v="79"/>
    <x v="5"/>
    <x v="18"/>
    <s v="Leather"/>
    <x v="0"/>
    <x v="0"/>
    <n v="40"/>
    <n v="6.8"/>
    <n v="20"/>
    <s v="Silver"/>
    <x v="0"/>
    <s v="None"/>
    <x v="9"/>
    <x v="9"/>
    <x v="0"/>
    <x v="0"/>
  </r>
  <r>
    <n v="80"/>
    <x v="5"/>
    <x v="19"/>
    <s v="Leather"/>
    <x v="1"/>
    <x v="0"/>
    <n v="39"/>
    <n v="10.199999999999999"/>
    <n v="20"/>
    <s v="Silver"/>
    <x v="0"/>
    <s v="None"/>
    <x v="7"/>
    <x v="9"/>
    <x v="0"/>
    <x v="0"/>
  </r>
  <r>
    <n v="81"/>
    <x v="5"/>
    <x v="20"/>
    <s v="Leather"/>
    <x v="1"/>
    <x v="0"/>
    <n v="39"/>
    <n v="8.65"/>
    <n v="20"/>
    <s v="Silver"/>
    <x v="0"/>
    <s v="Date"/>
    <x v="9"/>
    <x v="11"/>
    <x v="0"/>
    <x v="0"/>
  </r>
  <r>
    <n v="82"/>
    <x v="5"/>
    <x v="21"/>
    <s v="Leather"/>
    <x v="0"/>
    <x v="0"/>
    <n v="40"/>
    <n v="6.95"/>
    <n v="20"/>
    <s v="Silver"/>
    <x v="0"/>
    <s v="None"/>
    <x v="3"/>
    <x v="12"/>
    <x v="0"/>
    <x v="0"/>
  </r>
  <r>
    <n v="83"/>
    <x v="5"/>
    <x v="16"/>
    <s v="Leather"/>
    <x v="1"/>
    <x v="0"/>
    <n v="39"/>
    <n v="8.65"/>
    <n v="20"/>
    <s v="Silver"/>
    <x v="0"/>
    <s v="None"/>
    <x v="0"/>
    <x v="53"/>
    <x v="0"/>
    <x v="0"/>
  </r>
  <r>
    <n v="84"/>
    <x v="5"/>
    <x v="19"/>
    <s v="Leather"/>
    <x v="1"/>
    <x v="0"/>
    <n v="39"/>
    <n v="8.65"/>
    <n v="20"/>
    <s v="Silver"/>
    <x v="0"/>
    <s v="Date"/>
    <x v="7"/>
    <x v="54"/>
    <x v="0"/>
    <x v="0"/>
  </r>
  <r>
    <n v="85"/>
    <x v="5"/>
    <x v="22"/>
    <s v="Leather"/>
    <x v="0"/>
    <x v="0"/>
    <n v="38.5"/>
    <n v="8.25"/>
    <n v="20"/>
    <s v="Silver"/>
    <x v="0"/>
    <s v="Power Reserve"/>
    <x v="7"/>
    <x v="0"/>
    <x v="0"/>
    <x v="0"/>
  </r>
  <r>
    <n v="86"/>
    <x v="5"/>
    <x v="23"/>
    <s v="Leather"/>
    <x v="0"/>
    <x v="0"/>
    <n v="38"/>
    <n v="7.45"/>
    <n v="20"/>
    <s v="Silver"/>
    <x v="0"/>
    <s v="None"/>
    <x v="7"/>
    <x v="0"/>
    <x v="0"/>
    <x v="0"/>
  </r>
  <r>
    <n v="87"/>
    <x v="5"/>
    <x v="21"/>
    <s v="Leather"/>
    <x v="0"/>
    <x v="0"/>
    <n v="40"/>
    <n v="6.95"/>
    <n v="20"/>
    <s v="White"/>
    <x v="0"/>
    <s v="None"/>
    <x v="7"/>
    <x v="14"/>
    <x v="0"/>
    <x v="0"/>
  </r>
  <r>
    <n v="88"/>
    <x v="5"/>
    <x v="23"/>
    <s v="Leather"/>
    <x v="0"/>
    <x v="0"/>
    <n v="38"/>
    <n v="8.25"/>
    <n v="20"/>
    <s v="Silver"/>
    <x v="0"/>
    <s v="None"/>
    <x v="4"/>
    <x v="16"/>
    <x v="0"/>
    <x v="0"/>
  </r>
  <r>
    <n v="89"/>
    <x v="5"/>
    <x v="24"/>
    <s v="Leather"/>
    <x v="1"/>
    <x v="0"/>
    <n v="38.5"/>
    <n v="8.25"/>
    <n v="20"/>
    <s v="White"/>
    <x v="0"/>
    <s v="Date"/>
    <x v="8"/>
    <x v="55"/>
    <x v="0"/>
    <x v="0"/>
  </r>
  <r>
    <n v="90"/>
    <x v="5"/>
    <x v="18"/>
    <s v="Leather"/>
    <x v="0"/>
    <x v="0"/>
    <n v="40"/>
    <n v="6.8"/>
    <n v="20"/>
    <s v="Silver"/>
    <x v="0"/>
    <s v="None"/>
    <x v="7"/>
    <x v="56"/>
    <x v="0"/>
    <x v="0"/>
  </r>
  <r>
    <n v="91"/>
    <x v="5"/>
    <x v="25"/>
    <s v="Leather"/>
    <x v="1"/>
    <x v="0"/>
    <n v="39"/>
    <n v="8.65"/>
    <n v="21"/>
    <s v="Silver"/>
    <x v="0"/>
    <s v="None"/>
    <x v="9"/>
    <x v="20"/>
    <x v="0"/>
    <x v="1"/>
  </r>
  <r>
    <n v="92"/>
    <x v="5"/>
    <x v="26"/>
    <s v="Leather"/>
    <x v="1"/>
    <x v="0"/>
    <n v="38"/>
    <n v="8.25"/>
    <n v="20"/>
    <s v="Silver"/>
    <x v="0"/>
    <s v="None"/>
    <x v="0"/>
    <x v="20"/>
    <x v="0"/>
    <x v="1"/>
  </r>
  <r>
    <n v="93"/>
    <x v="5"/>
    <x v="27"/>
    <s v="Leather"/>
    <x v="1"/>
    <x v="0"/>
    <n v="40"/>
    <n v="6.8"/>
    <n v="20"/>
    <s v="White"/>
    <x v="0"/>
    <s v="None"/>
    <x v="9"/>
    <x v="57"/>
    <x v="0"/>
    <x v="1"/>
  </r>
  <r>
    <n v="94"/>
    <x v="5"/>
    <x v="25"/>
    <s v="Leather"/>
    <x v="1"/>
    <x v="0"/>
    <n v="39"/>
    <n v="10.199999999999999"/>
    <n v="22"/>
    <s v="Silver"/>
    <x v="0"/>
    <s v="None"/>
    <x v="0"/>
    <x v="57"/>
    <x v="0"/>
    <x v="1"/>
  </r>
  <r>
    <n v="95"/>
    <x v="5"/>
    <x v="20"/>
    <s v="Leather"/>
    <x v="1"/>
    <x v="0"/>
    <n v="39"/>
    <n v="8.65"/>
    <n v="20"/>
    <s v="Silver"/>
    <x v="0"/>
    <s v="None"/>
    <x v="4"/>
    <x v="57"/>
    <x v="0"/>
    <x v="1"/>
  </r>
  <r>
    <n v="96"/>
    <x v="5"/>
    <x v="16"/>
    <s v="Leather"/>
    <x v="1"/>
    <x v="0"/>
    <n v="39"/>
    <n v="10.199999999999999"/>
    <n v="22"/>
    <s v="Silver"/>
    <x v="0"/>
    <s v="None"/>
    <x v="4"/>
    <x v="26"/>
    <x v="0"/>
    <x v="1"/>
  </r>
  <r>
    <n v="97"/>
    <x v="5"/>
    <x v="23"/>
    <s v="Leather"/>
    <x v="0"/>
    <x v="0"/>
    <n v="38"/>
    <n v="8.65"/>
    <n v="20"/>
    <s v="Silver"/>
    <x v="0"/>
    <s v="None"/>
    <x v="4"/>
    <x v="58"/>
    <x v="0"/>
    <x v="1"/>
  </r>
  <r>
    <n v="98"/>
    <x v="5"/>
    <x v="21"/>
    <s v="Leather"/>
    <x v="0"/>
    <x v="0"/>
    <n v="40"/>
    <n v="6.1"/>
    <n v="20"/>
    <s v="Silver"/>
    <x v="0"/>
    <s v="None"/>
    <x v="7"/>
    <x v="58"/>
    <x v="0"/>
    <x v="1"/>
  </r>
  <r>
    <n v="99"/>
    <x v="5"/>
    <x v="16"/>
    <s v="Leather"/>
    <x v="0"/>
    <x v="0"/>
    <n v="39"/>
    <n v="8.65"/>
    <n v="20"/>
    <s v="Silver"/>
    <x v="0"/>
    <s v="None"/>
    <x v="4"/>
    <x v="59"/>
    <x v="0"/>
    <x v="1"/>
  </r>
  <r>
    <n v="100"/>
    <x v="5"/>
    <x v="28"/>
    <s v="Leather"/>
    <x v="1"/>
    <x v="2"/>
    <n v="42"/>
    <n v="13.85"/>
    <n v="22"/>
    <s v="Silver"/>
    <x v="0"/>
    <s v="Chronograph"/>
    <x v="10"/>
    <x v="60"/>
    <x v="0"/>
    <x v="4"/>
  </r>
  <r>
    <n v="101"/>
    <x v="5"/>
    <x v="29"/>
    <s v="Leather"/>
    <x v="1"/>
    <x v="2"/>
    <n v="39.5"/>
    <n v="14.1"/>
    <n v="20"/>
    <s v="Black"/>
    <x v="0"/>
    <s v="Date, Chronograph, Flyback"/>
    <x v="10"/>
    <x v="61"/>
    <x v="0"/>
    <x v="4"/>
  </r>
  <r>
    <n v="102"/>
    <x v="6"/>
    <x v="30"/>
    <s v="Stainless Steel"/>
    <x v="1"/>
    <x v="0"/>
    <n v="43"/>
    <n v="14.25"/>
    <n v="22"/>
    <s v="Black"/>
    <x v="0"/>
    <s v="Chronograph"/>
    <x v="11"/>
    <x v="62"/>
    <x v="0"/>
    <x v="4"/>
  </r>
  <r>
    <n v="103"/>
    <x v="6"/>
    <x v="30"/>
    <s v="Stainless Steel"/>
    <x v="1"/>
    <x v="0"/>
    <n v="43"/>
    <n v="14.25"/>
    <n v="22"/>
    <s v="Black"/>
    <x v="0"/>
    <s v="Chronograph"/>
    <x v="11"/>
    <x v="62"/>
    <x v="0"/>
    <x v="4"/>
  </r>
  <r>
    <n v="104"/>
    <x v="6"/>
    <x v="31"/>
    <s v="Stainless Steel"/>
    <x v="1"/>
    <x v="4"/>
    <n v="44"/>
    <n v="16.95"/>
    <n v="22"/>
    <s v="Blue"/>
    <x v="0"/>
    <s v="Chronograph, Date"/>
    <x v="11"/>
    <x v="63"/>
    <x v="2"/>
    <x v="4"/>
  </r>
  <r>
    <n v="105"/>
    <x v="6"/>
    <x v="32"/>
    <s v="Rubber"/>
    <x v="1"/>
    <x v="4"/>
    <n v="42"/>
    <n v="14.35"/>
    <n v="22"/>
    <s v="Black"/>
    <x v="0"/>
    <s v="Date"/>
    <x v="8"/>
    <x v="64"/>
    <x v="2"/>
    <x v="3"/>
  </r>
  <r>
    <n v="106"/>
    <x v="6"/>
    <x v="33"/>
    <s v="Rubber"/>
    <x v="1"/>
    <x v="3"/>
    <n v="43"/>
    <n v="16.5"/>
    <n v="22"/>
    <s v="Black"/>
    <x v="0"/>
    <s v="Chronograph, Date"/>
    <x v="6"/>
    <x v="65"/>
    <x v="1"/>
    <x v="3"/>
  </r>
  <r>
    <n v="107"/>
    <x v="6"/>
    <x v="34"/>
    <s v="Rubber"/>
    <x v="1"/>
    <x v="4"/>
    <n v="44"/>
    <n v="14.2"/>
    <n v="22"/>
    <s v="Black"/>
    <x v="0"/>
    <s v="Date"/>
    <x v="6"/>
    <x v="30"/>
    <x v="2"/>
    <x v="3"/>
  </r>
  <r>
    <n v="108"/>
    <x v="6"/>
    <x v="32"/>
    <s v="Leather"/>
    <x v="1"/>
    <x v="4"/>
    <n v="42"/>
    <n v="14.35"/>
    <n v="20"/>
    <s v="Black"/>
    <x v="0"/>
    <s v="Date"/>
    <x v="8"/>
    <x v="66"/>
    <x v="2"/>
    <x v="3"/>
  </r>
  <r>
    <n v="109"/>
    <x v="6"/>
    <x v="32"/>
    <s v="Leather"/>
    <x v="1"/>
    <x v="4"/>
    <n v="42"/>
    <n v="14.35"/>
    <n v="20"/>
    <s v="Black"/>
    <x v="0"/>
    <s v="Date"/>
    <x v="8"/>
    <x v="66"/>
    <x v="2"/>
    <x v="3"/>
  </r>
  <r>
    <n v="110"/>
    <x v="6"/>
    <x v="35"/>
    <s v="Rubber"/>
    <x v="1"/>
    <x v="4"/>
    <n v="44"/>
    <n v="14.2"/>
    <n v="22"/>
    <s v="Black"/>
    <x v="0"/>
    <s v="Date"/>
    <x v="11"/>
    <x v="67"/>
    <x v="2"/>
    <x v="3"/>
  </r>
  <r>
    <n v="111"/>
    <x v="6"/>
    <x v="36"/>
    <s v="Rubber"/>
    <x v="1"/>
    <x v="5"/>
    <n v="42"/>
    <n v="13.3"/>
    <n v="20"/>
    <s v="Blue"/>
    <x v="0"/>
    <s v="Date"/>
    <x v="8"/>
    <x v="68"/>
    <x v="3"/>
    <x v="3"/>
  </r>
  <r>
    <n v="112"/>
    <x v="6"/>
    <x v="36"/>
    <s v="Rubber"/>
    <x v="1"/>
    <x v="5"/>
    <n v="42"/>
    <n v="13.32"/>
    <n v="20"/>
    <s v="Blue"/>
    <x v="0"/>
    <s v="Date"/>
    <x v="8"/>
    <x v="69"/>
    <x v="3"/>
    <x v="3"/>
  </r>
  <r>
    <n v="113"/>
    <x v="6"/>
    <x v="34"/>
    <s v="Rubber"/>
    <x v="1"/>
    <x v="5"/>
    <n v="44"/>
    <n v="14.21"/>
    <n v="22"/>
    <s v="Blue"/>
    <x v="0"/>
    <s v="Date"/>
    <x v="8"/>
    <x v="31"/>
    <x v="3"/>
    <x v="3"/>
  </r>
  <r>
    <n v="114"/>
    <x v="6"/>
    <x v="36"/>
    <s v="Rubber"/>
    <x v="1"/>
    <x v="6"/>
    <n v="42"/>
    <n v="13.32"/>
    <n v="20"/>
    <s v="Blue"/>
    <x v="0"/>
    <s v="Date"/>
    <x v="8"/>
    <x v="70"/>
    <x v="4"/>
    <x v="3"/>
  </r>
  <r>
    <n v="115"/>
    <x v="6"/>
    <x v="36"/>
    <s v="Rubber"/>
    <x v="1"/>
    <x v="7"/>
    <n v="42"/>
    <n v="13.32"/>
    <n v="20"/>
    <s v="Blue"/>
    <x v="0"/>
    <s v="Date"/>
    <x v="8"/>
    <x v="70"/>
    <x v="3"/>
    <x v="3"/>
  </r>
  <r>
    <n v="116"/>
    <x v="6"/>
    <x v="37"/>
    <s v="Stainless Steel"/>
    <x v="1"/>
    <x v="4"/>
    <n v="44"/>
    <n v="14.2"/>
    <n v="22"/>
    <s v="Blue"/>
    <x v="0"/>
    <s v="Date"/>
    <x v="8"/>
    <x v="71"/>
    <x v="2"/>
    <x v="3"/>
  </r>
  <r>
    <n v="117"/>
    <x v="6"/>
    <x v="36"/>
    <s v="Rubber"/>
    <x v="1"/>
    <x v="6"/>
    <n v="42"/>
    <n v="13.3"/>
    <n v="20"/>
    <s v="Blue"/>
    <x v="0"/>
    <s v="Date"/>
    <x v="8"/>
    <x v="72"/>
    <x v="4"/>
    <x v="3"/>
  </r>
  <r>
    <n v="118"/>
    <x v="7"/>
    <x v="38"/>
    <s v="Leather"/>
    <x v="1"/>
    <x v="2"/>
    <n v="40"/>
    <n v="5.15"/>
    <n v="28"/>
    <s v="Black"/>
    <x v="0"/>
    <s v="None"/>
    <x v="2"/>
    <x v="45"/>
    <x v="0"/>
    <x v="1"/>
  </r>
  <r>
    <n v="119"/>
    <x v="7"/>
    <x v="38"/>
    <s v="Leather"/>
    <x v="1"/>
    <x v="0"/>
    <n v="40"/>
    <n v="5.5"/>
    <n v="21"/>
    <s v="Black"/>
    <x v="0"/>
    <s v="None"/>
    <x v="9"/>
    <x v="51"/>
    <x v="0"/>
    <x v="4"/>
  </r>
  <r>
    <n v="120"/>
    <x v="7"/>
    <x v="38"/>
    <s v="Titanium"/>
    <x v="1"/>
    <x v="0"/>
    <n v="40"/>
    <n v="5.15"/>
    <n v="28"/>
    <s v="Black"/>
    <x v="0"/>
    <s v="None"/>
    <x v="9"/>
    <x v="51"/>
    <x v="0"/>
    <x v="4"/>
  </r>
  <r>
    <n v="121"/>
    <x v="8"/>
    <x v="39"/>
    <s v="Stainless Steel"/>
    <x v="2"/>
    <x v="3"/>
    <n v="46.5"/>
    <n v="17.5"/>
    <n v="24"/>
    <s v="Black"/>
    <x v="1"/>
    <s v="Chronograph"/>
    <x v="12"/>
    <x v="73"/>
    <x v="1"/>
    <x v="5"/>
  </r>
  <r>
    <n v="122"/>
    <x v="9"/>
    <x v="40"/>
    <s v="Leather"/>
    <x v="0"/>
    <x v="0"/>
    <n v="27.5"/>
    <n v="6.5"/>
    <n v="18"/>
    <s v="Silver"/>
    <x v="0"/>
    <s v="None"/>
    <x v="12"/>
    <x v="74"/>
    <x v="0"/>
    <x v="1"/>
  </r>
  <r>
    <n v="123"/>
    <x v="9"/>
    <x v="41"/>
    <s v="Leather"/>
    <x v="1"/>
    <x v="0"/>
    <n v="33"/>
    <n v="9.9600000000000009"/>
    <n v="18"/>
    <s v="Silver"/>
    <x v="0"/>
    <s v="Date"/>
    <x v="6"/>
    <x v="75"/>
    <x v="0"/>
    <x v="1"/>
  </r>
  <r>
    <n v="124"/>
    <x v="9"/>
    <x v="41"/>
    <s v="Leather"/>
    <x v="1"/>
    <x v="0"/>
    <n v="33"/>
    <n v="9.9600000000000009"/>
    <n v="18"/>
    <s v="Silver"/>
    <x v="0"/>
    <s v="Date"/>
    <x v="6"/>
    <x v="43"/>
    <x v="0"/>
    <x v="1"/>
  </r>
  <r>
    <n v="125"/>
    <x v="9"/>
    <x v="42"/>
    <s v="Stainless Steel"/>
    <x v="1"/>
    <x v="2"/>
    <n v="39.799999999999997"/>
    <n v="9.08"/>
    <n v="21.5"/>
    <s v="Silver"/>
    <x v="0"/>
    <s v="Date"/>
    <x v="6"/>
    <x v="76"/>
    <x v="0"/>
    <x v="4"/>
  </r>
  <r>
    <n v="126"/>
    <x v="9"/>
    <x v="43"/>
    <s v="Stainless Steel"/>
    <x v="1"/>
    <x v="0"/>
    <n v="42"/>
    <n v="13"/>
    <n v="22"/>
    <s v="Silver"/>
    <x v="0"/>
    <s v="Date"/>
    <x v="6"/>
    <x v="76"/>
    <x v="0"/>
    <x v="4"/>
  </r>
  <r>
    <n v="127"/>
    <x v="9"/>
    <x v="43"/>
    <s v="Stainless Steel"/>
    <x v="1"/>
    <x v="0"/>
    <n v="42"/>
    <n v="13"/>
    <n v="22"/>
    <s v="Silver"/>
    <x v="0"/>
    <s v="Date"/>
    <x v="6"/>
    <x v="76"/>
    <x v="0"/>
    <x v="4"/>
  </r>
  <r>
    <n v="128"/>
    <x v="9"/>
    <x v="42"/>
    <s v="Leather"/>
    <x v="1"/>
    <x v="2"/>
    <n v="39.799999999999997"/>
    <n v="9.08"/>
    <n v="20"/>
    <s v="Silver"/>
    <x v="0"/>
    <s v="Date"/>
    <x v="6"/>
    <x v="77"/>
    <x v="0"/>
    <x v="4"/>
  </r>
  <r>
    <n v="129"/>
    <x v="9"/>
    <x v="44"/>
    <s v="Stainless Steel"/>
    <x v="1"/>
    <x v="0"/>
    <n v="33"/>
    <n v="9.9600000000000009"/>
    <n v="18"/>
    <s v="Silver"/>
    <x v="0"/>
    <s v="Date"/>
    <x v="6"/>
    <x v="78"/>
    <x v="0"/>
    <x v="4"/>
  </r>
  <r>
    <n v="130"/>
    <x v="9"/>
    <x v="45"/>
    <s v="Stainless Steel"/>
    <x v="1"/>
    <x v="2"/>
    <n v="39.799999999999997"/>
    <n v="9.08"/>
    <n v="20"/>
    <s v="Silver"/>
    <x v="0"/>
    <s v="Date"/>
    <x v="6"/>
    <x v="78"/>
    <x v="0"/>
    <x v="4"/>
  </r>
  <r>
    <n v="131"/>
    <x v="9"/>
    <x v="42"/>
    <s v="Stainless Steel"/>
    <x v="1"/>
    <x v="2"/>
    <n v="39.799999999999997"/>
    <n v="9.08"/>
    <n v="20"/>
    <s v="Silver"/>
    <x v="0"/>
    <s v="Date"/>
    <x v="6"/>
    <x v="79"/>
    <x v="0"/>
    <x v="4"/>
  </r>
  <r>
    <n v="132"/>
    <x v="9"/>
    <x v="46"/>
    <s v="Stainless Steel"/>
    <x v="1"/>
    <x v="2"/>
    <n v="35.1"/>
    <n v="8.83"/>
    <n v="18"/>
    <s v="Silver"/>
    <x v="0"/>
    <s v="Date"/>
    <x v="6"/>
    <x v="80"/>
    <x v="0"/>
    <x v="4"/>
  </r>
  <r>
    <n v="133"/>
    <x v="9"/>
    <x v="46"/>
    <s v="Leather"/>
    <x v="1"/>
    <x v="2"/>
    <n v="35.1"/>
    <n v="8.83"/>
    <n v="22"/>
    <s v="Silver"/>
    <x v="0"/>
    <s v="Date"/>
    <x v="6"/>
    <x v="81"/>
    <x v="0"/>
    <x v="4"/>
  </r>
  <r>
    <n v="134"/>
    <x v="9"/>
    <x v="47"/>
    <s v="Leather"/>
    <x v="2"/>
    <x v="0"/>
    <n v="43.5"/>
    <n v="7.3"/>
    <n v="23"/>
    <s v="Silver"/>
    <x v="0"/>
    <s v="None"/>
    <x v="12"/>
    <x v="81"/>
    <x v="0"/>
    <x v="4"/>
  </r>
  <r>
    <n v="135"/>
    <x v="9"/>
    <x v="48"/>
    <s v="Stainless Steel"/>
    <x v="1"/>
    <x v="0"/>
    <n v="36.6"/>
    <n v="12.05"/>
    <n v="18"/>
    <s v="Silver"/>
    <x v="0"/>
    <s v="Date"/>
    <x v="6"/>
    <x v="82"/>
    <x v="0"/>
    <x v="3"/>
  </r>
  <r>
    <n v="136"/>
    <x v="9"/>
    <x v="44"/>
    <s v="Leather"/>
    <x v="1"/>
    <x v="0"/>
    <n v="33"/>
    <n v="9.9600000000000009"/>
    <n v="16"/>
    <s v="Silver"/>
    <x v="0"/>
    <s v="Date"/>
    <x v="6"/>
    <x v="30"/>
    <x v="0"/>
    <x v="3"/>
  </r>
  <r>
    <n v="137"/>
    <x v="9"/>
    <x v="49"/>
    <s v="Leather"/>
    <x v="0"/>
    <x v="0"/>
    <n v="31.4"/>
    <n v="7.25"/>
    <n v="18"/>
    <s v="Silver"/>
    <x v="0"/>
    <s v="None"/>
    <x v="12"/>
    <x v="30"/>
    <x v="0"/>
    <x v="3"/>
  </r>
  <r>
    <n v="138"/>
    <x v="9"/>
    <x v="50"/>
    <s v="Leather"/>
    <x v="2"/>
    <x v="0"/>
    <n v="38"/>
    <n v="7.5"/>
    <n v="18"/>
    <s v="Silver"/>
    <x v="0"/>
    <s v="None"/>
    <x v="12"/>
    <x v="83"/>
    <x v="0"/>
    <x v="3"/>
  </r>
  <r>
    <n v="139"/>
    <x v="9"/>
    <x v="51"/>
    <s v="Leather"/>
    <x v="2"/>
    <x v="0"/>
    <n v="31"/>
    <n v="6.05"/>
    <n v="20"/>
    <s v="Silver"/>
    <x v="0"/>
    <s v="None"/>
    <x v="12"/>
    <x v="84"/>
    <x v="0"/>
    <x v="3"/>
  </r>
  <r>
    <n v="140"/>
    <x v="9"/>
    <x v="51"/>
    <s v="Leather"/>
    <x v="2"/>
    <x v="0"/>
    <n v="31"/>
    <n v="6.05"/>
    <n v="20"/>
    <s v="Silver"/>
    <x v="0"/>
    <s v="None"/>
    <x v="12"/>
    <x v="84"/>
    <x v="0"/>
    <x v="3"/>
  </r>
  <r>
    <n v="141"/>
    <x v="10"/>
    <x v="52"/>
    <s v="Leather"/>
    <x v="1"/>
    <x v="1"/>
    <n v="42"/>
    <n v="12.67"/>
    <n v="22"/>
    <s v="Black"/>
    <x v="0"/>
    <s v="Chronograph"/>
    <x v="6"/>
    <x v="63"/>
    <x v="0"/>
    <x v="4"/>
  </r>
  <r>
    <n v="142"/>
    <x v="10"/>
    <x v="52"/>
    <s v="Rubber"/>
    <x v="1"/>
    <x v="1"/>
    <n v="42"/>
    <n v="13.07"/>
    <n v="20"/>
    <s v="Black"/>
    <x v="0"/>
    <s v="Chronograph"/>
    <x v="10"/>
    <x v="85"/>
    <x v="0"/>
    <x v="4"/>
  </r>
  <r>
    <n v="143"/>
    <x v="10"/>
    <x v="53"/>
    <s v="Leather"/>
    <x v="1"/>
    <x v="1"/>
    <n v="44"/>
    <n v="13.7"/>
    <n v="20"/>
    <s v="Black"/>
    <x v="0"/>
    <s v="Chronograph"/>
    <x v="6"/>
    <x v="78"/>
    <x v="0"/>
    <x v="4"/>
  </r>
  <r>
    <n v="144"/>
    <x v="10"/>
    <x v="52"/>
    <s v="Rubber"/>
    <x v="1"/>
    <x v="1"/>
    <n v="42"/>
    <n v="12.67"/>
    <n v="20"/>
    <s v="Black"/>
    <x v="0"/>
    <s v="Chronograph, Date"/>
    <x v="6"/>
    <x v="78"/>
    <x v="0"/>
    <x v="4"/>
  </r>
  <r>
    <n v="145"/>
    <x v="10"/>
    <x v="53"/>
    <s v="Leather"/>
    <x v="1"/>
    <x v="1"/>
    <n v="44"/>
    <n v="14.4"/>
    <n v="22"/>
    <s v="Black"/>
    <x v="0"/>
    <s v="Date, Chronograph, Tachymeter"/>
    <x v="6"/>
    <x v="86"/>
    <x v="0"/>
    <x v="4"/>
  </r>
  <r>
    <n v="146"/>
    <x v="10"/>
    <x v="52"/>
    <s v="Leather"/>
    <x v="1"/>
    <x v="1"/>
    <n v="42"/>
    <n v="11.43"/>
    <n v="22"/>
    <s v="Black"/>
    <x v="0"/>
    <s v="Chronograph"/>
    <x v="10"/>
    <x v="79"/>
    <x v="0"/>
    <x v="4"/>
  </r>
  <r>
    <n v="147"/>
    <x v="10"/>
    <x v="52"/>
    <s v="Leather"/>
    <x v="1"/>
    <x v="1"/>
    <n v="42"/>
    <n v="11.43"/>
    <n v="20"/>
    <s v="Black"/>
    <x v="0"/>
    <s v="Chronograph"/>
    <x v="6"/>
    <x v="87"/>
    <x v="0"/>
    <x v="4"/>
  </r>
  <r>
    <n v="148"/>
    <x v="10"/>
    <x v="53"/>
    <s v="Leather"/>
    <x v="1"/>
    <x v="1"/>
    <n v="44"/>
    <n v="14.45"/>
    <n v="22"/>
    <s v="Black"/>
    <x v="0"/>
    <s v="Date, Chronograph"/>
    <x v="6"/>
    <x v="88"/>
    <x v="0"/>
    <x v="4"/>
  </r>
  <r>
    <n v="149"/>
    <x v="10"/>
    <x v="52"/>
    <s v="Leather"/>
    <x v="1"/>
    <x v="1"/>
    <n v="42"/>
    <n v="12.67"/>
    <n v="20"/>
    <s v="Silver"/>
    <x v="0"/>
    <s v="Chronograph"/>
    <x v="6"/>
    <x v="89"/>
    <x v="0"/>
    <x v="4"/>
  </r>
  <r>
    <n v="150"/>
    <x v="10"/>
    <x v="53"/>
    <s v="Leather"/>
    <x v="1"/>
    <x v="1"/>
    <n v="44"/>
    <n v="14.97"/>
    <n v="22"/>
    <s v="Black"/>
    <x v="0"/>
    <s v="Chronograph"/>
    <x v="6"/>
    <x v="90"/>
    <x v="0"/>
    <x v="4"/>
  </r>
  <r>
    <n v="151"/>
    <x v="10"/>
    <x v="54"/>
    <s v="Stainless Steel"/>
    <x v="2"/>
    <x v="0"/>
    <n v="30"/>
    <n v="7.2"/>
    <n v="15"/>
    <s v="Silver"/>
    <x v="0"/>
    <s v="Date"/>
    <x v="12"/>
    <x v="90"/>
    <x v="0"/>
    <x v="4"/>
  </r>
  <r>
    <n v="152"/>
    <x v="10"/>
    <x v="52"/>
    <s v="Leather"/>
    <x v="1"/>
    <x v="1"/>
    <n v="42"/>
    <n v="12.67"/>
    <n v="20"/>
    <s v="Black"/>
    <x v="0"/>
    <s v="Chronograph"/>
    <x v="10"/>
    <x v="91"/>
    <x v="0"/>
    <x v="4"/>
  </r>
  <r>
    <n v="153"/>
    <x v="10"/>
    <x v="52"/>
    <s v="Leather"/>
    <x v="1"/>
    <x v="1"/>
    <n v="42"/>
    <n v="12.67"/>
    <n v="20"/>
    <s v="Black"/>
    <x v="0"/>
    <s v="Chronograph"/>
    <x v="10"/>
    <x v="92"/>
    <x v="0"/>
    <x v="3"/>
  </r>
  <r>
    <n v="154"/>
    <x v="10"/>
    <x v="54"/>
    <s v="Leather"/>
    <x v="2"/>
    <x v="0"/>
    <n v="30"/>
    <n v="10.5"/>
    <n v="17"/>
    <s v="White"/>
    <x v="0"/>
    <s v="None"/>
    <x v="12"/>
    <x v="92"/>
    <x v="0"/>
    <x v="3"/>
  </r>
  <r>
    <n v="155"/>
    <x v="11"/>
    <x v="55"/>
    <s v="Leather"/>
    <x v="1"/>
    <x v="1"/>
    <n v="40"/>
    <n v="10.5"/>
    <n v="20"/>
    <s v="Silver"/>
    <x v="0"/>
    <s v="Date"/>
    <x v="8"/>
    <x v="93"/>
    <x v="0"/>
    <x v="6"/>
  </r>
  <r>
    <n v="156"/>
    <x v="11"/>
    <x v="55"/>
    <s v="Leather"/>
    <x v="1"/>
    <x v="1"/>
    <n v="40"/>
    <n v="10.6"/>
    <n v="20"/>
    <s v="Silver"/>
    <x v="0"/>
    <s v="Date"/>
    <x v="8"/>
    <x v="94"/>
    <x v="0"/>
    <x v="6"/>
  </r>
  <r>
    <n v="157"/>
    <x v="12"/>
    <x v="56"/>
    <s v="Stainless Steel"/>
    <x v="1"/>
    <x v="2"/>
    <n v="42"/>
    <n v="10.88"/>
    <n v="22"/>
    <s v="Blue"/>
    <x v="0"/>
    <s v="Date"/>
    <x v="13"/>
    <x v="45"/>
    <x v="0"/>
    <x v="1"/>
  </r>
  <r>
    <n v="158"/>
    <x v="12"/>
    <x v="57"/>
    <s v="Stainless Steel"/>
    <x v="1"/>
    <x v="2"/>
    <n v="41"/>
    <n v="10.88"/>
    <n v="26"/>
    <s v="Black"/>
    <x v="0"/>
    <s v="Chronograph"/>
    <x v="14"/>
    <x v="47"/>
    <x v="0"/>
    <x v="1"/>
  </r>
  <r>
    <n v="159"/>
    <x v="12"/>
    <x v="58"/>
    <s v="Stainless Steel"/>
    <x v="1"/>
    <x v="2"/>
    <n v="38"/>
    <n v="10.88"/>
    <n v="20"/>
    <s v="Blue"/>
    <x v="0"/>
    <s v="Date"/>
    <x v="13"/>
    <x v="47"/>
    <x v="0"/>
    <x v="1"/>
  </r>
  <r>
    <n v="160"/>
    <x v="12"/>
    <x v="57"/>
    <s v="Stainless Steel"/>
    <x v="1"/>
    <x v="2"/>
    <n v="41"/>
    <n v="10.88"/>
    <n v="22"/>
    <s v="Blue"/>
    <x v="0"/>
    <s v="Date"/>
    <x v="13"/>
    <x v="48"/>
    <x v="0"/>
    <x v="1"/>
  </r>
  <r>
    <n v="161"/>
    <x v="12"/>
    <x v="56"/>
    <s v="Stainless Steel"/>
    <x v="1"/>
    <x v="2"/>
    <n v="42"/>
    <n v="10.88"/>
    <n v="22"/>
    <s v="Blue"/>
    <x v="0"/>
    <s v="Date"/>
    <x v="13"/>
    <x v="48"/>
    <x v="0"/>
    <x v="1"/>
  </r>
  <r>
    <n v="162"/>
    <x v="12"/>
    <x v="56"/>
    <s v="Stainless Steel"/>
    <x v="1"/>
    <x v="2"/>
    <n v="42"/>
    <n v="10.88"/>
    <n v="22"/>
    <s v="Black"/>
    <x v="0"/>
    <s v="None"/>
    <x v="13"/>
    <x v="95"/>
    <x v="0"/>
    <x v="1"/>
  </r>
  <r>
    <n v="163"/>
    <x v="12"/>
    <x v="56"/>
    <s v="Stainless Steel"/>
    <x v="1"/>
    <x v="2"/>
    <n v="42"/>
    <n v="10.88"/>
    <n v="22"/>
    <s v="Blue"/>
    <x v="0"/>
    <s v="Date"/>
    <x v="13"/>
    <x v="96"/>
    <x v="0"/>
    <x v="1"/>
  </r>
  <r>
    <n v="164"/>
    <x v="12"/>
    <x v="57"/>
    <s v="Stainless Steel"/>
    <x v="1"/>
    <x v="2"/>
    <n v="41"/>
    <n v="10.88"/>
    <n v="22"/>
    <s v="Black"/>
    <x v="0"/>
    <s v="Date"/>
    <x v="14"/>
    <x v="97"/>
    <x v="0"/>
    <x v="4"/>
  </r>
  <r>
    <n v="165"/>
    <x v="12"/>
    <x v="56"/>
    <s v="Stainless Steel"/>
    <x v="1"/>
    <x v="2"/>
    <n v="42"/>
    <n v="10.88"/>
    <n v="25"/>
    <s v="Black"/>
    <x v="0"/>
    <s v="Date"/>
    <x v="14"/>
    <x v="60"/>
    <x v="0"/>
    <x v="4"/>
  </r>
  <r>
    <n v="166"/>
    <x v="12"/>
    <x v="56"/>
    <s v="Stainless Steel"/>
    <x v="1"/>
    <x v="2"/>
    <n v="42"/>
    <n v="10.88"/>
    <n v="22"/>
    <s v="Silver"/>
    <x v="0"/>
    <s v="None"/>
    <x v="14"/>
    <x v="98"/>
    <x v="0"/>
    <x v="4"/>
  </r>
  <r>
    <n v="167"/>
    <x v="12"/>
    <x v="56"/>
    <s v="Stainless Steel"/>
    <x v="1"/>
    <x v="2"/>
    <n v="42"/>
    <n v="10.88"/>
    <n v="22"/>
    <s v="Blue"/>
    <x v="0"/>
    <s v="Date"/>
    <x v="13"/>
    <x v="99"/>
    <x v="0"/>
    <x v="4"/>
  </r>
  <r>
    <n v="168"/>
    <x v="12"/>
    <x v="56"/>
    <s v="Stainless Steel"/>
    <x v="1"/>
    <x v="2"/>
    <n v="42"/>
    <n v="10.88"/>
    <n v="22"/>
    <s v="Black"/>
    <x v="0"/>
    <s v="Date"/>
    <x v="13"/>
    <x v="99"/>
    <x v="0"/>
    <x v="4"/>
  </r>
  <r>
    <n v="169"/>
    <x v="12"/>
    <x v="56"/>
    <s v="Stainless Steel"/>
    <x v="1"/>
    <x v="2"/>
    <n v="42"/>
    <n v="10.88"/>
    <n v="22"/>
    <s v="Blue"/>
    <x v="0"/>
    <s v="Date"/>
    <x v="13"/>
    <x v="99"/>
    <x v="0"/>
    <x v="4"/>
  </r>
  <r>
    <n v="170"/>
    <x v="12"/>
    <x v="58"/>
    <s v="Stainless Steel"/>
    <x v="1"/>
    <x v="2"/>
    <n v="38"/>
    <n v="10.88"/>
    <n v="25"/>
    <s v="Black"/>
    <x v="0"/>
    <s v="Date"/>
    <x v="14"/>
    <x v="100"/>
    <x v="0"/>
    <x v="4"/>
  </r>
  <r>
    <n v="171"/>
    <x v="12"/>
    <x v="58"/>
    <s v="Stainless Steel"/>
    <x v="1"/>
    <x v="2"/>
    <n v="38"/>
    <n v="10.88"/>
    <n v="22"/>
    <s v="Black"/>
    <x v="0"/>
    <s v="None"/>
    <x v="14"/>
    <x v="101"/>
    <x v="0"/>
    <x v="4"/>
  </r>
  <r>
    <n v="172"/>
    <x v="12"/>
    <x v="56"/>
    <s v="Stainless Steel"/>
    <x v="1"/>
    <x v="2"/>
    <n v="42"/>
    <n v="10.88"/>
    <n v="25"/>
    <s v="Black"/>
    <x v="0"/>
    <s v="Date"/>
    <x v="14"/>
    <x v="102"/>
    <x v="0"/>
    <x v="4"/>
  </r>
  <r>
    <n v="173"/>
    <x v="12"/>
    <x v="56"/>
    <s v="Stainless Steel"/>
    <x v="1"/>
    <x v="2"/>
    <n v="42"/>
    <n v="10.88"/>
    <n v="20"/>
    <s v="Blue"/>
    <x v="0"/>
    <s v="None"/>
    <x v="13"/>
    <x v="103"/>
    <x v="0"/>
    <x v="4"/>
  </r>
  <r>
    <n v="174"/>
    <x v="12"/>
    <x v="56"/>
    <s v="Stainless Steel"/>
    <x v="1"/>
    <x v="2"/>
    <n v="42"/>
    <n v="10.88"/>
    <n v="25"/>
    <s v="Blue"/>
    <x v="0"/>
    <s v="None"/>
    <x v="13"/>
    <x v="76"/>
    <x v="0"/>
    <x v="4"/>
  </r>
  <r>
    <n v="175"/>
    <x v="12"/>
    <x v="58"/>
    <s v="Stainless Steel"/>
    <x v="1"/>
    <x v="2"/>
    <n v="38"/>
    <n v="10.88"/>
    <n v="25"/>
    <s v="Blue"/>
    <x v="0"/>
    <s v="None"/>
    <x v="13"/>
    <x v="104"/>
    <x v="0"/>
    <x v="4"/>
  </r>
  <r>
    <n v="176"/>
    <x v="12"/>
    <x v="56"/>
    <s v="Stainless Steel"/>
    <x v="1"/>
    <x v="2"/>
    <n v="42"/>
    <n v="10.88"/>
    <n v="22"/>
    <s v="Blue"/>
    <x v="0"/>
    <s v="Date"/>
    <x v="13"/>
    <x v="78"/>
    <x v="0"/>
    <x v="4"/>
  </r>
  <r>
    <n v="177"/>
    <x v="13"/>
    <x v="59"/>
    <s v="Leather"/>
    <x v="1"/>
    <x v="1"/>
    <n v="42"/>
    <n v="12.2"/>
    <n v="21"/>
    <s v="Silver"/>
    <x v="0"/>
    <s v="None"/>
    <x v="4"/>
    <x v="98"/>
    <x v="0"/>
    <x v="4"/>
  </r>
  <r>
    <n v="178"/>
    <x v="14"/>
    <x v="60"/>
    <s v="Leather"/>
    <x v="1"/>
    <x v="1"/>
    <n v="40"/>
    <n v="11.15"/>
    <n v="20"/>
    <s v="Silver"/>
    <x v="0"/>
    <s v="Date"/>
    <x v="15"/>
    <x v="105"/>
    <x v="0"/>
    <x v="6"/>
  </r>
  <r>
    <n v="179"/>
    <x v="14"/>
    <x v="61"/>
    <s v="NATO Strap"/>
    <x v="1"/>
    <x v="2"/>
    <n v="38"/>
    <n v="9.6999999999999993"/>
    <n v="20"/>
    <s v="Black"/>
    <x v="0"/>
    <s v="None"/>
    <x v="15"/>
    <x v="106"/>
    <x v="0"/>
    <x v="5"/>
  </r>
  <r>
    <n v="180"/>
    <x v="14"/>
    <x v="62"/>
    <s v="Leather"/>
    <x v="1"/>
    <x v="2"/>
    <n v="38"/>
    <n v="9.85"/>
    <n v="20"/>
    <s v="Black"/>
    <x v="0"/>
    <s v="None"/>
    <x v="15"/>
    <x v="107"/>
    <x v="0"/>
    <x v="5"/>
  </r>
  <r>
    <n v="181"/>
    <x v="14"/>
    <x v="61"/>
    <s v="Leather"/>
    <x v="1"/>
    <x v="2"/>
    <n v="38"/>
    <n v="9.8000000000000007"/>
    <n v="20"/>
    <s v="Black"/>
    <x v="0"/>
    <s v="None"/>
    <x v="15"/>
    <x v="108"/>
    <x v="0"/>
    <x v="5"/>
  </r>
  <r>
    <n v="182"/>
    <x v="15"/>
    <x v="63"/>
    <s v="Rubber"/>
    <x v="1"/>
    <x v="1"/>
    <n v="42"/>
    <n v="10.5"/>
    <n v="22"/>
    <s v="Blue"/>
    <x v="0"/>
    <s v="None"/>
    <x v="6"/>
    <x v="109"/>
    <x v="0"/>
    <x v="0"/>
  </r>
  <r>
    <n v="183"/>
    <x v="15"/>
    <x v="64"/>
    <s v="Rubber"/>
    <x v="1"/>
    <x v="2"/>
    <n v="44"/>
    <n v="14.5"/>
    <n v="22"/>
    <s v="Black"/>
    <x v="0"/>
    <s v="Chronograph"/>
    <x v="1"/>
    <x v="23"/>
    <x v="0"/>
    <x v="1"/>
  </r>
  <r>
    <n v="184"/>
    <x v="15"/>
    <x v="65"/>
    <s v="Rubber"/>
    <x v="1"/>
    <x v="2"/>
    <n v="44"/>
    <n v="14.5"/>
    <n v="24"/>
    <s v="Black"/>
    <x v="0"/>
    <s v="Chronograph"/>
    <x v="1"/>
    <x v="25"/>
    <x v="0"/>
    <x v="1"/>
  </r>
  <r>
    <n v="185"/>
    <x v="15"/>
    <x v="66"/>
    <s v="Rubber"/>
    <x v="1"/>
    <x v="2"/>
    <n v="44"/>
    <n v="14.5"/>
    <n v="26"/>
    <s v="Black"/>
    <x v="0"/>
    <s v="Chronograph"/>
    <x v="1"/>
    <x v="110"/>
    <x v="0"/>
    <x v="1"/>
  </r>
  <r>
    <n v="186"/>
    <x v="15"/>
    <x v="65"/>
    <s v="Rubber"/>
    <x v="1"/>
    <x v="2"/>
    <n v="44"/>
    <n v="14.5"/>
    <n v="25"/>
    <s v="Black"/>
    <x v="0"/>
    <s v="Chronograph"/>
    <x v="1"/>
    <x v="34"/>
    <x v="0"/>
    <x v="1"/>
  </r>
  <r>
    <n v="187"/>
    <x v="15"/>
    <x v="65"/>
    <s v="Rubber"/>
    <x v="1"/>
    <x v="2"/>
    <n v="44"/>
    <n v="14.5"/>
    <n v="24"/>
    <s v="Blue"/>
    <x v="0"/>
    <s v="Chronograph"/>
    <x v="1"/>
    <x v="58"/>
    <x v="0"/>
    <x v="1"/>
  </r>
  <r>
    <n v="188"/>
    <x v="15"/>
    <x v="67"/>
    <s v="Rubber"/>
    <x v="1"/>
    <x v="2"/>
    <n v="41"/>
    <n v="14.5"/>
    <n v="20"/>
    <s v="Black"/>
    <x v="0"/>
    <s v="Chronograph"/>
    <x v="1"/>
    <x v="58"/>
    <x v="0"/>
    <x v="1"/>
  </r>
  <r>
    <n v="189"/>
    <x v="15"/>
    <x v="68"/>
    <s v="Rubber"/>
    <x v="1"/>
    <x v="2"/>
    <n v="42"/>
    <n v="14.1"/>
    <n v="24"/>
    <s v="Black"/>
    <x v="0"/>
    <s v="Chronograph"/>
    <x v="1"/>
    <x v="58"/>
    <x v="0"/>
    <x v="1"/>
  </r>
  <r>
    <n v="190"/>
    <x v="15"/>
    <x v="65"/>
    <s v="Rubber"/>
    <x v="1"/>
    <x v="2"/>
    <n v="44"/>
    <n v="14.5"/>
    <n v="24"/>
    <s v="Black"/>
    <x v="0"/>
    <s v="Chronograph, Date"/>
    <x v="1"/>
    <x v="58"/>
    <x v="0"/>
    <x v="1"/>
  </r>
  <r>
    <n v="191"/>
    <x v="15"/>
    <x v="66"/>
    <s v="Rubber"/>
    <x v="1"/>
    <x v="2"/>
    <n v="44"/>
    <n v="14.5"/>
    <n v="24"/>
    <s v="Black"/>
    <x v="0"/>
    <s v="Chronograph"/>
    <x v="1"/>
    <x v="111"/>
    <x v="0"/>
    <x v="1"/>
  </r>
  <r>
    <n v="192"/>
    <x v="15"/>
    <x v="69"/>
    <s v="Rubber"/>
    <x v="1"/>
    <x v="2"/>
    <n v="44.5"/>
    <n v="14.5"/>
    <n v="22"/>
    <s v="Black"/>
    <x v="0"/>
    <s v="Chronograph"/>
    <x v="1"/>
    <x v="35"/>
    <x v="0"/>
    <x v="1"/>
  </r>
  <r>
    <n v="193"/>
    <x v="15"/>
    <x v="64"/>
    <s v="Rubber"/>
    <x v="1"/>
    <x v="2"/>
    <n v="44"/>
    <n v="14.5"/>
    <n v="25"/>
    <s v="Black"/>
    <x v="0"/>
    <s v="Chronograph"/>
    <x v="1"/>
    <x v="35"/>
    <x v="0"/>
    <x v="1"/>
  </r>
  <r>
    <n v="194"/>
    <x v="15"/>
    <x v="65"/>
    <s v="Rubber"/>
    <x v="1"/>
    <x v="2"/>
    <n v="44"/>
    <n v="14.5"/>
    <n v="22"/>
    <s v="Black"/>
    <x v="0"/>
    <s v="Chronograph"/>
    <x v="1"/>
    <x v="35"/>
    <x v="0"/>
    <x v="1"/>
  </r>
  <r>
    <n v="195"/>
    <x v="15"/>
    <x v="65"/>
    <s v="Rubber"/>
    <x v="1"/>
    <x v="2"/>
    <n v="44"/>
    <n v="14.5"/>
    <n v="25"/>
    <s v="Black"/>
    <x v="0"/>
    <s v="Chronograph"/>
    <x v="1"/>
    <x v="40"/>
    <x v="0"/>
    <x v="1"/>
  </r>
  <r>
    <n v="196"/>
    <x v="15"/>
    <x v="67"/>
    <s v="Rubber"/>
    <x v="1"/>
    <x v="2"/>
    <n v="41"/>
    <n v="14.6"/>
    <n v="20"/>
    <s v="Black"/>
    <x v="0"/>
    <s v="Chronograph"/>
    <x v="6"/>
    <x v="40"/>
    <x v="0"/>
    <x v="1"/>
  </r>
  <r>
    <n v="197"/>
    <x v="15"/>
    <x v="65"/>
    <s v="Rubber"/>
    <x v="1"/>
    <x v="2"/>
    <n v="44"/>
    <n v="14.5"/>
    <n v="24"/>
    <s v="Black"/>
    <x v="0"/>
    <s v="Date, Chronograph"/>
    <x v="1"/>
    <x v="43"/>
    <x v="0"/>
    <x v="1"/>
  </r>
  <r>
    <n v="198"/>
    <x v="15"/>
    <x v="68"/>
    <s v="Rubber"/>
    <x v="1"/>
    <x v="2"/>
    <n v="42"/>
    <n v="14.1"/>
    <n v="24"/>
    <s v="Black"/>
    <x v="0"/>
    <s v="Date, Chronograph"/>
    <x v="6"/>
    <x v="47"/>
    <x v="0"/>
    <x v="1"/>
  </r>
  <r>
    <n v="199"/>
    <x v="15"/>
    <x v="64"/>
    <s v="Rubber"/>
    <x v="1"/>
    <x v="2"/>
    <n v="44"/>
    <n v="14.5"/>
    <n v="26"/>
    <s v="Black"/>
    <x v="0"/>
    <s v="Chronograph"/>
    <x v="1"/>
    <x v="47"/>
    <x v="0"/>
    <x v="1"/>
  </r>
  <r>
    <n v="200"/>
    <x v="15"/>
    <x v="70"/>
    <s v="Rubber"/>
    <x v="1"/>
    <x v="1"/>
    <n v="45"/>
    <n v="10.95"/>
    <n v="22"/>
    <s v="Blue"/>
    <x v="0"/>
    <s v="None"/>
    <x v="6"/>
    <x v="60"/>
    <x v="0"/>
    <x v="4"/>
  </r>
  <r>
    <n v="201"/>
    <x v="15"/>
    <x v="71"/>
    <s v="Rubber"/>
    <x v="1"/>
    <x v="2"/>
    <n v="42"/>
    <n v="14.5"/>
    <n v="24"/>
    <s v="Black"/>
    <x v="0"/>
    <s v="Chronograph, Date"/>
    <x v="1"/>
    <x v="112"/>
    <x v="0"/>
    <x v="4"/>
  </r>
  <r>
    <n v="202"/>
    <x v="15"/>
    <x v="72"/>
    <s v="Rubber"/>
    <x v="1"/>
    <x v="1"/>
    <n v="42"/>
    <n v="10.5"/>
    <n v="22"/>
    <s v="Blue"/>
    <x v="0"/>
    <s v="Date"/>
    <x v="6"/>
    <x v="101"/>
    <x v="0"/>
    <x v="4"/>
  </r>
  <r>
    <n v="203"/>
    <x v="15"/>
    <x v="72"/>
    <s v="Rubber"/>
    <x v="1"/>
    <x v="1"/>
    <n v="42"/>
    <n v="10.5"/>
    <n v="22"/>
    <s v="Black"/>
    <x v="0"/>
    <s v="None"/>
    <x v="6"/>
    <x v="113"/>
    <x v="0"/>
    <x v="4"/>
  </r>
  <r>
    <n v="204"/>
    <x v="15"/>
    <x v="72"/>
    <s v="Rubber"/>
    <x v="1"/>
    <x v="1"/>
    <n v="42"/>
    <n v="10.6"/>
    <n v="22"/>
    <s v="Black"/>
    <x v="0"/>
    <s v="Date"/>
    <x v="6"/>
    <x v="114"/>
    <x v="0"/>
    <x v="4"/>
  </r>
  <r>
    <n v="205"/>
    <x v="15"/>
    <x v="70"/>
    <s v="Rubber"/>
    <x v="1"/>
    <x v="1"/>
    <n v="45"/>
    <n v="10.95"/>
    <n v="24"/>
    <s v="Blue"/>
    <x v="0"/>
    <s v="Date"/>
    <x v="6"/>
    <x v="76"/>
    <x v="0"/>
    <x v="4"/>
  </r>
  <r>
    <n v="206"/>
    <x v="15"/>
    <x v="72"/>
    <s v="Rubber"/>
    <x v="1"/>
    <x v="1"/>
    <n v="42"/>
    <n v="9.85"/>
    <n v="22"/>
    <s v="Blue"/>
    <x v="0"/>
    <s v="None"/>
    <x v="6"/>
    <x v="76"/>
    <x v="0"/>
    <x v="4"/>
  </r>
  <r>
    <n v="207"/>
    <x v="15"/>
    <x v="72"/>
    <s v="Rubber"/>
    <x v="1"/>
    <x v="1"/>
    <n v="42"/>
    <n v="9.3000000000000007"/>
    <n v="20"/>
    <s v="Black"/>
    <x v="0"/>
    <s v="None"/>
    <x v="6"/>
    <x v="78"/>
    <x v="0"/>
    <x v="4"/>
  </r>
  <r>
    <n v="208"/>
    <x v="16"/>
    <x v="73"/>
    <s v="Leather"/>
    <x v="1"/>
    <x v="0"/>
    <n v="41"/>
    <n v="12.3"/>
    <n v="22"/>
    <s v="Blue"/>
    <x v="0"/>
    <s v="Chronograph, Moon Phase"/>
    <x v="14"/>
    <x v="115"/>
    <x v="0"/>
    <x v="4"/>
  </r>
  <r>
    <n v="209"/>
    <x v="16"/>
    <x v="73"/>
    <s v="Leather"/>
    <x v="1"/>
    <x v="0"/>
    <n v="41"/>
    <n v="12.3"/>
    <n v="22"/>
    <s v="White"/>
    <x v="0"/>
    <s v="Date"/>
    <x v="16"/>
    <x v="60"/>
    <x v="0"/>
    <x v="4"/>
  </r>
  <r>
    <n v="210"/>
    <x v="16"/>
    <x v="74"/>
    <s v="Leather"/>
    <x v="1"/>
    <x v="0"/>
    <n v="42.3"/>
    <n v="14.2"/>
    <n v="22"/>
    <s v="Blue"/>
    <x v="0"/>
    <s v="None"/>
    <x v="2"/>
    <x v="116"/>
    <x v="0"/>
    <x v="4"/>
  </r>
  <r>
    <n v="211"/>
    <x v="16"/>
    <x v="73"/>
    <s v="Leather"/>
    <x v="1"/>
    <x v="0"/>
    <n v="41"/>
    <n v="12.3"/>
    <n v="22"/>
    <s v="Blue"/>
    <x v="0"/>
    <s v="Date"/>
    <x v="2"/>
    <x v="112"/>
    <x v="0"/>
    <x v="4"/>
  </r>
  <r>
    <n v="212"/>
    <x v="16"/>
    <x v="73"/>
    <s v="Leather"/>
    <x v="1"/>
    <x v="0"/>
    <n v="41"/>
    <n v="12.3"/>
    <n v="22"/>
    <s v="Silver"/>
    <x v="0"/>
    <s v="Date"/>
    <x v="2"/>
    <x v="112"/>
    <x v="0"/>
    <x v="4"/>
  </r>
  <r>
    <n v="213"/>
    <x v="16"/>
    <x v="75"/>
    <s v="Alligator"/>
    <x v="1"/>
    <x v="0"/>
    <n v="40.4"/>
    <n v="12.3"/>
    <n v="20"/>
    <s v="Silver"/>
    <x v="0"/>
    <s v="Date"/>
    <x v="2"/>
    <x v="61"/>
    <x v="0"/>
    <x v="4"/>
  </r>
  <r>
    <n v="214"/>
    <x v="16"/>
    <x v="76"/>
    <s v="Leather"/>
    <x v="1"/>
    <x v="0"/>
    <n v="42.3"/>
    <n v="14.2"/>
    <n v="22"/>
    <s v="White"/>
    <x v="0"/>
    <s v="Date"/>
    <x v="2"/>
    <x v="61"/>
    <x v="0"/>
    <x v="4"/>
  </r>
  <r>
    <n v="215"/>
    <x v="16"/>
    <x v="73"/>
    <s v="Leather"/>
    <x v="1"/>
    <x v="0"/>
    <n v="41"/>
    <n v="12.3"/>
    <n v="22"/>
    <s v="Blue"/>
    <x v="0"/>
    <s v="None"/>
    <x v="2"/>
    <x v="101"/>
    <x v="0"/>
    <x v="4"/>
  </r>
  <r>
    <n v="216"/>
    <x v="16"/>
    <x v="73"/>
    <s v="Leather"/>
    <x v="1"/>
    <x v="0"/>
    <n v="41"/>
    <n v="13.1"/>
    <n v="22"/>
    <s v="Silver"/>
    <x v="0"/>
    <s v="Date"/>
    <x v="2"/>
    <x v="101"/>
    <x v="0"/>
    <x v="4"/>
  </r>
  <r>
    <n v="217"/>
    <x v="16"/>
    <x v="73"/>
    <s v="Leather"/>
    <x v="1"/>
    <x v="0"/>
    <n v="41"/>
    <n v="12.3"/>
    <n v="22"/>
    <s v="Blue"/>
    <x v="0"/>
    <s v="Date, Power Reserve Indicator"/>
    <x v="6"/>
    <x v="101"/>
    <x v="0"/>
    <x v="4"/>
  </r>
  <r>
    <n v="218"/>
    <x v="16"/>
    <x v="73"/>
    <s v="Leather"/>
    <x v="1"/>
    <x v="0"/>
    <n v="41"/>
    <n v="12.3"/>
    <n v="22"/>
    <s v="Silver"/>
    <x v="0"/>
    <s v="None"/>
    <x v="2"/>
    <x v="117"/>
    <x v="0"/>
    <x v="4"/>
  </r>
  <r>
    <n v="219"/>
    <x v="16"/>
    <x v="73"/>
    <s v="Leather"/>
    <x v="1"/>
    <x v="0"/>
    <n v="41"/>
    <n v="12.3"/>
    <n v="22"/>
    <s v="Silver"/>
    <x v="0"/>
    <s v="Chronograph, Date"/>
    <x v="14"/>
    <x v="118"/>
    <x v="0"/>
    <x v="4"/>
  </r>
  <r>
    <n v="220"/>
    <x v="16"/>
    <x v="73"/>
    <s v="Leather"/>
    <x v="1"/>
    <x v="0"/>
    <n v="41"/>
    <n v="12.3"/>
    <n v="22"/>
    <s v="Silver"/>
    <x v="0"/>
    <s v="None"/>
    <x v="2"/>
    <x v="119"/>
    <x v="0"/>
    <x v="4"/>
  </r>
  <r>
    <n v="221"/>
    <x v="16"/>
    <x v="73"/>
    <s v="Leather"/>
    <x v="1"/>
    <x v="0"/>
    <n v="41"/>
    <n v="12.3"/>
    <n v="22"/>
    <s v="Silver"/>
    <x v="0"/>
    <s v="None"/>
    <x v="2"/>
    <x v="119"/>
    <x v="0"/>
    <x v="4"/>
  </r>
  <r>
    <n v="222"/>
    <x v="16"/>
    <x v="73"/>
    <s v="Leather"/>
    <x v="1"/>
    <x v="0"/>
    <n v="41"/>
    <n v="12.3"/>
    <n v="22"/>
    <s v="Blue"/>
    <x v="0"/>
    <s v="None"/>
    <x v="2"/>
    <x v="62"/>
    <x v="0"/>
    <x v="4"/>
  </r>
  <r>
    <n v="223"/>
    <x v="16"/>
    <x v="77"/>
    <s v="Leather"/>
    <x v="1"/>
    <x v="0"/>
    <n v="41.5"/>
    <n v="12.3"/>
    <n v="22"/>
    <s v="Silver"/>
    <x v="0"/>
    <s v="None"/>
    <x v="2"/>
    <x v="103"/>
    <x v="0"/>
    <x v="4"/>
  </r>
  <r>
    <n v="224"/>
    <x v="16"/>
    <x v="74"/>
    <s v="Leather"/>
    <x v="1"/>
    <x v="0"/>
    <n v="42.3"/>
    <n v="14.2"/>
    <n v="22"/>
    <s v="White"/>
    <x v="0"/>
    <s v="Chronograph"/>
    <x v="14"/>
    <x v="103"/>
    <x v="0"/>
    <x v="4"/>
  </r>
  <r>
    <n v="225"/>
    <x v="16"/>
    <x v="78"/>
    <s v="Leather"/>
    <x v="1"/>
    <x v="0"/>
    <n v="41"/>
    <n v="13.1"/>
    <n v="20"/>
    <s v="White"/>
    <x v="0"/>
    <s v="Chronograph"/>
    <x v="14"/>
    <x v="120"/>
    <x v="0"/>
    <x v="4"/>
  </r>
  <r>
    <n v="226"/>
    <x v="16"/>
    <x v="75"/>
    <s v="Leather"/>
    <x v="1"/>
    <x v="0"/>
    <n v="40.4"/>
    <n v="12.6"/>
    <n v="20"/>
    <s v="Silver"/>
    <x v="0"/>
    <s v="None"/>
    <x v="17"/>
    <x v="120"/>
    <x v="0"/>
    <x v="4"/>
  </r>
  <r>
    <n v="227"/>
    <x v="16"/>
    <x v="73"/>
    <s v="Leather"/>
    <x v="1"/>
    <x v="0"/>
    <n v="41"/>
    <n v="12.3"/>
    <n v="22"/>
    <s v="Silver"/>
    <x v="0"/>
    <s v="None"/>
    <x v="14"/>
    <x v="76"/>
    <x v="0"/>
    <x v="4"/>
  </r>
  <r>
    <n v="228"/>
    <x v="16"/>
    <x v="79"/>
    <s v="Leather"/>
    <x v="1"/>
    <x v="8"/>
    <n v="46.2"/>
    <n v="15"/>
    <n v="20"/>
    <s v="Black"/>
    <x v="0"/>
    <s v="Chronograph"/>
    <x v="18"/>
    <x v="76"/>
    <x v="0"/>
    <x v="4"/>
  </r>
  <r>
    <n v="229"/>
    <x v="16"/>
    <x v="75"/>
    <s v="Leather"/>
    <x v="1"/>
    <x v="0"/>
    <n v="40.4"/>
    <n v="12.3"/>
    <n v="22"/>
    <s v="White"/>
    <x v="0"/>
    <s v="Date"/>
    <x v="2"/>
    <x v="76"/>
    <x v="0"/>
    <x v="4"/>
  </r>
  <r>
    <n v="230"/>
    <x v="16"/>
    <x v="75"/>
    <s v="Leather"/>
    <x v="1"/>
    <x v="0"/>
    <n v="40.4"/>
    <n v="12.3"/>
    <n v="20"/>
    <s v="White"/>
    <x v="0"/>
    <s v="None"/>
    <x v="2"/>
    <x v="76"/>
    <x v="0"/>
    <x v="4"/>
  </r>
  <r>
    <n v="231"/>
    <x v="16"/>
    <x v="75"/>
    <s v="Leather"/>
    <x v="1"/>
    <x v="0"/>
    <n v="40.4"/>
    <n v="12.3"/>
    <n v="20"/>
    <s v="Silver"/>
    <x v="0"/>
    <s v="Chronograph"/>
    <x v="14"/>
    <x v="121"/>
    <x v="0"/>
    <x v="4"/>
  </r>
  <r>
    <n v="232"/>
    <x v="16"/>
    <x v="80"/>
    <s v="Leather"/>
    <x v="1"/>
    <x v="0"/>
    <n v="40.9"/>
    <n v="12.3"/>
    <n v="20"/>
    <s v="Silver"/>
    <x v="0"/>
    <s v="Date"/>
    <x v="17"/>
    <x v="63"/>
    <x v="0"/>
    <x v="4"/>
  </r>
  <r>
    <n v="233"/>
    <x v="16"/>
    <x v="73"/>
    <s v="Leather"/>
    <x v="1"/>
    <x v="0"/>
    <n v="41"/>
    <n v="12.3"/>
    <n v="22"/>
    <s v="Blue"/>
    <x v="0"/>
    <s v="None"/>
    <x v="2"/>
    <x v="63"/>
    <x v="0"/>
    <x v="4"/>
  </r>
  <r>
    <n v="234"/>
    <x v="16"/>
    <x v="81"/>
    <s v="Leather"/>
    <x v="1"/>
    <x v="8"/>
    <n v="41"/>
    <n v="12.5"/>
    <n v="20"/>
    <s v="Black"/>
    <x v="0"/>
    <s v="Date, Chronograph"/>
    <x v="17"/>
    <x v="85"/>
    <x v="0"/>
    <x v="4"/>
  </r>
  <r>
    <n v="235"/>
    <x v="16"/>
    <x v="73"/>
    <s v="Leather"/>
    <x v="1"/>
    <x v="0"/>
    <n v="41"/>
    <n v="12.3"/>
    <n v="22"/>
    <s v="Blue"/>
    <x v="0"/>
    <s v="Date"/>
    <x v="2"/>
    <x v="78"/>
    <x v="0"/>
    <x v="4"/>
  </r>
  <r>
    <n v="236"/>
    <x v="16"/>
    <x v="82"/>
    <s v="Leather"/>
    <x v="1"/>
    <x v="8"/>
    <n v="41"/>
    <n v="15.3"/>
    <n v="20"/>
    <s v="Black"/>
    <x v="0"/>
    <s v="Date"/>
    <x v="6"/>
    <x v="89"/>
    <x v="0"/>
    <x v="4"/>
  </r>
  <r>
    <n v="237"/>
    <x v="16"/>
    <x v="82"/>
    <s v="Leather"/>
    <x v="1"/>
    <x v="8"/>
    <n v="41"/>
    <n v="12.5"/>
    <n v="20"/>
    <s v="Black"/>
    <x v="0"/>
    <s v="Date, Chronograph"/>
    <x v="17"/>
    <x v="80"/>
    <x v="0"/>
    <x v="4"/>
  </r>
  <r>
    <n v="238"/>
    <x v="16"/>
    <x v="82"/>
    <s v="Leather"/>
    <x v="1"/>
    <x v="8"/>
    <n v="41"/>
    <n v="10.8"/>
    <n v="20"/>
    <s v="Black"/>
    <x v="0"/>
    <s v="Date, Stopwatch"/>
    <x v="6"/>
    <x v="80"/>
    <x v="0"/>
    <x v="4"/>
  </r>
  <r>
    <n v="239"/>
    <x v="16"/>
    <x v="82"/>
    <s v="Leather"/>
    <x v="1"/>
    <x v="8"/>
    <n v="41"/>
    <n v="15.3"/>
    <n v="22"/>
    <s v="Black"/>
    <x v="0"/>
    <s v="Date"/>
    <x v="1"/>
    <x v="122"/>
    <x v="0"/>
    <x v="4"/>
  </r>
  <r>
    <n v="240"/>
    <x v="16"/>
    <x v="83"/>
    <s v="Leather"/>
    <x v="1"/>
    <x v="8"/>
    <n v="43"/>
    <n v="15"/>
    <n v="22"/>
    <s v="Black"/>
    <x v="0"/>
    <s v="Date"/>
    <x v="1"/>
    <x v="123"/>
    <x v="0"/>
    <x v="3"/>
  </r>
  <r>
    <n v="241"/>
    <x v="16"/>
    <x v="82"/>
    <s v="Leather"/>
    <x v="1"/>
    <x v="8"/>
    <n v="41"/>
    <n v="12.5"/>
    <n v="20"/>
    <s v="Black"/>
    <x v="0"/>
    <s v="Date"/>
    <x v="6"/>
    <x v="64"/>
    <x v="0"/>
    <x v="3"/>
  </r>
  <r>
    <n v="242"/>
    <x v="16"/>
    <x v="82"/>
    <s v="Leather"/>
    <x v="1"/>
    <x v="8"/>
    <n v="41"/>
    <n v="12.8"/>
    <n v="22"/>
    <s v="Black"/>
    <x v="0"/>
    <s v="Date"/>
    <x v="6"/>
    <x v="64"/>
    <x v="0"/>
    <x v="3"/>
  </r>
  <r>
    <n v="243"/>
    <x v="16"/>
    <x v="84"/>
    <s v="Leather"/>
    <x v="1"/>
    <x v="8"/>
    <n v="39"/>
    <n v="10.86"/>
    <n v="20"/>
    <s v="Black"/>
    <x v="0"/>
    <s v="Date"/>
    <x v="6"/>
    <x v="30"/>
    <x v="0"/>
    <x v="3"/>
  </r>
  <r>
    <n v="244"/>
    <x v="16"/>
    <x v="85"/>
    <s v="Leather"/>
    <x v="1"/>
    <x v="8"/>
    <n v="40"/>
    <n v="10.8"/>
    <n v="20"/>
    <s v="Black"/>
    <x v="0"/>
    <s v="Date"/>
    <x v="6"/>
    <x v="124"/>
    <x v="0"/>
    <x v="3"/>
  </r>
  <r>
    <n v="245"/>
    <x v="16"/>
    <x v="85"/>
    <s v="Leather"/>
    <x v="1"/>
    <x v="8"/>
    <n v="40"/>
    <n v="10.8"/>
    <n v="20"/>
    <s v="Black"/>
    <x v="0"/>
    <s v="Date"/>
    <x v="6"/>
    <x v="125"/>
    <x v="0"/>
    <x v="3"/>
  </r>
  <r>
    <n v="246"/>
    <x v="16"/>
    <x v="82"/>
    <s v="Leather"/>
    <x v="1"/>
    <x v="8"/>
    <n v="41"/>
    <n v="10.86"/>
    <n v="20"/>
    <s v="Black"/>
    <x v="0"/>
    <s v="Date"/>
    <x v="6"/>
    <x v="31"/>
    <x v="0"/>
    <x v="3"/>
  </r>
  <r>
    <n v="247"/>
    <x v="17"/>
    <x v="86"/>
    <s v="Leather"/>
    <x v="1"/>
    <x v="1"/>
    <n v="39"/>
    <n v="7.58"/>
    <n v="20"/>
    <s v="Silver"/>
    <x v="0"/>
    <s v="Date"/>
    <x v="11"/>
    <x v="112"/>
    <x v="0"/>
    <x v="4"/>
  </r>
  <r>
    <n v="248"/>
    <x v="17"/>
    <x v="87"/>
    <s v="Leather"/>
    <x v="1"/>
    <x v="1"/>
    <n v="40"/>
    <n v="8.7799999999999994"/>
    <n v="20"/>
    <s v="Silver"/>
    <x v="0"/>
    <s v="Date, Power Reserve Indicator"/>
    <x v="11"/>
    <x v="101"/>
    <x v="0"/>
    <x v="4"/>
  </r>
  <r>
    <n v="249"/>
    <x v="17"/>
    <x v="88"/>
    <s v="Leather"/>
    <x v="1"/>
    <x v="1"/>
    <n v="39"/>
    <n v="8.5"/>
    <n v="20"/>
    <s v="Silver"/>
    <x v="0"/>
    <s v="Date, Moonphase"/>
    <x v="11"/>
    <x v="113"/>
    <x v="0"/>
    <x v="4"/>
  </r>
  <r>
    <n v="250"/>
    <x v="17"/>
    <x v="86"/>
    <s v="Leather"/>
    <x v="1"/>
    <x v="1"/>
    <n v="39"/>
    <n v="7.58"/>
    <n v="20"/>
    <s v="Silver"/>
    <x v="0"/>
    <s v="None"/>
    <x v="11"/>
    <x v="76"/>
    <x v="0"/>
    <x v="4"/>
  </r>
  <r>
    <n v="251"/>
    <x v="17"/>
    <x v="87"/>
    <s v="Leather"/>
    <x v="1"/>
    <x v="1"/>
    <n v="40"/>
    <n v="8.8000000000000007"/>
    <n v="20"/>
    <s v="Silver"/>
    <x v="0"/>
    <s v="Date"/>
    <x v="11"/>
    <x v="76"/>
    <x v="0"/>
    <x v="4"/>
  </r>
  <r>
    <n v="252"/>
    <x v="17"/>
    <x v="88"/>
    <s v="Leather"/>
    <x v="1"/>
    <x v="1"/>
    <n v="39"/>
    <n v="8.5"/>
    <n v="20"/>
    <s v="Silver"/>
    <x v="0"/>
    <s v="Date"/>
    <x v="11"/>
    <x v="76"/>
    <x v="0"/>
    <x v="4"/>
  </r>
  <r>
    <n v="253"/>
    <x v="17"/>
    <x v="86"/>
    <s v="Leather"/>
    <x v="1"/>
    <x v="1"/>
    <n v="39"/>
    <n v="7.58"/>
    <n v="20"/>
    <s v="Silver"/>
    <x v="0"/>
    <s v="None"/>
    <x v="19"/>
    <x v="85"/>
    <x v="0"/>
    <x v="4"/>
  </r>
  <r>
    <n v="254"/>
    <x v="17"/>
    <x v="87"/>
    <s v="Leather"/>
    <x v="1"/>
    <x v="1"/>
    <n v="40"/>
    <n v="8.8000000000000007"/>
    <n v="20"/>
    <s v="Silver"/>
    <x v="0"/>
    <s v="Date"/>
    <x v="11"/>
    <x v="78"/>
    <x v="0"/>
    <x v="4"/>
  </r>
  <r>
    <n v="255"/>
    <x v="17"/>
    <x v="87"/>
    <s v="Leather"/>
    <x v="1"/>
    <x v="1"/>
    <n v="40"/>
    <n v="8.5"/>
    <n v="20"/>
    <s v="Silver"/>
    <x v="0"/>
    <s v="Date, Moonphase"/>
    <x v="11"/>
    <x v="78"/>
    <x v="0"/>
    <x v="4"/>
  </r>
  <r>
    <n v="256"/>
    <x v="17"/>
    <x v="86"/>
    <s v="Leather"/>
    <x v="1"/>
    <x v="1"/>
    <n v="39"/>
    <n v="7.8"/>
    <n v="20"/>
    <s v="Silver"/>
    <x v="0"/>
    <s v="None"/>
    <x v="11"/>
    <x v="78"/>
    <x v="0"/>
    <x v="4"/>
  </r>
  <r>
    <n v="257"/>
    <x v="17"/>
    <x v="89"/>
    <s v="Leather"/>
    <x v="1"/>
    <x v="1"/>
    <n v="40"/>
    <n v="7.45"/>
    <n v="20"/>
    <s v="Silver"/>
    <x v="0"/>
    <s v="None"/>
    <x v="19"/>
    <x v="86"/>
    <x v="0"/>
    <x v="4"/>
  </r>
  <r>
    <n v="258"/>
    <x v="17"/>
    <x v="86"/>
    <s v="Leather"/>
    <x v="1"/>
    <x v="1"/>
    <n v="39"/>
    <n v="7.5"/>
    <n v="20"/>
    <s v="White"/>
    <x v="0"/>
    <s v="Date"/>
    <x v="8"/>
    <x v="79"/>
    <x v="0"/>
    <x v="4"/>
  </r>
  <r>
    <n v="259"/>
    <x v="17"/>
    <x v="87"/>
    <s v="Leather"/>
    <x v="1"/>
    <x v="1"/>
    <n v="40"/>
    <n v="8.8000000000000007"/>
    <n v="20"/>
    <s v="Silver"/>
    <x v="0"/>
    <s v="Date, Power Reserve"/>
    <x v="11"/>
    <x v="88"/>
    <x v="0"/>
    <x v="4"/>
  </r>
  <r>
    <n v="260"/>
    <x v="17"/>
    <x v="90"/>
    <s v="Leather"/>
    <x v="0"/>
    <x v="0"/>
    <n v="42.9"/>
    <n v="9.1999999999999993"/>
    <n v="20"/>
    <s v="Black"/>
    <x v="0"/>
    <s v="None"/>
    <x v="0"/>
    <x v="80"/>
    <x v="0"/>
    <x v="4"/>
  </r>
  <r>
    <n v="261"/>
    <x v="17"/>
    <x v="90"/>
    <s v="Leather"/>
    <x v="0"/>
    <x v="0"/>
    <n v="42.9"/>
    <n v="9.1999999999999993"/>
    <n v="20"/>
    <s v="Black"/>
    <x v="0"/>
    <s v="None"/>
    <x v="0"/>
    <x v="80"/>
    <x v="0"/>
    <x v="4"/>
  </r>
  <r>
    <n v="262"/>
    <x v="17"/>
    <x v="91"/>
    <s v="Leather"/>
    <x v="1"/>
    <x v="1"/>
    <n v="38"/>
    <n v="7.58"/>
    <n v="20"/>
    <s v="Silver"/>
    <x v="0"/>
    <s v="None"/>
    <x v="11"/>
    <x v="30"/>
    <x v="0"/>
    <x v="3"/>
  </r>
  <r>
    <n v="263"/>
    <x v="18"/>
    <x v="92"/>
    <s v="Leather"/>
    <x v="1"/>
    <x v="0"/>
    <n v="43"/>
    <n v="12.48"/>
    <n v="23"/>
    <s v="Silver"/>
    <x v="0"/>
    <s v="None"/>
    <x v="18"/>
    <x v="51"/>
    <x v="0"/>
    <x v="4"/>
  </r>
  <r>
    <n v="264"/>
    <x v="18"/>
    <x v="92"/>
    <s v="Leather"/>
    <x v="1"/>
    <x v="0"/>
    <n v="43"/>
    <n v="12.27"/>
    <n v="23"/>
    <s v="Black"/>
    <x v="0"/>
    <s v="None"/>
    <x v="18"/>
    <x v="115"/>
    <x v="0"/>
    <x v="4"/>
  </r>
  <r>
    <n v="265"/>
    <x v="18"/>
    <x v="92"/>
    <s v="Leather"/>
    <x v="1"/>
    <x v="0"/>
    <n v="43"/>
    <n v="11.48"/>
    <n v="23"/>
    <s v="Black"/>
    <x v="0"/>
    <s v="None"/>
    <x v="18"/>
    <x v="60"/>
    <x v="0"/>
    <x v="4"/>
  </r>
  <r>
    <n v="266"/>
    <x v="18"/>
    <x v="92"/>
    <s v="Leather"/>
    <x v="1"/>
    <x v="0"/>
    <n v="43"/>
    <n v="11.48"/>
    <n v="22"/>
    <s v="White"/>
    <x v="0"/>
    <s v="None"/>
    <x v="18"/>
    <x v="101"/>
    <x v="0"/>
    <x v="4"/>
  </r>
  <r>
    <n v="267"/>
    <x v="18"/>
    <x v="92"/>
    <s v="Leather"/>
    <x v="1"/>
    <x v="0"/>
    <n v="43"/>
    <n v="12.13"/>
    <n v="23"/>
    <s v="Silver"/>
    <x v="0"/>
    <s v="None"/>
    <x v="18"/>
    <x v="79"/>
    <x v="0"/>
    <x v="4"/>
  </r>
  <r>
    <n v="268"/>
    <x v="19"/>
    <x v="93"/>
    <s v="Leather"/>
    <x v="1"/>
    <x v="0"/>
    <n v="40"/>
    <n v="10.25"/>
    <n v="20"/>
    <s v="Black"/>
    <x v="0"/>
    <s v="Date"/>
    <x v="20"/>
    <x v="32"/>
    <x v="0"/>
    <x v="3"/>
  </r>
  <r>
    <n v="269"/>
    <x v="19"/>
    <x v="94"/>
    <s v="Stainless Steel"/>
    <x v="1"/>
    <x v="3"/>
    <n v="41"/>
    <n v="13.2"/>
    <n v="20"/>
    <s v="Black"/>
    <x v="0"/>
    <s v="Chronograph"/>
    <x v="13"/>
    <x v="126"/>
    <x v="1"/>
    <x v="3"/>
  </r>
  <r>
    <n v="270"/>
    <x v="19"/>
    <x v="95"/>
    <s v="Leather"/>
    <x v="1"/>
    <x v="1"/>
    <n v="40"/>
    <n v="10.75"/>
    <n v="20"/>
    <s v="Silver"/>
    <x v="0"/>
    <s v="Date"/>
    <x v="13"/>
    <x v="127"/>
    <x v="0"/>
    <x v="6"/>
  </r>
  <r>
    <n v="271"/>
    <x v="19"/>
    <x v="96"/>
    <s v="Stainless Steel"/>
    <x v="1"/>
    <x v="3"/>
    <n v="41"/>
    <n v="12.65"/>
    <n v="20"/>
    <s v="Black"/>
    <x v="0"/>
    <s v="Date"/>
    <x v="20"/>
    <x v="128"/>
    <x v="1"/>
    <x v="6"/>
  </r>
  <r>
    <n v="272"/>
    <x v="19"/>
    <x v="97"/>
    <s v="Leather"/>
    <x v="1"/>
    <x v="0"/>
    <n v="38.5"/>
    <n v="9.6999999999999993"/>
    <n v="20"/>
    <s v="Blue"/>
    <x v="0"/>
    <s v="Date"/>
    <x v="20"/>
    <x v="128"/>
    <x v="0"/>
    <x v="6"/>
  </r>
  <r>
    <n v="273"/>
    <x v="19"/>
    <x v="97"/>
    <s v="Leather"/>
    <x v="1"/>
    <x v="0"/>
    <n v="38.5"/>
    <n v="9.3000000000000007"/>
    <n v="20"/>
    <s v="Blue"/>
    <x v="0"/>
    <s v="Date"/>
    <x v="6"/>
    <x v="129"/>
    <x v="0"/>
    <x v="6"/>
  </r>
  <r>
    <n v="274"/>
    <x v="19"/>
    <x v="98"/>
    <s v="Stainless Steel"/>
    <x v="2"/>
    <x v="1"/>
    <n v="41"/>
    <n v="12.1"/>
    <n v="20"/>
    <s v="Black"/>
    <x v="0"/>
    <s v="Chronograph, Date"/>
    <x v="12"/>
    <x v="130"/>
    <x v="0"/>
    <x v="6"/>
  </r>
  <r>
    <n v="275"/>
    <x v="19"/>
    <x v="93"/>
    <s v="Leather"/>
    <x v="1"/>
    <x v="0"/>
    <n v="40"/>
    <n v="9.35"/>
    <n v="20"/>
    <s v="Silver"/>
    <x v="0"/>
    <s v="Date"/>
    <x v="20"/>
    <x v="130"/>
    <x v="0"/>
    <x v="6"/>
  </r>
  <r>
    <n v="276"/>
    <x v="19"/>
    <x v="99"/>
    <s v="Stainless Steel"/>
    <x v="1"/>
    <x v="3"/>
    <n v="43"/>
    <n v="12.75"/>
    <n v="22"/>
    <s v="Blue"/>
    <x v="0"/>
    <s v="Date"/>
    <x v="20"/>
    <x v="93"/>
    <x v="1"/>
    <x v="6"/>
  </r>
  <r>
    <n v="277"/>
    <x v="19"/>
    <x v="97"/>
    <s v="Leather"/>
    <x v="1"/>
    <x v="0"/>
    <n v="38.5"/>
    <n v="9.6999999999999993"/>
    <n v="20"/>
    <s v="Silver"/>
    <x v="0"/>
    <s v="Date"/>
    <x v="20"/>
    <x v="105"/>
    <x v="0"/>
    <x v="6"/>
  </r>
  <r>
    <n v="278"/>
    <x v="20"/>
    <x v="100"/>
    <s v="Leather"/>
    <x v="1"/>
    <x v="2"/>
    <n v="42"/>
    <n v="12.8"/>
    <n v="22"/>
    <s v="Black"/>
    <x v="0"/>
    <s v="GMT"/>
    <x v="6"/>
    <x v="78"/>
    <x v="0"/>
    <x v="4"/>
  </r>
  <r>
    <n v="279"/>
    <x v="20"/>
    <x v="101"/>
    <s v="Leather"/>
    <x v="1"/>
    <x v="2"/>
    <n v="42"/>
    <n v="11.2"/>
    <n v="22"/>
    <s v="Black"/>
    <x v="0"/>
    <s v="World Time, GMT"/>
    <x v="6"/>
    <x v="79"/>
    <x v="0"/>
    <x v="4"/>
  </r>
  <r>
    <n v="280"/>
    <x v="20"/>
    <x v="102"/>
    <s v="Leather"/>
    <x v="1"/>
    <x v="2"/>
    <n v="44"/>
    <n v="12.8"/>
    <n v="22"/>
    <s v="Black"/>
    <x v="0"/>
    <s v="None"/>
    <x v="6"/>
    <x v="81"/>
    <x v="0"/>
    <x v="4"/>
  </r>
  <r>
    <n v="281"/>
    <x v="20"/>
    <x v="103"/>
    <s v="Leather"/>
    <x v="1"/>
    <x v="1"/>
    <n v="42"/>
    <n v="11.4"/>
    <n v="22"/>
    <s v="White"/>
    <x v="0"/>
    <s v="Date, Moonphase"/>
    <x v="6"/>
    <x v="125"/>
    <x v="0"/>
    <x v="3"/>
  </r>
  <r>
    <n v="282"/>
    <x v="20"/>
    <x v="104"/>
    <s v="Leather"/>
    <x v="1"/>
    <x v="2"/>
    <n v="42"/>
    <n v="12.8"/>
    <n v="22"/>
    <s v="Black"/>
    <x v="0"/>
    <s v="None"/>
    <x v="8"/>
    <x v="70"/>
    <x v="0"/>
    <x v="3"/>
  </r>
  <r>
    <n v="283"/>
    <x v="20"/>
    <x v="105"/>
    <s v="Leather"/>
    <x v="0"/>
    <x v="0"/>
    <n v="44"/>
    <n v="12.3"/>
    <n v="22"/>
    <s v="Black"/>
    <x v="0"/>
    <s v="None"/>
    <x v="3"/>
    <x v="83"/>
    <x v="0"/>
    <x v="3"/>
  </r>
  <r>
    <n v="284"/>
    <x v="20"/>
    <x v="106"/>
    <s v="Leather"/>
    <x v="1"/>
    <x v="1"/>
    <n v="39"/>
    <n v="9.9"/>
    <n v="19"/>
    <s v="Silver"/>
    <x v="0"/>
    <s v="Date"/>
    <x v="6"/>
    <x v="83"/>
    <x v="0"/>
    <x v="3"/>
  </r>
  <r>
    <n v="285"/>
    <x v="20"/>
    <x v="107"/>
    <s v="Leather"/>
    <x v="1"/>
    <x v="1"/>
    <n v="40"/>
    <n v="9.85"/>
    <n v="20"/>
    <s v="Silver"/>
    <x v="0"/>
    <s v="Date"/>
    <x v="6"/>
    <x v="29"/>
    <x v="0"/>
    <x v="3"/>
  </r>
  <r>
    <n v="286"/>
    <x v="20"/>
    <x v="107"/>
    <s v="Leather"/>
    <x v="1"/>
    <x v="1"/>
    <n v="40"/>
    <n v="9.85"/>
    <n v="20"/>
    <s v="Black"/>
    <x v="0"/>
    <s v="Date"/>
    <x v="8"/>
    <x v="131"/>
    <x v="0"/>
    <x v="3"/>
  </r>
  <r>
    <n v="287"/>
    <x v="21"/>
    <x v="108"/>
    <s v="Stainless Steel"/>
    <x v="1"/>
    <x v="1"/>
    <n v="42"/>
    <n v="13.5"/>
    <n v="20"/>
    <s v="Black"/>
    <x v="0"/>
    <s v="Chronograph"/>
    <x v="2"/>
    <x v="85"/>
    <x v="0"/>
    <x v="4"/>
  </r>
  <r>
    <n v="288"/>
    <x v="21"/>
    <x v="108"/>
    <s v="Stainless Steel"/>
    <x v="1"/>
    <x v="1"/>
    <n v="42"/>
    <n v="13.5"/>
    <n v="20"/>
    <s v="Black"/>
    <x v="0"/>
    <s v="Chronograph"/>
    <x v="2"/>
    <x v="78"/>
    <x v="0"/>
    <x v="4"/>
  </r>
  <r>
    <n v="289"/>
    <x v="21"/>
    <x v="108"/>
    <s v="Stainless Steel"/>
    <x v="1"/>
    <x v="1"/>
    <n v="42"/>
    <n v="13.7"/>
    <n v="20"/>
    <s v="Black"/>
    <x v="0"/>
    <s v="Chronograph, Tachymeter"/>
    <x v="2"/>
    <x v="78"/>
    <x v="0"/>
    <x v="4"/>
  </r>
  <r>
    <n v="290"/>
    <x v="21"/>
    <x v="109"/>
    <s v="Rubber"/>
    <x v="1"/>
    <x v="9"/>
    <n v="43.5"/>
    <n v="14.47"/>
    <n v="21"/>
    <s v="Blue"/>
    <x v="0"/>
    <s v="Date"/>
    <x v="2"/>
    <x v="90"/>
    <x v="5"/>
    <x v="4"/>
  </r>
  <r>
    <n v="291"/>
    <x v="21"/>
    <x v="109"/>
    <s v="Rubber"/>
    <x v="1"/>
    <x v="9"/>
    <n v="43.5"/>
    <n v="14.47"/>
    <n v="21"/>
    <s v="Blue"/>
    <x v="0"/>
    <s v="Date"/>
    <x v="2"/>
    <x v="90"/>
    <x v="5"/>
    <x v="4"/>
  </r>
  <r>
    <n v="292"/>
    <x v="21"/>
    <x v="108"/>
    <s v="Stainless Steel"/>
    <x v="0"/>
    <x v="1"/>
    <n v="42"/>
    <n v="14.3"/>
    <n v="20"/>
    <s v="Black"/>
    <x v="2"/>
    <s v="Chronograph, Tachymeter"/>
    <x v="10"/>
    <x v="80"/>
    <x v="0"/>
    <x v="4"/>
  </r>
  <r>
    <n v="293"/>
    <x v="21"/>
    <x v="110"/>
    <s v="Stainless Steel"/>
    <x v="0"/>
    <x v="1"/>
    <n v="42"/>
    <n v="13.2"/>
    <n v="20"/>
    <s v="Black"/>
    <x v="2"/>
    <s v="Chronograph, Tachymeter"/>
    <x v="10"/>
    <x v="80"/>
    <x v="0"/>
    <x v="4"/>
  </r>
  <r>
    <n v="294"/>
    <x v="21"/>
    <x v="108"/>
    <s v="Leather"/>
    <x v="0"/>
    <x v="1"/>
    <n v="42"/>
    <n v="13.7"/>
    <n v="20"/>
    <s v="Black"/>
    <x v="2"/>
    <s v="Chronograph"/>
    <x v="10"/>
    <x v="80"/>
    <x v="0"/>
    <x v="4"/>
  </r>
  <r>
    <n v="295"/>
    <x v="21"/>
    <x v="108"/>
    <s v="Stainless Steel"/>
    <x v="0"/>
    <x v="1"/>
    <n v="42"/>
    <n v="14.3"/>
    <n v="20"/>
    <s v="Black"/>
    <x v="0"/>
    <s v="Chronograph"/>
    <x v="10"/>
    <x v="122"/>
    <x v="0"/>
    <x v="4"/>
  </r>
  <r>
    <n v="296"/>
    <x v="21"/>
    <x v="110"/>
    <s v="Stainless Steel"/>
    <x v="0"/>
    <x v="1"/>
    <n v="42"/>
    <n v="14.3"/>
    <n v="20"/>
    <s v="Black"/>
    <x v="2"/>
    <s v="Chronograph"/>
    <x v="10"/>
    <x v="122"/>
    <x v="0"/>
    <x v="4"/>
  </r>
  <r>
    <n v="297"/>
    <x v="21"/>
    <x v="110"/>
    <s v="Stainless Steel"/>
    <x v="0"/>
    <x v="1"/>
    <n v="42"/>
    <n v="13.75"/>
    <n v="20"/>
    <s v="Black"/>
    <x v="2"/>
    <s v="Chronograph, Tachymeter"/>
    <x v="10"/>
    <x v="132"/>
    <x v="0"/>
    <x v="4"/>
  </r>
  <r>
    <n v="298"/>
    <x v="21"/>
    <x v="108"/>
    <s v="Stainless Steel"/>
    <x v="0"/>
    <x v="1"/>
    <n v="42"/>
    <n v="14.3"/>
    <n v="20"/>
    <s v="Black"/>
    <x v="2"/>
    <s v="Chronograph"/>
    <x v="10"/>
    <x v="132"/>
    <x v="0"/>
    <x v="4"/>
  </r>
  <r>
    <n v="299"/>
    <x v="21"/>
    <x v="108"/>
    <s v="Stainless Steel"/>
    <x v="1"/>
    <x v="1"/>
    <n v="42"/>
    <n v="13.75"/>
    <n v="20"/>
    <s v="Black"/>
    <x v="0"/>
    <s v="Chronograph, Date"/>
    <x v="10"/>
    <x v="81"/>
    <x v="0"/>
    <x v="4"/>
  </r>
  <r>
    <n v="300"/>
    <x v="21"/>
    <x v="110"/>
    <s v="Stainless Steel"/>
    <x v="0"/>
    <x v="1"/>
    <n v="42"/>
    <n v="14.3"/>
    <n v="20"/>
    <s v="Black"/>
    <x v="2"/>
    <s v="Chronograph, Tachymeter"/>
    <x v="10"/>
    <x v="133"/>
    <x v="0"/>
    <x v="4"/>
  </r>
  <r>
    <n v="301"/>
    <x v="21"/>
    <x v="108"/>
    <s v="Stainless Steel"/>
    <x v="0"/>
    <x v="1"/>
    <n v="42"/>
    <n v="14.3"/>
    <n v="20"/>
    <s v="Black"/>
    <x v="2"/>
    <s v="Chronograph"/>
    <x v="10"/>
    <x v="134"/>
    <x v="0"/>
    <x v="4"/>
  </r>
  <r>
    <n v="302"/>
    <x v="21"/>
    <x v="108"/>
    <s v="Stainless Steel"/>
    <x v="1"/>
    <x v="1"/>
    <n v="42"/>
    <n v="14.3"/>
    <n v="20"/>
    <s v="Black"/>
    <x v="2"/>
    <s v="Chronograph"/>
    <x v="10"/>
    <x v="92"/>
    <x v="0"/>
    <x v="3"/>
  </r>
  <r>
    <n v="303"/>
    <x v="21"/>
    <x v="108"/>
    <s v="Stainless Steel"/>
    <x v="1"/>
    <x v="1"/>
    <n v="42"/>
    <n v="13.7"/>
    <n v="20"/>
    <s v="Black"/>
    <x v="2"/>
    <s v="Chronograph"/>
    <x v="10"/>
    <x v="123"/>
    <x v="0"/>
    <x v="3"/>
  </r>
  <r>
    <n v="304"/>
    <x v="21"/>
    <x v="111"/>
    <s v="Stainless Steel"/>
    <x v="1"/>
    <x v="2"/>
    <n v="39"/>
    <n v="10.6"/>
    <n v="20"/>
    <s v="Black"/>
    <x v="0"/>
    <s v="Date"/>
    <x v="3"/>
    <x v="64"/>
    <x v="0"/>
    <x v="3"/>
  </r>
  <r>
    <n v="305"/>
    <x v="21"/>
    <x v="112"/>
    <s v="Stainless Steel"/>
    <x v="1"/>
    <x v="10"/>
    <n v="41.5"/>
    <n v="13"/>
    <n v="20"/>
    <s v="Silver"/>
    <x v="0"/>
    <s v="Date"/>
    <x v="2"/>
    <x v="82"/>
    <x v="2"/>
    <x v="3"/>
  </r>
  <r>
    <n v="306"/>
    <x v="21"/>
    <x v="108"/>
    <s v="Stainless Steel"/>
    <x v="1"/>
    <x v="1"/>
    <n v="42"/>
    <n v="14.5"/>
    <n v="20"/>
    <s v="Black"/>
    <x v="0"/>
    <s v="Chronograph, Tachymeter"/>
    <x v="2"/>
    <x v="30"/>
    <x v="0"/>
    <x v="3"/>
  </r>
  <r>
    <n v="307"/>
    <x v="21"/>
    <x v="108"/>
    <s v="Stainless Steel"/>
    <x v="0"/>
    <x v="1"/>
    <n v="42"/>
    <n v="14.3"/>
    <n v="20"/>
    <s v="Black"/>
    <x v="2"/>
    <s v="Chronograph, Tachymeter"/>
    <x v="10"/>
    <x v="30"/>
    <x v="0"/>
    <x v="3"/>
  </r>
  <r>
    <n v="308"/>
    <x v="21"/>
    <x v="108"/>
    <s v="Stainless Steel"/>
    <x v="0"/>
    <x v="1"/>
    <n v="42"/>
    <n v="14.3"/>
    <n v="20"/>
    <s v="Black"/>
    <x v="2"/>
    <s v="Chronograph"/>
    <x v="10"/>
    <x v="30"/>
    <x v="0"/>
    <x v="3"/>
  </r>
  <r>
    <n v="309"/>
    <x v="21"/>
    <x v="108"/>
    <s v="Stainless Steel"/>
    <x v="0"/>
    <x v="1"/>
    <n v="42"/>
    <n v="14.3"/>
    <n v="20"/>
    <s v="Black"/>
    <x v="2"/>
    <s v="Chronograph"/>
    <x v="10"/>
    <x v="67"/>
    <x v="0"/>
    <x v="3"/>
  </r>
  <r>
    <n v="310"/>
    <x v="22"/>
    <x v="113"/>
    <s v="Textile"/>
    <x v="1"/>
    <x v="2"/>
    <n v="41"/>
    <n v="12"/>
    <n v="20"/>
    <s v="Black"/>
    <x v="0"/>
    <s v="Date, GMT"/>
    <x v="8"/>
    <x v="128"/>
    <x v="0"/>
    <x v="6"/>
  </r>
  <r>
    <n v="311"/>
    <x v="22"/>
    <x v="114"/>
    <s v="Leather"/>
    <x v="1"/>
    <x v="2"/>
    <n v="40"/>
    <n v="12.9"/>
    <n v="20"/>
    <s v="Blue"/>
    <x v="0"/>
    <s v="Date"/>
    <x v="8"/>
    <x v="130"/>
    <x v="0"/>
    <x v="6"/>
  </r>
  <r>
    <n v="312"/>
    <x v="23"/>
    <x v="115"/>
    <s v="Rubber"/>
    <x v="1"/>
    <x v="3"/>
    <n v="44"/>
    <n v="15.65"/>
    <n v="24"/>
    <s v="Black"/>
    <x v="0"/>
    <s v="Date"/>
    <x v="1"/>
    <x v="135"/>
    <x v="1"/>
    <x v="4"/>
  </r>
  <r>
    <n v="313"/>
    <x v="23"/>
    <x v="115"/>
    <s v="Leather"/>
    <x v="1"/>
    <x v="3"/>
    <n v="44"/>
    <n v="16.149999999999999"/>
    <n v="24"/>
    <s v="Black"/>
    <x v="0"/>
    <s v="None"/>
    <x v="1"/>
    <x v="60"/>
    <x v="1"/>
    <x v="4"/>
  </r>
  <r>
    <n v="314"/>
    <x v="23"/>
    <x v="116"/>
    <s v="Rubber"/>
    <x v="1"/>
    <x v="3"/>
    <n v="44"/>
    <n v="15.65"/>
    <n v="24"/>
    <s v="Black"/>
    <x v="0"/>
    <s v="None"/>
    <x v="1"/>
    <x v="60"/>
    <x v="1"/>
    <x v="4"/>
  </r>
  <r>
    <n v="315"/>
    <x v="23"/>
    <x v="117"/>
    <s v="Leather"/>
    <x v="1"/>
    <x v="3"/>
    <n v="44"/>
    <n v="13.05"/>
    <n v="24"/>
    <s v="Black"/>
    <x v="0"/>
    <s v="Date, Second Time Zone"/>
    <x v="1"/>
    <x v="112"/>
    <x v="1"/>
    <x v="4"/>
  </r>
  <r>
    <n v="316"/>
    <x v="23"/>
    <x v="117"/>
    <s v="Leather"/>
    <x v="1"/>
    <x v="3"/>
    <n v="44"/>
    <n v="13.05"/>
    <n v="22"/>
    <s v="Black"/>
    <x v="0"/>
    <s v="Date"/>
    <x v="1"/>
    <x v="112"/>
    <x v="1"/>
    <x v="4"/>
  </r>
  <r>
    <n v="317"/>
    <x v="23"/>
    <x v="117"/>
    <s v="Leather"/>
    <x v="1"/>
    <x v="3"/>
    <n v="44"/>
    <n v="15.65"/>
    <n v="24"/>
    <s v="Black"/>
    <x v="0"/>
    <s v="None"/>
    <x v="1"/>
    <x v="101"/>
    <x v="1"/>
    <x v="4"/>
  </r>
  <r>
    <n v="318"/>
    <x v="23"/>
    <x v="115"/>
    <s v="Rubber"/>
    <x v="1"/>
    <x v="3"/>
    <n v="44"/>
    <n v="13.05"/>
    <n v="24"/>
    <s v="Black"/>
    <x v="0"/>
    <s v="None"/>
    <x v="1"/>
    <x v="101"/>
    <x v="1"/>
    <x v="4"/>
  </r>
  <r>
    <n v="319"/>
    <x v="23"/>
    <x v="115"/>
    <s v="Rubber"/>
    <x v="0"/>
    <x v="3"/>
    <n v="44"/>
    <n v="15.6"/>
    <n v="24"/>
    <s v="Black"/>
    <x v="0"/>
    <s v="None"/>
    <x v="1"/>
    <x v="101"/>
    <x v="1"/>
    <x v="4"/>
  </r>
  <r>
    <n v="320"/>
    <x v="23"/>
    <x v="117"/>
    <s v="Leather"/>
    <x v="1"/>
    <x v="3"/>
    <n v="44"/>
    <n v="15.65"/>
    <n v="24"/>
    <s v="Black"/>
    <x v="0"/>
    <s v="Date"/>
    <x v="1"/>
    <x v="102"/>
    <x v="1"/>
    <x v="4"/>
  </r>
  <r>
    <n v="321"/>
    <x v="23"/>
    <x v="118"/>
    <s v="Leather"/>
    <x v="0"/>
    <x v="2"/>
    <n v="44"/>
    <n v="13.05"/>
    <n v="24"/>
    <s v="Black"/>
    <x v="0"/>
    <s v="None"/>
    <x v="21"/>
    <x v="76"/>
    <x v="0"/>
    <x v="4"/>
  </r>
  <r>
    <n v="322"/>
    <x v="23"/>
    <x v="119"/>
    <s v="Leather"/>
    <x v="1"/>
    <x v="3"/>
    <n v="42"/>
    <n v="13.2"/>
    <n v="22"/>
    <s v="Black"/>
    <x v="0"/>
    <s v="Date"/>
    <x v="1"/>
    <x v="76"/>
    <x v="1"/>
    <x v="4"/>
  </r>
  <r>
    <n v="323"/>
    <x v="23"/>
    <x v="115"/>
    <s v="Leather"/>
    <x v="1"/>
    <x v="2"/>
    <n v="44"/>
    <n v="15.65"/>
    <n v="24"/>
    <s v="Black"/>
    <x v="0"/>
    <s v="None"/>
    <x v="1"/>
    <x v="76"/>
    <x v="0"/>
    <x v="4"/>
  </r>
  <r>
    <n v="324"/>
    <x v="23"/>
    <x v="117"/>
    <s v="Leather"/>
    <x v="1"/>
    <x v="3"/>
    <n v="44"/>
    <n v="15.65"/>
    <n v="22"/>
    <s v="Black"/>
    <x v="0"/>
    <s v="Date, GMT"/>
    <x v="1"/>
    <x v="76"/>
    <x v="1"/>
    <x v="4"/>
  </r>
  <r>
    <n v="325"/>
    <x v="23"/>
    <x v="115"/>
    <s v="Rubber"/>
    <x v="1"/>
    <x v="3"/>
    <n v="44"/>
    <n v="13.05"/>
    <n v="24"/>
    <s v="Black"/>
    <x v="0"/>
    <s v="Date, Sub Seconds"/>
    <x v="1"/>
    <x v="76"/>
    <x v="1"/>
    <x v="4"/>
  </r>
  <r>
    <n v="326"/>
    <x v="23"/>
    <x v="117"/>
    <s v="Leather"/>
    <x v="0"/>
    <x v="3"/>
    <n v="44"/>
    <n v="15.65"/>
    <n v="24"/>
    <s v="Black"/>
    <x v="0"/>
    <s v="None"/>
    <x v="21"/>
    <x v="136"/>
    <x v="1"/>
    <x v="4"/>
  </r>
  <r>
    <n v="327"/>
    <x v="23"/>
    <x v="119"/>
    <s v="Leather"/>
    <x v="1"/>
    <x v="3"/>
    <n v="42"/>
    <n v="14.5"/>
    <n v="22"/>
    <s v="Black"/>
    <x v="0"/>
    <s v="Date"/>
    <x v="3"/>
    <x v="136"/>
    <x v="1"/>
    <x v="4"/>
  </r>
  <r>
    <n v="328"/>
    <x v="23"/>
    <x v="115"/>
    <s v="Leather"/>
    <x v="0"/>
    <x v="2"/>
    <n v="44"/>
    <n v="13.05"/>
    <n v="24"/>
    <s v="Black"/>
    <x v="0"/>
    <s v="None"/>
    <x v="21"/>
    <x v="63"/>
    <x v="0"/>
    <x v="4"/>
  </r>
  <r>
    <n v="329"/>
    <x v="23"/>
    <x v="120"/>
    <s v="Leather"/>
    <x v="1"/>
    <x v="0"/>
    <n v="38"/>
    <n v="11.2"/>
    <n v="20"/>
    <s v="Black"/>
    <x v="0"/>
    <s v="None"/>
    <x v="1"/>
    <x v="78"/>
    <x v="0"/>
    <x v="4"/>
  </r>
  <r>
    <n v="330"/>
    <x v="23"/>
    <x v="117"/>
    <s v="Leather"/>
    <x v="1"/>
    <x v="3"/>
    <n v="44"/>
    <n v="13.05"/>
    <n v="24"/>
    <s v="Black"/>
    <x v="0"/>
    <s v="None"/>
    <x v="1"/>
    <x v="78"/>
    <x v="1"/>
    <x v="4"/>
  </r>
  <r>
    <n v="331"/>
    <x v="23"/>
    <x v="117"/>
    <s v="Leather"/>
    <x v="1"/>
    <x v="3"/>
    <n v="44"/>
    <n v="15.65"/>
    <n v="24"/>
    <s v="Black"/>
    <x v="0"/>
    <s v="Date"/>
    <x v="1"/>
    <x v="78"/>
    <x v="1"/>
    <x v="4"/>
  </r>
  <r>
    <n v="332"/>
    <x v="23"/>
    <x v="118"/>
    <s v="Leather"/>
    <x v="0"/>
    <x v="2"/>
    <n v="44"/>
    <n v="13.05"/>
    <n v="24"/>
    <s v="Black"/>
    <x v="0"/>
    <s v="None"/>
    <x v="21"/>
    <x v="137"/>
    <x v="0"/>
    <x v="4"/>
  </r>
  <r>
    <n v="333"/>
    <x v="23"/>
    <x v="121"/>
    <s v="Leather"/>
    <x v="0"/>
    <x v="2"/>
    <n v="44"/>
    <n v="10.5"/>
    <n v="24"/>
    <s v="Black"/>
    <x v="0"/>
    <s v="None"/>
    <x v="21"/>
    <x v="90"/>
    <x v="0"/>
    <x v="4"/>
  </r>
  <r>
    <n v="334"/>
    <x v="23"/>
    <x v="116"/>
    <s v="Leather"/>
    <x v="0"/>
    <x v="3"/>
    <n v="44"/>
    <n v="13.05"/>
    <n v="24"/>
    <s v="Black"/>
    <x v="0"/>
    <s v="None"/>
    <x v="21"/>
    <x v="138"/>
    <x v="1"/>
    <x v="4"/>
  </r>
  <r>
    <n v="335"/>
    <x v="23"/>
    <x v="117"/>
    <s v="Leather"/>
    <x v="0"/>
    <x v="3"/>
    <n v="44"/>
    <n v="13.05"/>
    <n v="24"/>
    <s v="Black"/>
    <x v="0"/>
    <s v="None"/>
    <x v="21"/>
    <x v="134"/>
    <x v="1"/>
    <x v="4"/>
  </r>
  <r>
    <n v="336"/>
    <x v="23"/>
    <x v="122"/>
    <s v="Leather"/>
    <x v="0"/>
    <x v="2"/>
    <n v="44"/>
    <n v="10.5"/>
    <n v="22"/>
    <s v="Black"/>
    <x v="0"/>
    <s v="None"/>
    <x v="21"/>
    <x v="125"/>
    <x v="0"/>
    <x v="3"/>
  </r>
  <r>
    <n v="337"/>
    <x v="24"/>
    <x v="123"/>
    <s v="Stainless Steel"/>
    <x v="1"/>
    <x v="11"/>
    <n v="40.5"/>
    <n v="8.3000000000000007"/>
    <n v="22"/>
    <s v="Blue"/>
    <x v="0"/>
    <s v="Date, Moon Phase"/>
    <x v="0"/>
    <x v="139"/>
    <x v="2"/>
    <x v="2"/>
  </r>
  <r>
    <n v="338"/>
    <x v="24"/>
    <x v="123"/>
    <s v="Stainless Steel"/>
    <x v="1"/>
    <x v="11"/>
    <n v="40.5"/>
    <n v="8.3000000000000007"/>
    <n v="20"/>
    <s v="Blue"/>
    <x v="0"/>
    <s v="Date, Chronograph"/>
    <x v="9"/>
    <x v="140"/>
    <x v="2"/>
    <x v="2"/>
  </r>
  <r>
    <n v="339"/>
    <x v="24"/>
    <x v="124"/>
    <s v="Stainless Steel"/>
    <x v="1"/>
    <x v="11"/>
    <n v="40.799999999999997"/>
    <n v="8.3000000000000007"/>
    <n v="21"/>
    <s v="Blue"/>
    <x v="0"/>
    <s v="Date"/>
    <x v="0"/>
    <x v="141"/>
    <x v="2"/>
    <x v="2"/>
  </r>
  <r>
    <n v="340"/>
    <x v="24"/>
    <x v="124"/>
    <s v="Stainless Steel"/>
    <x v="1"/>
    <x v="11"/>
    <n v="40.799999999999997"/>
    <n v="8.3000000000000007"/>
    <n v="20"/>
    <s v="Blue"/>
    <x v="0"/>
    <s v="Date"/>
    <x v="0"/>
    <x v="142"/>
    <x v="2"/>
    <x v="2"/>
  </r>
  <r>
    <n v="341"/>
    <x v="24"/>
    <x v="124"/>
    <s v="Stainless Steel"/>
    <x v="1"/>
    <x v="11"/>
    <n v="40.799999999999997"/>
    <n v="8.3000000000000007"/>
    <n v="20"/>
    <s v="Blue"/>
    <x v="0"/>
    <s v="Date"/>
    <x v="0"/>
    <x v="143"/>
    <x v="2"/>
    <x v="2"/>
  </r>
  <r>
    <n v="342"/>
    <x v="24"/>
    <x v="124"/>
    <s v="Stainless Steel"/>
    <x v="1"/>
    <x v="11"/>
    <n v="40.799999999999997"/>
    <n v="8.3000000000000007"/>
    <n v="21"/>
    <s v="Blue"/>
    <x v="0"/>
    <s v="Date"/>
    <x v="9"/>
    <x v="144"/>
    <x v="2"/>
    <x v="2"/>
  </r>
  <r>
    <n v="343"/>
    <x v="24"/>
    <x v="123"/>
    <s v="Stainless Steel"/>
    <x v="1"/>
    <x v="11"/>
    <n v="40.5"/>
    <n v="8.3000000000000007"/>
    <n v="22"/>
    <s v="Blue"/>
    <x v="0"/>
    <s v="Date"/>
    <x v="0"/>
    <x v="144"/>
    <x v="2"/>
    <x v="2"/>
  </r>
  <r>
    <n v="344"/>
    <x v="24"/>
    <x v="123"/>
    <s v="Stainless Steel"/>
    <x v="1"/>
    <x v="11"/>
    <n v="40.5"/>
    <n v="8.3000000000000007"/>
    <n v="20"/>
    <s v="Blue"/>
    <x v="0"/>
    <s v="Date"/>
    <x v="0"/>
    <x v="145"/>
    <x v="2"/>
    <x v="2"/>
  </r>
  <r>
    <n v="345"/>
    <x v="24"/>
    <x v="124"/>
    <s v="Stainless Steel"/>
    <x v="1"/>
    <x v="11"/>
    <n v="40.799999999999997"/>
    <n v="8.3000000000000007"/>
    <n v="20"/>
    <s v="Blue"/>
    <x v="0"/>
    <s v="Date"/>
    <x v="0"/>
    <x v="146"/>
    <x v="2"/>
    <x v="2"/>
  </r>
  <r>
    <n v="346"/>
    <x v="24"/>
    <x v="124"/>
    <s v="Stainless Steel"/>
    <x v="1"/>
    <x v="11"/>
    <n v="40.799999999999997"/>
    <n v="8.3000000000000007"/>
    <n v="20"/>
    <s v="Blue"/>
    <x v="0"/>
    <s v="Date, Moon Phase"/>
    <x v="10"/>
    <x v="147"/>
    <x v="2"/>
    <x v="2"/>
  </r>
  <r>
    <n v="347"/>
    <x v="24"/>
    <x v="123"/>
    <s v="Stainless Steel"/>
    <x v="1"/>
    <x v="11"/>
    <n v="40.5"/>
    <n v="8.3000000000000007"/>
    <n v="20"/>
    <s v="Blue"/>
    <x v="0"/>
    <s v="Date"/>
    <x v="9"/>
    <x v="148"/>
    <x v="2"/>
    <x v="2"/>
  </r>
  <r>
    <n v="348"/>
    <x v="24"/>
    <x v="123"/>
    <s v="Stainless Steel"/>
    <x v="1"/>
    <x v="11"/>
    <n v="40.5"/>
    <n v="8.3000000000000007"/>
    <n v="21"/>
    <s v="Blue"/>
    <x v="0"/>
    <s v="Date"/>
    <x v="0"/>
    <x v="149"/>
    <x v="2"/>
    <x v="2"/>
  </r>
  <r>
    <n v="349"/>
    <x v="24"/>
    <x v="123"/>
    <s v="Stainless Steel"/>
    <x v="1"/>
    <x v="11"/>
    <n v="40.5"/>
    <n v="8.3000000000000007"/>
    <n v="20"/>
    <s v="Blue"/>
    <x v="0"/>
    <s v="Date"/>
    <x v="0"/>
    <x v="150"/>
    <x v="2"/>
    <x v="0"/>
  </r>
  <r>
    <n v="350"/>
    <x v="24"/>
    <x v="124"/>
    <s v="Stainless Steel"/>
    <x v="1"/>
    <x v="11"/>
    <n v="40.799999999999997"/>
    <n v="8.3000000000000007"/>
    <n v="20"/>
    <s v="Blue"/>
    <x v="0"/>
    <s v="Date, Power Reserve, Moon Phase"/>
    <x v="0"/>
    <x v="151"/>
    <x v="2"/>
    <x v="0"/>
  </r>
  <r>
    <n v="351"/>
    <x v="24"/>
    <x v="124"/>
    <s v="Stainless Steel"/>
    <x v="1"/>
    <x v="11"/>
    <n v="40.799999999999997"/>
    <n v="8.3000000000000007"/>
    <n v="20"/>
    <s v="Blue"/>
    <x v="0"/>
    <s v="Date"/>
    <x v="0"/>
    <x v="151"/>
    <x v="2"/>
    <x v="0"/>
  </r>
  <r>
    <n v="352"/>
    <x v="24"/>
    <x v="125"/>
    <s v="Stainless Steel"/>
    <x v="1"/>
    <x v="11"/>
    <n v="40"/>
    <n v="8.3000000000000007"/>
    <n v="22"/>
    <s v="Blue"/>
    <x v="0"/>
    <s v="Date"/>
    <x v="0"/>
    <x v="152"/>
    <x v="2"/>
    <x v="0"/>
  </r>
  <r>
    <n v="353"/>
    <x v="24"/>
    <x v="123"/>
    <s v="Stainless Steel"/>
    <x v="1"/>
    <x v="11"/>
    <n v="40.5"/>
    <n v="8.3000000000000007"/>
    <n v="20"/>
    <s v="Blue"/>
    <x v="0"/>
    <s v="Date"/>
    <x v="0"/>
    <x v="153"/>
    <x v="2"/>
    <x v="0"/>
  </r>
  <r>
    <n v="354"/>
    <x v="24"/>
    <x v="123"/>
    <s v="Stainless Steel"/>
    <x v="1"/>
    <x v="11"/>
    <n v="40.5"/>
    <n v="8.3000000000000007"/>
    <n v="22"/>
    <s v="Blue"/>
    <x v="0"/>
    <s v="Date"/>
    <x v="0"/>
    <x v="154"/>
    <x v="2"/>
    <x v="0"/>
  </r>
  <r>
    <n v="355"/>
    <x v="24"/>
    <x v="123"/>
    <s v="Stainless Steel"/>
    <x v="1"/>
    <x v="11"/>
    <n v="40.5"/>
    <n v="8.3000000000000007"/>
    <n v="22"/>
    <s v="Blue"/>
    <x v="0"/>
    <s v="Date"/>
    <x v="0"/>
    <x v="154"/>
    <x v="2"/>
    <x v="0"/>
  </r>
  <r>
    <n v="356"/>
    <x v="24"/>
    <x v="123"/>
    <s v="Stainless Steel"/>
    <x v="1"/>
    <x v="11"/>
    <n v="40.5"/>
    <n v="8.3000000000000007"/>
    <n v="21"/>
    <s v="Blue"/>
    <x v="0"/>
    <s v="Date"/>
    <x v="0"/>
    <x v="154"/>
    <x v="2"/>
    <x v="0"/>
  </r>
  <r>
    <n v="357"/>
    <x v="24"/>
    <x v="123"/>
    <s v="Stainless Steel"/>
    <x v="1"/>
    <x v="11"/>
    <n v="40.5"/>
    <n v="8.3000000000000007"/>
    <n v="20"/>
    <s v="Blue"/>
    <x v="0"/>
    <s v="Date"/>
    <x v="0"/>
    <x v="155"/>
    <x v="2"/>
    <x v="0"/>
  </r>
  <r>
    <n v="358"/>
    <x v="24"/>
    <x v="123"/>
    <s v="Stainless Steel"/>
    <x v="1"/>
    <x v="11"/>
    <n v="40.5"/>
    <n v="8.3000000000000007"/>
    <n v="22"/>
    <s v="Blue"/>
    <x v="0"/>
    <s v="Date"/>
    <x v="0"/>
    <x v="155"/>
    <x v="2"/>
    <x v="0"/>
  </r>
  <r>
    <n v="359"/>
    <x v="24"/>
    <x v="123"/>
    <s v="Stainless Steel"/>
    <x v="1"/>
    <x v="11"/>
    <n v="40.5"/>
    <n v="8.3000000000000007"/>
    <n v="21"/>
    <s v="Blue"/>
    <x v="0"/>
    <s v="Date"/>
    <x v="0"/>
    <x v="155"/>
    <x v="2"/>
    <x v="0"/>
  </r>
  <r>
    <n v="360"/>
    <x v="24"/>
    <x v="124"/>
    <s v="Stainless Steel"/>
    <x v="1"/>
    <x v="11"/>
    <n v="40.799999999999997"/>
    <n v="8.3000000000000007"/>
    <n v="21"/>
    <s v="Blue"/>
    <x v="0"/>
    <s v="Date"/>
    <x v="9"/>
    <x v="155"/>
    <x v="2"/>
    <x v="0"/>
  </r>
  <r>
    <n v="361"/>
    <x v="24"/>
    <x v="123"/>
    <s v="Stainless Steel"/>
    <x v="1"/>
    <x v="11"/>
    <n v="40.5"/>
    <n v="8.3000000000000007"/>
    <n v="22"/>
    <s v="Blue"/>
    <x v="0"/>
    <s v="Date"/>
    <x v="0"/>
    <x v="156"/>
    <x v="2"/>
    <x v="0"/>
  </r>
  <r>
    <n v="362"/>
    <x v="24"/>
    <x v="125"/>
    <s v="Stainless Steel"/>
    <x v="1"/>
    <x v="11"/>
    <n v="40"/>
    <n v="8.3000000000000007"/>
    <n v="20"/>
    <s v="Blue"/>
    <x v="0"/>
    <s v="Date"/>
    <x v="0"/>
    <x v="8"/>
    <x v="2"/>
    <x v="0"/>
  </r>
  <r>
    <n v="363"/>
    <x v="24"/>
    <x v="126"/>
    <s v="Leather"/>
    <x v="1"/>
    <x v="0"/>
    <n v="39"/>
    <n v="8.25"/>
    <n v="20"/>
    <s v="Silver"/>
    <x v="0"/>
    <s v="None"/>
    <x v="10"/>
    <x v="157"/>
    <x v="0"/>
    <x v="0"/>
  </r>
  <r>
    <n v="364"/>
    <x v="24"/>
    <x v="127"/>
    <s v="Leather"/>
    <x v="0"/>
    <x v="0"/>
    <n v="37"/>
    <n v="7.7"/>
    <n v="20"/>
    <s v="White"/>
    <x v="0"/>
    <s v="None"/>
    <x v="17"/>
    <x v="9"/>
    <x v="0"/>
    <x v="0"/>
  </r>
  <r>
    <n v="365"/>
    <x v="24"/>
    <x v="128"/>
    <s v="Leather"/>
    <x v="0"/>
    <x v="0"/>
    <n v="38"/>
    <n v="8.25"/>
    <n v="20"/>
    <s v="White"/>
    <x v="0"/>
    <s v="None"/>
    <x v="17"/>
    <x v="9"/>
    <x v="0"/>
    <x v="0"/>
  </r>
  <r>
    <n v="366"/>
    <x v="24"/>
    <x v="127"/>
    <s v="Leather"/>
    <x v="1"/>
    <x v="0"/>
    <n v="37"/>
    <n v="8.5"/>
    <n v="18"/>
    <s v="White"/>
    <x v="0"/>
    <s v="Date"/>
    <x v="0"/>
    <x v="9"/>
    <x v="0"/>
    <x v="0"/>
  </r>
  <r>
    <n v="367"/>
    <x v="24"/>
    <x v="129"/>
    <s v="Leather"/>
    <x v="0"/>
    <x v="0"/>
    <n v="38"/>
    <n v="7.68"/>
    <n v="19"/>
    <s v="White"/>
    <x v="0"/>
    <s v="None"/>
    <x v="17"/>
    <x v="158"/>
    <x v="0"/>
    <x v="0"/>
  </r>
  <r>
    <n v="368"/>
    <x v="24"/>
    <x v="130"/>
    <s v="Leather"/>
    <x v="1"/>
    <x v="0"/>
    <n v="39"/>
    <n v="8.6"/>
    <n v="20"/>
    <s v="Silver"/>
    <x v="0"/>
    <s v="Date"/>
    <x v="10"/>
    <x v="16"/>
    <x v="0"/>
    <x v="0"/>
  </r>
  <r>
    <n v="369"/>
    <x v="24"/>
    <x v="131"/>
    <s v="Leather"/>
    <x v="0"/>
    <x v="0"/>
    <n v="36"/>
    <n v="7.45"/>
    <n v="18"/>
    <s v="White"/>
    <x v="0"/>
    <s v="None"/>
    <x v="17"/>
    <x v="26"/>
    <x v="0"/>
    <x v="1"/>
  </r>
  <r>
    <n v="370"/>
    <x v="25"/>
    <x v="132"/>
    <s v="Leather"/>
    <x v="0"/>
    <x v="0"/>
    <n v="40"/>
    <n v="6.36"/>
    <n v="20"/>
    <s v="Silver"/>
    <x v="0"/>
    <s v="None"/>
    <x v="17"/>
    <x v="16"/>
    <x v="0"/>
    <x v="0"/>
  </r>
  <r>
    <n v="371"/>
    <x v="25"/>
    <x v="133"/>
    <s v="Leather"/>
    <x v="0"/>
    <x v="0"/>
    <n v="38"/>
    <n v="6"/>
    <n v="20"/>
    <s v="White"/>
    <x v="0"/>
    <s v="None"/>
    <x v="19"/>
    <x v="159"/>
    <x v="0"/>
    <x v="0"/>
  </r>
  <r>
    <n v="372"/>
    <x v="25"/>
    <x v="134"/>
    <s v="Leather"/>
    <x v="0"/>
    <x v="0"/>
    <n v="40"/>
    <n v="6.36"/>
    <n v="20"/>
    <s v="Silver"/>
    <x v="0"/>
    <s v="None"/>
    <x v="19"/>
    <x v="25"/>
    <x v="0"/>
    <x v="1"/>
  </r>
  <r>
    <n v="373"/>
    <x v="25"/>
    <x v="135"/>
    <s v="Leather"/>
    <x v="0"/>
    <x v="0"/>
    <n v="38"/>
    <n v="6.1"/>
    <n v="20"/>
    <s v="Silver"/>
    <x v="0"/>
    <s v="None"/>
    <x v="19"/>
    <x v="160"/>
    <x v="0"/>
    <x v="1"/>
  </r>
  <r>
    <n v="374"/>
    <x v="25"/>
    <x v="136"/>
    <s v="Stainless Steel"/>
    <x v="1"/>
    <x v="2"/>
    <n v="42"/>
    <n v="9.4"/>
    <n v="22"/>
    <s v="Blue"/>
    <x v="0"/>
    <s v="Date"/>
    <x v="17"/>
    <x v="50"/>
    <x v="0"/>
    <x v="1"/>
  </r>
  <r>
    <n v="375"/>
    <x v="25"/>
    <x v="137"/>
    <s v="Stainless Steel"/>
    <x v="1"/>
    <x v="2"/>
    <n v="42"/>
    <n v="9.4"/>
    <n v="24"/>
    <s v="Blue"/>
    <x v="0"/>
    <s v="Date"/>
    <x v="3"/>
    <x v="51"/>
    <x v="0"/>
    <x v="4"/>
  </r>
  <r>
    <n v="376"/>
    <x v="26"/>
    <x v="138"/>
    <s v="Leather"/>
    <x v="2"/>
    <x v="0"/>
    <n v="39"/>
    <n v="5"/>
    <n v="22"/>
    <s v="Black"/>
    <x v="0"/>
    <s v="None"/>
    <x v="12"/>
    <x v="129"/>
    <x v="0"/>
    <x v="6"/>
  </r>
  <r>
    <n v="377"/>
    <x v="27"/>
    <x v="139"/>
    <s v="Leather"/>
    <x v="1"/>
    <x v="2"/>
    <n v="40"/>
    <n v="12.4"/>
    <n v="20"/>
    <s v="Ivory"/>
    <x v="0"/>
    <s v="Chronograph"/>
    <x v="1"/>
    <x v="161"/>
    <x v="0"/>
    <x v="0"/>
  </r>
  <r>
    <n v="378"/>
    <x v="27"/>
    <x v="140"/>
    <s v="Leather"/>
    <x v="1"/>
    <x v="2"/>
    <n v="40"/>
    <n v="12.4"/>
    <n v="20"/>
    <s v="Champagne"/>
    <x v="0"/>
    <s v="Chronograph"/>
    <x v="1"/>
    <x v="162"/>
    <x v="0"/>
    <x v="0"/>
  </r>
  <r>
    <n v="379"/>
    <x v="27"/>
    <x v="141"/>
    <s v="Stainless Steel"/>
    <x v="1"/>
    <x v="2"/>
    <n v="40"/>
    <n v="12.5"/>
    <n v="20"/>
    <s v="Black"/>
    <x v="0"/>
    <s v="GMT"/>
    <x v="10"/>
    <x v="40"/>
    <x v="0"/>
    <x v="1"/>
  </r>
  <r>
    <n v="380"/>
    <x v="27"/>
    <x v="142"/>
    <s v="Stainless Steel"/>
    <x v="1"/>
    <x v="2"/>
    <n v="40"/>
    <n v="12.4"/>
    <n v="20"/>
    <s v="White"/>
    <x v="0"/>
    <s v="Chronograph"/>
    <x v="1"/>
    <x v="42"/>
    <x v="0"/>
    <x v="1"/>
  </r>
  <r>
    <n v="381"/>
    <x v="27"/>
    <x v="141"/>
    <s v="Stainless Steel"/>
    <x v="1"/>
    <x v="2"/>
    <n v="40"/>
    <n v="12.5"/>
    <n v="20"/>
    <s v="Black"/>
    <x v="0"/>
    <s v="GMT, Date"/>
    <x v="11"/>
    <x v="163"/>
    <x v="0"/>
    <x v="4"/>
  </r>
  <r>
    <n v="382"/>
    <x v="27"/>
    <x v="141"/>
    <s v="Stainless Steel"/>
    <x v="1"/>
    <x v="2"/>
    <n v="40"/>
    <n v="12.5"/>
    <n v="20"/>
    <s v="Black"/>
    <x v="0"/>
    <s v="GMT, Date"/>
    <x v="11"/>
    <x v="164"/>
    <x v="0"/>
    <x v="4"/>
  </r>
  <r>
    <n v="383"/>
    <x v="27"/>
    <x v="141"/>
    <s v="Stainless Steel"/>
    <x v="1"/>
    <x v="2"/>
    <n v="40"/>
    <n v="12.5"/>
    <n v="20"/>
    <s v="Black"/>
    <x v="0"/>
    <s v="Date, GMT"/>
    <x v="11"/>
    <x v="97"/>
    <x v="0"/>
    <x v="4"/>
  </r>
  <r>
    <n v="384"/>
    <x v="27"/>
    <x v="143"/>
    <s v="Stainless Steel"/>
    <x v="1"/>
    <x v="3"/>
    <n v="40"/>
    <n v="13"/>
    <n v="20"/>
    <s v="Black"/>
    <x v="0"/>
    <s v="Date"/>
    <x v="10"/>
    <x v="60"/>
    <x v="1"/>
    <x v="4"/>
  </r>
  <r>
    <n v="385"/>
    <x v="27"/>
    <x v="143"/>
    <s v="Stainless Steel"/>
    <x v="1"/>
    <x v="3"/>
    <n v="40"/>
    <n v="13"/>
    <n v="20"/>
    <s v="Black"/>
    <x v="0"/>
    <s v="Date"/>
    <x v="10"/>
    <x v="60"/>
    <x v="1"/>
    <x v="4"/>
  </r>
  <r>
    <n v="386"/>
    <x v="27"/>
    <x v="141"/>
    <s v="Stainless Steel"/>
    <x v="1"/>
    <x v="2"/>
    <n v="40"/>
    <n v="12.5"/>
    <n v="20"/>
    <s v="Black"/>
    <x v="0"/>
    <s v="GMT, Date"/>
    <x v="11"/>
    <x v="60"/>
    <x v="0"/>
    <x v="4"/>
  </r>
  <r>
    <n v="387"/>
    <x v="27"/>
    <x v="144"/>
    <s v="Jubilee Bracelet"/>
    <x v="1"/>
    <x v="2"/>
    <n v="41"/>
    <n v="11.8"/>
    <n v="20"/>
    <s v="Blue"/>
    <x v="0"/>
    <s v="Date"/>
    <x v="11"/>
    <x v="60"/>
    <x v="0"/>
    <x v="4"/>
  </r>
  <r>
    <n v="388"/>
    <x v="27"/>
    <x v="141"/>
    <s v="Stainless Steel"/>
    <x v="1"/>
    <x v="2"/>
    <n v="40"/>
    <n v="12.5"/>
    <n v="20"/>
    <s v="Black"/>
    <x v="0"/>
    <s v="Dual Time Zone"/>
    <x v="11"/>
    <x v="60"/>
    <x v="0"/>
    <x v="4"/>
  </r>
  <r>
    <n v="389"/>
    <x v="27"/>
    <x v="141"/>
    <s v="Stainless Steel"/>
    <x v="1"/>
    <x v="2"/>
    <n v="40"/>
    <n v="12.1"/>
    <n v="20"/>
    <s v="Black"/>
    <x v="0"/>
    <s v="GMT, Date"/>
    <x v="11"/>
    <x v="165"/>
    <x v="0"/>
    <x v="4"/>
  </r>
  <r>
    <n v="390"/>
    <x v="27"/>
    <x v="141"/>
    <s v="Stainless Steel"/>
    <x v="1"/>
    <x v="2"/>
    <n v="40"/>
    <n v="12.4"/>
    <n v="20"/>
    <s v="Black"/>
    <x v="0"/>
    <s v="GMT, Date"/>
    <x v="11"/>
    <x v="116"/>
    <x v="0"/>
    <x v="4"/>
  </r>
  <r>
    <n v="391"/>
    <x v="27"/>
    <x v="145"/>
    <s v="Jubilee"/>
    <x v="1"/>
    <x v="2"/>
    <n v="36"/>
    <n v="12"/>
    <n v="20"/>
    <s v="Silver"/>
    <x v="0"/>
    <s v="Date"/>
    <x v="11"/>
    <x v="99"/>
    <x v="0"/>
    <x v="4"/>
  </r>
  <r>
    <n v="392"/>
    <x v="27"/>
    <x v="144"/>
    <s v="Stainless Steel"/>
    <x v="1"/>
    <x v="2"/>
    <n v="41"/>
    <n v="11.2"/>
    <n v="20"/>
    <s v="Silver"/>
    <x v="0"/>
    <s v="Date"/>
    <x v="11"/>
    <x v="112"/>
    <x v="0"/>
    <x v="4"/>
  </r>
  <r>
    <n v="393"/>
    <x v="27"/>
    <x v="145"/>
    <s v="Jubilee Bracelet"/>
    <x v="1"/>
    <x v="2"/>
    <n v="36"/>
    <n v="12.5"/>
    <n v="20"/>
    <s v="Silver"/>
    <x v="0"/>
    <s v="Date"/>
    <x v="11"/>
    <x v="112"/>
    <x v="0"/>
    <x v="4"/>
  </r>
  <r>
    <n v="394"/>
    <x v="27"/>
    <x v="144"/>
    <s v="Stainless Steel"/>
    <x v="1"/>
    <x v="2"/>
    <n v="41"/>
    <n v="11.8"/>
    <n v="20"/>
    <s v="Black"/>
    <x v="0"/>
    <s v="Date"/>
    <x v="11"/>
    <x v="113"/>
    <x v="0"/>
    <x v="4"/>
  </r>
  <r>
    <n v="395"/>
    <x v="27"/>
    <x v="145"/>
    <s v="Stainless Steel"/>
    <x v="1"/>
    <x v="2"/>
    <n v="36"/>
    <n v="12"/>
    <n v="20"/>
    <s v="Black"/>
    <x v="0"/>
    <s v="Date"/>
    <x v="11"/>
    <x v="114"/>
    <x v="0"/>
    <x v="4"/>
  </r>
  <r>
    <n v="396"/>
    <x v="27"/>
    <x v="145"/>
    <s v="Jubilee"/>
    <x v="1"/>
    <x v="2"/>
    <n v="36"/>
    <n v="12.5"/>
    <n v="20"/>
    <s v="Black"/>
    <x v="0"/>
    <s v="Date"/>
    <x v="11"/>
    <x v="102"/>
    <x v="0"/>
    <x v="4"/>
  </r>
  <r>
    <n v="397"/>
    <x v="27"/>
    <x v="145"/>
    <s v="Stainless Steel"/>
    <x v="1"/>
    <x v="2"/>
    <n v="36"/>
    <n v="12.5"/>
    <n v="20"/>
    <s v="Silver"/>
    <x v="0"/>
    <s v="Date, Cyclops Lens"/>
    <x v="11"/>
    <x v="102"/>
    <x v="0"/>
    <x v="4"/>
  </r>
  <r>
    <n v="398"/>
    <x v="27"/>
    <x v="144"/>
    <s v="Stainless Steel"/>
    <x v="1"/>
    <x v="2"/>
    <n v="41"/>
    <n v="11.7"/>
    <n v="20"/>
    <s v="White"/>
    <x v="0"/>
    <s v="Date"/>
    <x v="11"/>
    <x v="102"/>
    <x v="0"/>
    <x v="4"/>
  </r>
  <r>
    <n v="399"/>
    <x v="27"/>
    <x v="144"/>
    <s v="Stainless Steel"/>
    <x v="1"/>
    <x v="2"/>
    <n v="41"/>
    <n v="11.8"/>
    <n v="21"/>
    <s v="Blue"/>
    <x v="0"/>
    <s v="Date"/>
    <x v="11"/>
    <x v="103"/>
    <x v="0"/>
    <x v="4"/>
  </r>
  <r>
    <n v="400"/>
    <x v="27"/>
    <x v="145"/>
    <s v="Jubilee Bracelet"/>
    <x v="1"/>
    <x v="2"/>
    <n v="36"/>
    <n v="12"/>
    <n v="20"/>
    <s v="Blue"/>
    <x v="0"/>
    <s v="Date"/>
    <x v="11"/>
    <x v="166"/>
    <x v="0"/>
    <x v="4"/>
  </r>
  <r>
    <n v="401"/>
    <x v="27"/>
    <x v="145"/>
    <s v="Stainless Steel"/>
    <x v="1"/>
    <x v="2"/>
    <n v="36"/>
    <n v="12"/>
    <n v="20"/>
    <s v="Silver"/>
    <x v="0"/>
    <s v="Date"/>
    <x v="11"/>
    <x v="76"/>
    <x v="0"/>
    <x v="4"/>
  </r>
  <r>
    <n v="402"/>
    <x v="27"/>
    <x v="145"/>
    <s v="Stainless Steel"/>
    <x v="1"/>
    <x v="2"/>
    <n v="36"/>
    <n v="12.5"/>
    <n v="20"/>
    <s v="Blue"/>
    <x v="0"/>
    <s v="Date, Cyclops"/>
    <x v="11"/>
    <x v="167"/>
    <x v="0"/>
    <x v="4"/>
  </r>
  <r>
    <n v="403"/>
    <x v="27"/>
    <x v="145"/>
    <s v="Stainless Steel"/>
    <x v="1"/>
    <x v="2"/>
    <n v="36"/>
    <n v="12.5"/>
    <n v="20"/>
    <s v="Black"/>
    <x v="0"/>
    <s v="Date"/>
    <x v="11"/>
    <x v="78"/>
    <x v="0"/>
    <x v="4"/>
  </r>
  <r>
    <n v="404"/>
    <x v="28"/>
    <x v="146"/>
    <s v="Rubber"/>
    <x v="1"/>
    <x v="4"/>
    <n v="44.3"/>
    <n v="12.9"/>
    <n v="20"/>
    <s v="Black"/>
    <x v="0"/>
    <s v="Date"/>
    <x v="3"/>
    <x v="93"/>
    <x v="2"/>
    <x v="6"/>
  </r>
  <r>
    <n v="405"/>
    <x v="28"/>
    <x v="147"/>
    <s v="Silicone"/>
    <x v="1"/>
    <x v="4"/>
    <n v="43"/>
    <n v="13.2"/>
    <n v="22"/>
    <s v="Blue"/>
    <x v="3"/>
    <s v="Date"/>
    <x v="3"/>
    <x v="168"/>
    <x v="2"/>
    <x v="6"/>
  </r>
  <r>
    <n v="406"/>
    <x v="28"/>
    <x v="146"/>
    <s v="Silicone"/>
    <x v="1"/>
    <x v="4"/>
    <n v="44.3"/>
    <n v="12.7"/>
    <n v="20"/>
    <s v="Blue"/>
    <x v="0"/>
    <s v="Day/Date"/>
    <x v="22"/>
    <x v="94"/>
    <x v="2"/>
    <x v="6"/>
  </r>
  <r>
    <n v="407"/>
    <x v="28"/>
    <x v="146"/>
    <s v="Silicone"/>
    <x v="1"/>
    <x v="4"/>
    <n v="44.3"/>
    <n v="13.1"/>
    <n v="22"/>
    <s v="Black"/>
    <x v="3"/>
    <s v="Date, GMT"/>
    <x v="3"/>
    <x v="94"/>
    <x v="2"/>
    <x v="6"/>
  </r>
  <r>
    <n v="408"/>
    <x v="28"/>
    <x v="148"/>
    <s v="Silicone"/>
    <x v="1"/>
    <x v="4"/>
    <n v="42.3"/>
    <n v="13.4"/>
    <n v="22"/>
    <s v="Blue"/>
    <x v="3"/>
    <s v="None"/>
    <x v="3"/>
    <x v="73"/>
    <x v="2"/>
    <x v="5"/>
  </r>
  <r>
    <n v="409"/>
    <x v="29"/>
    <x v="149"/>
    <s v="Silicone"/>
    <x v="1"/>
    <x v="6"/>
    <n v="45"/>
    <n v="14.7"/>
    <n v="22"/>
    <s v="Black"/>
    <x v="0"/>
    <s v="None"/>
    <x v="8"/>
    <x v="169"/>
    <x v="4"/>
    <x v="3"/>
  </r>
  <r>
    <n v="410"/>
    <x v="29"/>
    <x v="150"/>
    <s v="Rubber"/>
    <x v="1"/>
    <x v="5"/>
    <n v="44"/>
    <n v="14.3"/>
    <n v="22"/>
    <s v="Black"/>
    <x v="0"/>
    <s v="None"/>
    <x v="8"/>
    <x v="32"/>
    <x v="3"/>
    <x v="3"/>
  </r>
  <r>
    <n v="411"/>
    <x v="29"/>
    <x v="151"/>
    <s v="Leather"/>
    <x v="1"/>
    <x v="4"/>
    <n v="41"/>
    <n v="11.5"/>
    <n v="20"/>
    <s v="Black"/>
    <x v="0"/>
    <s v="Date"/>
    <x v="6"/>
    <x v="93"/>
    <x v="2"/>
    <x v="6"/>
  </r>
  <r>
    <n v="412"/>
    <x v="30"/>
    <x v="152"/>
    <s v="Leather"/>
    <x v="1"/>
    <x v="2"/>
    <n v="39"/>
    <n v="14"/>
    <n v="22"/>
    <s v="Blue"/>
    <x v="0"/>
    <s v="Chronograph"/>
    <x v="6"/>
    <x v="170"/>
    <x v="0"/>
    <x v="4"/>
  </r>
  <r>
    <n v="413"/>
    <x v="30"/>
    <x v="152"/>
    <s v="Leather"/>
    <x v="1"/>
    <x v="2"/>
    <n v="39"/>
    <n v="14.5"/>
    <n v="22"/>
    <s v="Blue"/>
    <x v="0"/>
    <s v="Chronograph"/>
    <x v="6"/>
    <x v="89"/>
    <x v="0"/>
    <x v="4"/>
  </r>
  <r>
    <n v="414"/>
    <x v="30"/>
    <x v="152"/>
    <s v="Leather"/>
    <x v="1"/>
    <x v="2"/>
    <n v="39"/>
    <n v="14.5"/>
    <n v="22"/>
    <s v="Blue"/>
    <x v="0"/>
    <s v="Chronograph"/>
    <x v="4"/>
    <x v="134"/>
    <x v="0"/>
    <x v="4"/>
  </r>
  <r>
    <n v="415"/>
    <x v="30"/>
    <x v="152"/>
    <s v="Leather"/>
    <x v="1"/>
    <x v="2"/>
    <n v="39"/>
    <n v="14"/>
    <n v="22"/>
    <s v="Blue"/>
    <x v="0"/>
    <s v="Chronograph"/>
    <x v="4"/>
    <x v="123"/>
    <x v="0"/>
    <x v="3"/>
  </r>
  <r>
    <n v="416"/>
    <x v="30"/>
    <x v="153"/>
    <s v="Leather"/>
    <x v="1"/>
    <x v="2"/>
    <n v="41"/>
    <n v="13"/>
    <n v="20"/>
    <s v="White"/>
    <x v="0"/>
    <s v="Chronograph"/>
    <x v="6"/>
    <x v="124"/>
    <x v="0"/>
    <x v="3"/>
  </r>
  <r>
    <n v="417"/>
    <x v="30"/>
    <x v="153"/>
    <s v="Leather"/>
    <x v="1"/>
    <x v="2"/>
    <n v="41"/>
    <n v="13"/>
    <n v="20"/>
    <s v="White"/>
    <x v="0"/>
    <s v="Chronograph"/>
    <x v="6"/>
    <x v="124"/>
    <x v="0"/>
    <x v="3"/>
  </r>
  <r>
    <n v="418"/>
    <x v="30"/>
    <x v="154"/>
    <s v="Stainless Steel"/>
    <x v="1"/>
    <x v="3"/>
    <n v="43"/>
    <n v="13"/>
    <n v="21"/>
    <s v="Blue"/>
    <x v="0"/>
    <s v="Date"/>
    <x v="8"/>
    <x v="171"/>
    <x v="1"/>
    <x v="3"/>
  </r>
  <r>
    <n v="419"/>
    <x v="30"/>
    <x v="154"/>
    <s v="Stainless Steel"/>
    <x v="1"/>
    <x v="3"/>
    <n v="43"/>
    <n v="12.5"/>
    <n v="21"/>
    <s v="Black"/>
    <x v="0"/>
    <s v="Date"/>
    <x v="8"/>
    <x v="172"/>
    <x v="1"/>
    <x v="3"/>
  </r>
  <r>
    <n v="420"/>
    <x v="30"/>
    <x v="155"/>
    <s v="Stainless Steel"/>
    <x v="1"/>
    <x v="3"/>
    <n v="41"/>
    <n v="12"/>
    <n v="20"/>
    <s v="Blue"/>
    <x v="0"/>
    <s v="Date"/>
    <x v="8"/>
    <x v="84"/>
    <x v="1"/>
    <x v="3"/>
  </r>
  <r>
    <n v="421"/>
    <x v="30"/>
    <x v="155"/>
    <s v="Stainless Steel"/>
    <x v="1"/>
    <x v="3"/>
    <n v="41"/>
    <n v="12.5"/>
    <n v="20"/>
    <s v="Black"/>
    <x v="0"/>
    <s v="Date"/>
    <x v="8"/>
    <x v="131"/>
    <x v="1"/>
    <x v="3"/>
  </r>
  <r>
    <n v="422"/>
    <x v="30"/>
    <x v="154"/>
    <s v="Stainless Steel"/>
    <x v="2"/>
    <x v="3"/>
    <n v="43"/>
    <n v="10.8"/>
    <n v="21"/>
    <s v="Blue"/>
    <x v="0"/>
    <s v="Date"/>
    <x v="12"/>
    <x v="173"/>
    <x v="1"/>
    <x v="3"/>
  </r>
  <r>
    <n v="423"/>
    <x v="30"/>
    <x v="154"/>
    <s v="Stainless Steel"/>
    <x v="2"/>
    <x v="3"/>
    <n v="43"/>
    <n v="10.8"/>
    <n v="20"/>
    <s v="Blue"/>
    <x v="0"/>
    <s v="None"/>
    <x v="12"/>
    <x v="128"/>
    <x v="1"/>
    <x v="6"/>
  </r>
  <r>
    <n v="424"/>
    <x v="30"/>
    <x v="156"/>
    <s v="Stainless Steel"/>
    <x v="2"/>
    <x v="3"/>
    <n v="32"/>
    <n v="9.5"/>
    <n v="15"/>
    <s v="Blue"/>
    <x v="0"/>
    <s v="None"/>
    <x v="12"/>
    <x v="174"/>
    <x v="1"/>
    <x v="6"/>
  </r>
  <r>
    <n v="425"/>
    <x v="31"/>
    <x v="157"/>
    <s v="Leather"/>
    <x v="1"/>
    <x v="0"/>
    <n v="39.299999999999997"/>
    <n v="9.75"/>
    <n v="19"/>
    <s v="White"/>
    <x v="0"/>
    <s v="Date"/>
    <x v="8"/>
    <x v="73"/>
    <x v="0"/>
    <x v="5"/>
  </r>
  <r>
    <n v="426"/>
    <x v="31"/>
    <x v="157"/>
    <s v="Leather"/>
    <x v="1"/>
    <x v="0"/>
    <n v="39.299999999999997"/>
    <n v="9.75"/>
    <n v="20"/>
    <s v="Silver"/>
    <x v="0"/>
    <s v="Date"/>
    <x v="8"/>
    <x v="73"/>
    <x v="0"/>
    <x v="5"/>
  </r>
  <r>
    <n v="427"/>
    <x v="32"/>
    <x v="158"/>
    <s v="Fabric"/>
    <x v="1"/>
    <x v="4"/>
    <n v="41"/>
    <n v="12.7"/>
    <n v="22"/>
    <s v="Black"/>
    <x v="0"/>
    <s v="None"/>
    <x v="11"/>
    <x v="30"/>
    <x v="2"/>
    <x v="3"/>
  </r>
  <r>
    <n v="428"/>
    <x v="32"/>
    <x v="159"/>
    <s v="Stainless Steel"/>
    <x v="1"/>
    <x v="4"/>
    <n v="41"/>
    <n v="14.5"/>
    <n v="22"/>
    <s v="Black"/>
    <x v="0"/>
    <s v="GMT"/>
    <x v="11"/>
    <x v="30"/>
    <x v="2"/>
    <x v="3"/>
  </r>
  <r>
    <n v="429"/>
    <x v="32"/>
    <x v="158"/>
    <s v="Fabric"/>
    <x v="1"/>
    <x v="4"/>
    <n v="41"/>
    <n v="11.9"/>
    <n v="22"/>
    <s v="Black"/>
    <x v="0"/>
    <s v="Date"/>
    <x v="11"/>
    <x v="68"/>
    <x v="2"/>
    <x v="3"/>
  </r>
  <r>
    <n v="430"/>
    <x v="32"/>
    <x v="159"/>
    <s v="Stainless Steel"/>
    <x v="1"/>
    <x v="4"/>
    <n v="41"/>
    <n v="14.5"/>
    <n v="22"/>
    <s v="Black"/>
    <x v="0"/>
    <s v="GMT"/>
    <x v="11"/>
    <x v="175"/>
    <x v="2"/>
    <x v="3"/>
  </r>
  <r>
    <n v="431"/>
    <x v="32"/>
    <x v="158"/>
    <s v="Leather"/>
    <x v="1"/>
    <x v="4"/>
    <n v="41"/>
    <n v="12.7"/>
    <n v="22"/>
    <s v="Black"/>
    <x v="0"/>
    <s v="Date"/>
    <x v="11"/>
    <x v="125"/>
    <x v="2"/>
    <x v="3"/>
  </r>
  <r>
    <n v="432"/>
    <x v="32"/>
    <x v="158"/>
    <s v="Leather"/>
    <x v="1"/>
    <x v="4"/>
    <n v="41"/>
    <n v="12.7"/>
    <n v="22"/>
    <s v="Black"/>
    <x v="0"/>
    <s v="Date"/>
    <x v="11"/>
    <x v="31"/>
    <x v="2"/>
    <x v="3"/>
  </r>
  <r>
    <n v="433"/>
    <x v="32"/>
    <x v="158"/>
    <s v="Leather"/>
    <x v="1"/>
    <x v="4"/>
    <n v="41"/>
    <n v="14.75"/>
    <n v="22"/>
    <s v="Black"/>
    <x v="0"/>
    <s v="None"/>
    <x v="11"/>
    <x v="31"/>
    <x v="2"/>
    <x v="3"/>
  </r>
  <r>
    <n v="434"/>
    <x v="32"/>
    <x v="158"/>
    <s v="Leather"/>
    <x v="1"/>
    <x v="4"/>
    <n v="41"/>
    <n v="12.7"/>
    <n v="22"/>
    <s v="Black"/>
    <x v="0"/>
    <s v="Date"/>
    <x v="11"/>
    <x v="31"/>
    <x v="2"/>
    <x v="3"/>
  </r>
  <r>
    <n v="435"/>
    <x v="32"/>
    <x v="158"/>
    <s v="Leather"/>
    <x v="1"/>
    <x v="4"/>
    <n v="41"/>
    <n v="14.75"/>
    <n v="22"/>
    <s v="Black"/>
    <x v="0"/>
    <s v="None"/>
    <x v="11"/>
    <x v="31"/>
    <x v="2"/>
    <x v="3"/>
  </r>
  <r>
    <n v="436"/>
    <x v="32"/>
    <x v="158"/>
    <s v="Leather"/>
    <x v="1"/>
    <x v="4"/>
    <n v="41"/>
    <n v="12.7"/>
    <n v="22"/>
    <s v="Black"/>
    <x v="0"/>
    <s v="Date"/>
    <x v="11"/>
    <x v="70"/>
    <x v="2"/>
    <x v="3"/>
  </r>
  <r>
    <n v="437"/>
    <x v="32"/>
    <x v="158"/>
    <s v="Leather"/>
    <x v="1"/>
    <x v="4"/>
    <n v="41"/>
    <n v="11.9"/>
    <n v="22"/>
    <s v="Black"/>
    <x v="0"/>
    <s v="None"/>
    <x v="11"/>
    <x v="83"/>
    <x v="2"/>
    <x v="3"/>
  </r>
  <r>
    <n v="438"/>
    <x v="32"/>
    <x v="158"/>
    <s v="Leather"/>
    <x v="1"/>
    <x v="4"/>
    <n v="41"/>
    <n v="12.75"/>
    <n v="22"/>
    <s v="Black"/>
    <x v="0"/>
    <s v="Date"/>
    <x v="11"/>
    <x v="83"/>
    <x v="2"/>
    <x v="3"/>
  </r>
  <r>
    <n v="439"/>
    <x v="32"/>
    <x v="158"/>
    <s v="Leather"/>
    <x v="1"/>
    <x v="4"/>
    <n v="41"/>
    <n v="12.7"/>
    <n v="22"/>
    <s v="Black"/>
    <x v="0"/>
    <s v="None"/>
    <x v="11"/>
    <x v="83"/>
    <x v="2"/>
    <x v="3"/>
  </r>
  <r>
    <n v="440"/>
    <x v="32"/>
    <x v="158"/>
    <s v="NATO Strap"/>
    <x v="1"/>
    <x v="4"/>
    <n v="41"/>
    <n v="11.9"/>
    <n v="22"/>
    <s v="Black"/>
    <x v="0"/>
    <s v="None"/>
    <x v="11"/>
    <x v="83"/>
    <x v="2"/>
    <x v="3"/>
  </r>
  <r>
    <n v="441"/>
    <x v="33"/>
    <x v="160"/>
    <s v="Rubber"/>
    <x v="1"/>
    <x v="2"/>
    <n v="44"/>
    <n v="12.5"/>
    <n v="22"/>
    <s v="Blue"/>
    <x v="0"/>
    <s v="Date"/>
    <x v="2"/>
    <x v="60"/>
    <x v="0"/>
    <x v="4"/>
  </r>
  <r>
    <n v="442"/>
    <x v="33"/>
    <x v="160"/>
    <s v="Rubber"/>
    <x v="1"/>
    <x v="3"/>
    <n v="44"/>
    <n v="12.5"/>
    <n v="22"/>
    <s v="Black"/>
    <x v="0"/>
    <s v="Date"/>
    <x v="2"/>
    <x v="60"/>
    <x v="1"/>
    <x v="4"/>
  </r>
  <r>
    <n v="443"/>
    <x v="33"/>
    <x v="161"/>
    <s v="Rubber"/>
    <x v="1"/>
    <x v="3"/>
    <n v="44"/>
    <n v="14.5"/>
    <n v="22"/>
    <s v="Blue"/>
    <x v="0"/>
    <s v="Date"/>
    <x v="2"/>
    <x v="60"/>
    <x v="1"/>
    <x v="4"/>
  </r>
  <r>
    <n v="444"/>
    <x v="33"/>
    <x v="162"/>
    <s v="Rubber"/>
    <x v="1"/>
    <x v="2"/>
    <n v="42.2"/>
    <n v="12.6"/>
    <n v="22"/>
    <s v="Blue"/>
    <x v="0"/>
    <s v="Date"/>
    <x v="2"/>
    <x v="112"/>
    <x v="0"/>
    <x v="4"/>
  </r>
  <r>
    <n v="445"/>
    <x v="33"/>
    <x v="163"/>
    <s v="Rubber"/>
    <x v="1"/>
    <x v="2"/>
    <n v="42"/>
    <n v="12.8"/>
    <n v="22"/>
    <s v="Blue"/>
    <x v="0"/>
    <s v="Date"/>
    <x v="2"/>
    <x v="101"/>
    <x v="0"/>
    <x v="4"/>
  </r>
  <r>
    <n v="446"/>
    <x v="33"/>
    <x v="162"/>
    <s v="Leather"/>
    <x v="1"/>
    <x v="2"/>
    <n v="42.2"/>
    <n v="14.2"/>
    <n v="22"/>
    <s v="Blue"/>
    <x v="0"/>
    <s v="Date"/>
    <x v="2"/>
    <x v="117"/>
    <x v="0"/>
    <x v="4"/>
  </r>
  <r>
    <n v="447"/>
    <x v="33"/>
    <x v="164"/>
    <s v="Leather"/>
    <x v="1"/>
    <x v="1"/>
    <n v="42"/>
    <n v="11.15"/>
    <n v="20"/>
    <s v="Blue"/>
    <x v="0"/>
    <s v="Date"/>
    <x v="2"/>
    <x v="62"/>
    <x v="0"/>
    <x v="4"/>
  </r>
  <r>
    <n v="448"/>
    <x v="33"/>
    <x v="160"/>
    <s v="Rubber"/>
    <x v="1"/>
    <x v="2"/>
    <n v="44"/>
    <n v="14.4"/>
    <n v="22"/>
    <s v="Blue"/>
    <x v="0"/>
    <s v="Date, Power Reserve"/>
    <x v="2"/>
    <x v="76"/>
    <x v="0"/>
    <x v="4"/>
  </r>
  <r>
    <n v="449"/>
    <x v="33"/>
    <x v="162"/>
    <s v="Leather"/>
    <x v="1"/>
    <x v="2"/>
    <n v="42.2"/>
    <n v="12.6"/>
    <n v="20"/>
    <s v="Blue"/>
    <x v="0"/>
    <s v="Date"/>
    <x v="2"/>
    <x v="76"/>
    <x v="0"/>
    <x v="4"/>
  </r>
  <r>
    <n v="450"/>
    <x v="33"/>
    <x v="165"/>
    <s v="Rubber"/>
    <x v="1"/>
    <x v="2"/>
    <n v="43"/>
    <n v="12.6"/>
    <n v="22"/>
    <s v="Blue"/>
    <x v="0"/>
    <s v="Date"/>
    <x v="2"/>
    <x v="176"/>
    <x v="0"/>
    <x v="4"/>
  </r>
  <r>
    <n v="451"/>
    <x v="34"/>
    <x v="166"/>
    <s v="Leather"/>
    <x v="0"/>
    <x v="0"/>
    <n v="40"/>
    <n v="6.79"/>
    <n v="20"/>
    <s v="Silver"/>
    <x v="0"/>
    <s v="None"/>
    <x v="7"/>
    <x v="177"/>
    <x v="0"/>
    <x v="0"/>
  </r>
  <r>
    <n v="452"/>
    <x v="34"/>
    <x v="167"/>
    <s v="Stainless Steel"/>
    <x v="1"/>
    <x v="10"/>
    <n v="41"/>
    <n v="11"/>
    <n v="22"/>
    <s v="Blue"/>
    <x v="0"/>
    <s v="Date, World Time"/>
    <x v="2"/>
    <x v="0"/>
    <x v="2"/>
    <x v="0"/>
  </r>
  <r>
    <n v="453"/>
    <x v="34"/>
    <x v="168"/>
    <s v="Leather"/>
    <x v="0"/>
    <x v="0"/>
    <n v="42"/>
    <n v="7.65"/>
    <n v="20"/>
    <s v="Silver"/>
    <x v="0"/>
    <s v="None"/>
    <x v="7"/>
    <x v="14"/>
    <x v="0"/>
    <x v="0"/>
  </r>
  <r>
    <n v="454"/>
    <x v="34"/>
    <x v="167"/>
    <s v="Rubber"/>
    <x v="1"/>
    <x v="10"/>
    <n v="41"/>
    <n v="11"/>
    <n v="21"/>
    <s v="Blue"/>
    <x v="0"/>
    <s v="Date"/>
    <x v="2"/>
    <x v="16"/>
    <x v="2"/>
    <x v="0"/>
  </r>
  <r>
    <n v="455"/>
    <x v="34"/>
    <x v="167"/>
    <s v="Stainless Steel"/>
    <x v="1"/>
    <x v="10"/>
    <n v="41"/>
    <n v="11"/>
    <n v="20"/>
    <s v="Silver"/>
    <x v="0"/>
    <s v="Date"/>
    <x v="2"/>
    <x v="55"/>
    <x v="2"/>
    <x v="0"/>
  </r>
  <r>
    <n v="456"/>
    <x v="34"/>
    <x v="167"/>
    <s v="Stainless Steel"/>
    <x v="1"/>
    <x v="10"/>
    <n v="41"/>
    <n v="11"/>
    <n v="22"/>
    <s v="Silver"/>
    <x v="0"/>
    <s v="Date"/>
    <x v="2"/>
    <x v="55"/>
    <x v="2"/>
    <x v="0"/>
  </r>
  <r>
    <n v="457"/>
    <x v="34"/>
    <x v="167"/>
    <s v="Stainless Steel"/>
    <x v="1"/>
    <x v="10"/>
    <n v="41"/>
    <n v="11"/>
    <n v="22"/>
    <s v="Blue"/>
    <x v="0"/>
    <s v="Date, Power Reserve"/>
    <x v="4"/>
    <x v="17"/>
    <x v="2"/>
    <x v="0"/>
  </r>
  <r>
    <n v="458"/>
    <x v="34"/>
    <x v="169"/>
    <s v="Stainless Steel"/>
    <x v="1"/>
    <x v="10"/>
    <n v="41.5"/>
    <n v="11"/>
    <n v="22"/>
    <s v="Blue"/>
    <x v="0"/>
    <s v="Date"/>
    <x v="2"/>
    <x v="17"/>
    <x v="2"/>
    <x v="0"/>
  </r>
  <r>
    <n v="459"/>
    <x v="34"/>
    <x v="167"/>
    <s v="Stainless Steel"/>
    <x v="1"/>
    <x v="10"/>
    <n v="41"/>
    <n v="11"/>
    <n v="20"/>
    <s v="Black"/>
    <x v="0"/>
    <s v="Date, World Time"/>
    <x v="2"/>
    <x v="109"/>
    <x v="2"/>
    <x v="0"/>
  </r>
  <r>
    <n v="460"/>
    <x v="34"/>
    <x v="169"/>
    <s v="Stainless Steel"/>
    <x v="1"/>
    <x v="10"/>
    <n v="41.5"/>
    <n v="11"/>
    <n v="22"/>
    <s v="Silver"/>
    <x v="0"/>
    <s v="Date"/>
    <x v="2"/>
    <x v="20"/>
    <x v="2"/>
    <x v="1"/>
  </r>
  <r>
    <n v="461"/>
    <x v="34"/>
    <x v="170"/>
    <s v="Rubber"/>
    <x v="1"/>
    <x v="10"/>
    <n v="42.5"/>
    <n v="13.7"/>
    <n v="22"/>
    <s v="Blue"/>
    <x v="0"/>
    <s v="Date"/>
    <x v="4"/>
    <x v="20"/>
    <x v="2"/>
    <x v="1"/>
  </r>
  <r>
    <n v="462"/>
    <x v="34"/>
    <x v="167"/>
    <s v="Rubber"/>
    <x v="1"/>
    <x v="10"/>
    <n v="41"/>
    <n v="11"/>
    <n v="22"/>
    <s v="Blue"/>
    <x v="0"/>
    <s v="Date"/>
    <x v="4"/>
    <x v="22"/>
    <x v="2"/>
    <x v="1"/>
  </r>
  <r>
    <n v="463"/>
    <x v="34"/>
    <x v="169"/>
    <s v="Rubber"/>
    <x v="1"/>
    <x v="10"/>
    <n v="41.5"/>
    <n v="11"/>
    <n v="21"/>
    <s v="Silver"/>
    <x v="0"/>
    <s v="Date"/>
    <x v="4"/>
    <x v="23"/>
    <x v="2"/>
    <x v="1"/>
  </r>
  <r>
    <n v="464"/>
    <x v="34"/>
    <x v="167"/>
    <s v="Stainless Steel"/>
    <x v="1"/>
    <x v="10"/>
    <n v="41"/>
    <n v="11"/>
    <n v="20"/>
    <s v="Black"/>
    <x v="0"/>
    <s v="Date"/>
    <x v="2"/>
    <x v="178"/>
    <x v="2"/>
    <x v="1"/>
  </r>
  <r>
    <n v="465"/>
    <x v="34"/>
    <x v="167"/>
    <s v="Rubber"/>
    <x v="1"/>
    <x v="10"/>
    <n v="41"/>
    <n v="11"/>
    <n v="22"/>
    <s v="Blue"/>
    <x v="0"/>
    <s v="Date"/>
    <x v="4"/>
    <x v="57"/>
    <x v="2"/>
    <x v="1"/>
  </r>
  <r>
    <n v="466"/>
    <x v="34"/>
    <x v="169"/>
    <s v="Stainless Steel"/>
    <x v="1"/>
    <x v="10"/>
    <n v="41.5"/>
    <n v="11"/>
    <n v="22"/>
    <s v="Blue"/>
    <x v="0"/>
    <s v="Date"/>
    <x v="4"/>
    <x v="57"/>
    <x v="2"/>
    <x v="1"/>
  </r>
  <r>
    <n v="467"/>
    <x v="34"/>
    <x v="169"/>
    <s v="Rubber"/>
    <x v="1"/>
    <x v="10"/>
    <n v="41.5"/>
    <n v="11"/>
    <n v="22"/>
    <s v="Blue"/>
    <x v="0"/>
    <s v="Date"/>
    <x v="4"/>
    <x v="24"/>
    <x v="2"/>
    <x v="1"/>
  </r>
  <r>
    <n v="468"/>
    <x v="34"/>
    <x v="171"/>
    <s v="Leather"/>
    <x v="0"/>
    <x v="0"/>
    <n v="40"/>
    <n v="6.79"/>
    <n v="20"/>
    <s v="Silver"/>
    <x v="0"/>
    <s v="None"/>
    <x v="7"/>
    <x v="25"/>
    <x v="0"/>
    <x v="1"/>
  </r>
  <r>
    <n v="469"/>
    <x v="34"/>
    <x v="167"/>
    <s v="Stainless Steel"/>
    <x v="1"/>
    <x v="1"/>
    <n v="41"/>
    <n v="11"/>
    <n v="22"/>
    <s v="Blue"/>
    <x v="0"/>
    <s v="Date"/>
    <x v="4"/>
    <x v="26"/>
    <x v="0"/>
    <x v="1"/>
  </r>
  <r>
    <n v="470"/>
    <x v="34"/>
    <x v="167"/>
    <s v="Rubber"/>
    <x v="1"/>
    <x v="10"/>
    <n v="41"/>
    <n v="11"/>
    <n v="21"/>
    <s v="Blue"/>
    <x v="0"/>
    <s v="Date"/>
    <x v="2"/>
    <x v="2"/>
    <x v="2"/>
    <x v="1"/>
  </r>
  <r>
    <n v="471"/>
    <x v="34"/>
    <x v="167"/>
    <s v="Stainless Steel"/>
    <x v="1"/>
    <x v="10"/>
    <n v="41"/>
    <n v="11"/>
    <n v="22"/>
    <s v="Blue"/>
    <x v="0"/>
    <s v="Date"/>
    <x v="2"/>
    <x v="179"/>
    <x v="2"/>
    <x v="1"/>
  </r>
  <r>
    <n v="472"/>
    <x v="34"/>
    <x v="167"/>
    <s v="Stainless Steel"/>
    <x v="1"/>
    <x v="1"/>
    <n v="41"/>
    <n v="11"/>
    <n v="20"/>
    <s v="Blue"/>
    <x v="0"/>
    <s v="Date, Second Time Zone"/>
    <x v="2"/>
    <x v="111"/>
    <x v="0"/>
    <x v="1"/>
  </r>
  <r>
    <n v="473"/>
    <x v="34"/>
    <x v="167"/>
    <s v="Stainless Steel"/>
    <x v="1"/>
    <x v="10"/>
    <n v="41"/>
    <n v="11"/>
    <n v="22"/>
    <s v="Blue"/>
    <x v="0"/>
    <s v="Date"/>
    <x v="2"/>
    <x v="35"/>
    <x v="2"/>
    <x v="1"/>
  </r>
  <r>
    <n v="474"/>
    <x v="34"/>
    <x v="172"/>
    <s v="Leather"/>
    <x v="1"/>
    <x v="0"/>
    <n v="40"/>
    <n v="6.79"/>
    <n v="20"/>
    <s v="White"/>
    <x v="0"/>
    <s v="None"/>
    <x v="4"/>
    <x v="35"/>
    <x v="0"/>
    <x v="1"/>
  </r>
  <r>
    <n v="475"/>
    <x v="34"/>
    <x v="167"/>
    <s v="Rubber"/>
    <x v="1"/>
    <x v="10"/>
    <n v="41"/>
    <n v="11"/>
    <n v="22"/>
    <s v="Blue"/>
    <x v="0"/>
    <s v="Date"/>
    <x v="4"/>
    <x v="47"/>
    <x v="2"/>
    <x v="1"/>
  </r>
  <r>
    <n v="476"/>
    <x v="35"/>
    <x v="173"/>
    <s v="Rubber"/>
    <x v="1"/>
    <x v="2"/>
    <n v="41"/>
    <n v="10.75"/>
    <n v="22"/>
    <s v="Blue"/>
    <x v="0"/>
    <s v="Chronograph"/>
    <x v="3"/>
    <x v="60"/>
    <x v="0"/>
    <x v="4"/>
  </r>
  <r>
    <n v="477"/>
    <x v="35"/>
    <x v="174"/>
    <s v="Leather"/>
    <x v="1"/>
    <x v="2"/>
    <n v="42"/>
    <n v="13.1"/>
    <n v="22"/>
    <s v="Silver"/>
    <x v="0"/>
    <s v="Chronograph"/>
    <x v="3"/>
    <x v="180"/>
    <x v="0"/>
    <x v="4"/>
  </r>
  <r>
    <n v="478"/>
    <x v="35"/>
    <x v="175"/>
    <s v="Leather"/>
    <x v="1"/>
    <x v="2"/>
    <n v="42"/>
    <n v="12.75"/>
    <n v="20"/>
    <s v="White"/>
    <x v="0"/>
    <s v="Chronograph, Date"/>
    <x v="3"/>
    <x v="62"/>
    <x v="0"/>
    <x v="4"/>
  </r>
  <r>
    <n v="479"/>
    <x v="35"/>
    <x v="176"/>
    <s v="Leather"/>
    <x v="1"/>
    <x v="2"/>
    <n v="38"/>
    <n v="12.15"/>
    <n v="19"/>
    <s v="Silver"/>
    <x v="0"/>
    <s v="Chronograph"/>
    <x v="3"/>
    <x v="76"/>
    <x v="0"/>
    <x v="4"/>
  </r>
  <r>
    <n v="480"/>
    <x v="35"/>
    <x v="177"/>
    <s v="Leather"/>
    <x v="1"/>
    <x v="1"/>
    <n v="38"/>
    <n v="12.6"/>
    <n v="20"/>
    <s v="Silver"/>
    <x v="0"/>
    <s v="Chronograph"/>
    <x v="3"/>
    <x v="76"/>
    <x v="0"/>
    <x v="4"/>
  </r>
  <r>
    <n v="481"/>
    <x v="35"/>
    <x v="175"/>
    <s v="Leather"/>
    <x v="1"/>
    <x v="2"/>
    <n v="42"/>
    <n v="12.75"/>
    <n v="20"/>
    <s v="Black"/>
    <x v="0"/>
    <s v="Chronograph"/>
    <x v="3"/>
    <x v="76"/>
    <x v="0"/>
    <x v="4"/>
  </r>
  <r>
    <n v="482"/>
    <x v="35"/>
    <x v="175"/>
    <s v="Leather"/>
    <x v="1"/>
    <x v="2"/>
    <n v="42"/>
    <n v="12.75"/>
    <n v="20"/>
    <s v="White"/>
    <x v="0"/>
    <s v="Date, Chronograph, Moon Phase"/>
    <x v="3"/>
    <x v="76"/>
    <x v="0"/>
    <x v="4"/>
  </r>
  <r>
    <n v="483"/>
    <x v="35"/>
    <x v="175"/>
    <s v="Leather"/>
    <x v="1"/>
    <x v="2"/>
    <n v="42"/>
    <n v="12.75"/>
    <n v="22"/>
    <s v="Silver"/>
    <x v="0"/>
    <s v="Chronograph"/>
    <x v="3"/>
    <x v="76"/>
    <x v="0"/>
    <x v="4"/>
  </r>
  <r>
    <n v="484"/>
    <x v="35"/>
    <x v="174"/>
    <s v="Leather"/>
    <x v="1"/>
    <x v="1"/>
    <n v="42"/>
    <n v="14.05"/>
    <n v="22"/>
    <s v="Silver"/>
    <x v="0"/>
    <s v="Chronograph"/>
    <x v="3"/>
    <x v="167"/>
    <x v="0"/>
    <x v="4"/>
  </r>
  <r>
    <n v="485"/>
    <x v="35"/>
    <x v="175"/>
    <s v="Stainless Steel"/>
    <x v="1"/>
    <x v="2"/>
    <n v="42"/>
    <n v="12.75"/>
    <n v="20"/>
    <s v="Blue"/>
    <x v="0"/>
    <s v="Chronograph"/>
    <x v="3"/>
    <x v="176"/>
    <x v="0"/>
    <x v="4"/>
  </r>
  <r>
    <n v="486"/>
    <x v="35"/>
    <x v="176"/>
    <s v="Leather"/>
    <x v="1"/>
    <x v="2"/>
    <n v="38"/>
    <n v="12.5"/>
    <n v="20"/>
    <s v="Silver"/>
    <x v="0"/>
    <s v="Chronograph"/>
    <x v="3"/>
    <x v="176"/>
    <x v="0"/>
    <x v="4"/>
  </r>
  <r>
    <n v="487"/>
    <x v="35"/>
    <x v="174"/>
    <s v="Leather"/>
    <x v="1"/>
    <x v="1"/>
    <n v="42"/>
    <n v="14.05"/>
    <n v="22"/>
    <s v="Silver"/>
    <x v="0"/>
    <s v="Chronograph, Date"/>
    <x v="3"/>
    <x v="63"/>
    <x v="0"/>
    <x v="4"/>
  </r>
  <r>
    <n v="488"/>
    <x v="35"/>
    <x v="176"/>
    <s v="Leather"/>
    <x v="1"/>
    <x v="2"/>
    <n v="38"/>
    <n v="12.45"/>
    <n v="19"/>
    <s v="White"/>
    <x v="0"/>
    <s v="Chronograph"/>
    <x v="3"/>
    <x v="63"/>
    <x v="0"/>
    <x v="4"/>
  </r>
  <r>
    <n v="489"/>
    <x v="35"/>
    <x v="175"/>
    <s v="Stainless Steel"/>
    <x v="1"/>
    <x v="2"/>
    <n v="42"/>
    <n v="12.75"/>
    <n v="20"/>
    <s v="Blue"/>
    <x v="0"/>
    <s v="Chronograph"/>
    <x v="3"/>
    <x v="63"/>
    <x v="0"/>
    <x v="4"/>
  </r>
  <r>
    <n v="490"/>
    <x v="35"/>
    <x v="175"/>
    <s v="Alligator"/>
    <x v="1"/>
    <x v="2"/>
    <n v="42"/>
    <n v="12.75"/>
    <n v="20"/>
    <s v="Silver"/>
    <x v="0"/>
    <s v="Chronograph"/>
    <x v="3"/>
    <x v="78"/>
    <x v="0"/>
    <x v="4"/>
  </r>
  <r>
    <n v="491"/>
    <x v="35"/>
    <x v="175"/>
    <s v="Leather"/>
    <x v="1"/>
    <x v="2"/>
    <n v="42"/>
    <n v="12.75"/>
    <n v="22"/>
    <s v="Black"/>
    <x v="0"/>
    <s v="Chronograph"/>
    <x v="3"/>
    <x v="78"/>
    <x v="0"/>
    <x v="4"/>
  </r>
  <r>
    <n v="492"/>
    <x v="35"/>
    <x v="175"/>
    <s v="Leather"/>
    <x v="1"/>
    <x v="2"/>
    <n v="42"/>
    <n v="12.75"/>
    <n v="20"/>
    <s v="Black"/>
    <x v="0"/>
    <s v="Chronograph"/>
    <x v="3"/>
    <x v="78"/>
    <x v="0"/>
    <x v="4"/>
  </r>
  <r>
    <n v="493"/>
    <x v="35"/>
    <x v="175"/>
    <s v="Leather"/>
    <x v="1"/>
    <x v="2"/>
    <n v="42"/>
    <n v="12.75"/>
    <n v="20"/>
    <s v="Black"/>
    <x v="0"/>
    <s v="Chronograph"/>
    <x v="3"/>
    <x v="78"/>
    <x v="0"/>
    <x v="4"/>
  </r>
  <r>
    <n v="494"/>
    <x v="35"/>
    <x v="174"/>
    <s v="Leather"/>
    <x v="1"/>
    <x v="1"/>
    <n v="42"/>
    <n v="13.5"/>
    <n v="22"/>
    <s v="Blue"/>
    <x v="0"/>
    <s v="Chronograph"/>
    <x v="3"/>
    <x v="78"/>
    <x v="0"/>
    <x v="4"/>
  </r>
  <r>
    <n v="495"/>
    <x v="35"/>
    <x v="176"/>
    <s v="Leather"/>
    <x v="1"/>
    <x v="2"/>
    <n v="38"/>
    <n v="12.45"/>
    <n v="20"/>
    <s v="Silver"/>
    <x v="0"/>
    <s v="Chronograph"/>
    <x v="3"/>
    <x v="79"/>
    <x v="0"/>
    <x v="4"/>
  </r>
  <r>
    <n v="496"/>
    <x v="35"/>
    <x v="175"/>
    <s v="Leather"/>
    <x v="1"/>
    <x v="2"/>
    <n v="42"/>
    <n v="12.75"/>
    <n v="20"/>
    <s v="Silver"/>
    <x v="0"/>
    <s v="Chronograph"/>
    <x v="3"/>
    <x v="88"/>
    <x v="0"/>
    <x v="4"/>
  </r>
  <r>
    <n v="497"/>
    <x v="35"/>
    <x v="176"/>
    <s v="Leather"/>
    <x v="1"/>
    <x v="2"/>
    <n v="38"/>
    <n v="12.4"/>
    <n v="19"/>
    <s v="White"/>
    <x v="0"/>
    <s v="Chronograph"/>
    <x v="3"/>
    <x v="88"/>
    <x v="0"/>
    <x v="4"/>
  </r>
  <r>
    <n v="498"/>
    <x v="35"/>
    <x v="174"/>
    <s v="Leather"/>
    <x v="1"/>
    <x v="2"/>
    <n v="42"/>
    <n v="14.05"/>
    <n v="20"/>
    <s v="Silver"/>
    <x v="0"/>
    <s v="Date, Chronograph"/>
    <x v="3"/>
    <x v="88"/>
    <x v="0"/>
    <x v="4"/>
  </r>
  <r>
    <n v="499"/>
    <x v="35"/>
    <x v="178"/>
    <s v="Leather"/>
    <x v="1"/>
    <x v="2"/>
    <n v="38"/>
    <n v="12.45"/>
    <n v="20"/>
    <s v="Silver"/>
    <x v="0"/>
    <s v="Chronograph"/>
    <x v="3"/>
    <x v="88"/>
    <x v="0"/>
    <x v="4"/>
  </r>
  <r>
    <n v="500"/>
    <x v="35"/>
    <x v="176"/>
    <s v="Leather"/>
    <x v="1"/>
    <x v="2"/>
    <n v="38"/>
    <n v="12.45"/>
    <n v="20"/>
    <s v="White"/>
    <x v="0"/>
    <s v="Date, Chronograph"/>
    <x v="3"/>
    <x v="91"/>
    <x v="0"/>
    <x v="4"/>
  </r>
  <r>
    <n v="501"/>
    <x v="35"/>
    <x v="176"/>
    <s v="Leather"/>
    <x v="1"/>
    <x v="2"/>
    <n v="38"/>
    <n v="12.75"/>
    <n v="20"/>
    <s v="White"/>
    <x v="0"/>
    <s v="Chronograph"/>
    <x v="3"/>
    <x v="80"/>
    <x v="0"/>
    <x v="4"/>
  </r>
  <r>
    <n v="502"/>
    <x v="35"/>
    <x v="179"/>
    <s v="Leather"/>
    <x v="1"/>
    <x v="1"/>
    <n v="40.5"/>
    <n v="8.15"/>
    <n v="22"/>
    <s v="White"/>
    <x v="0"/>
    <s v="Date"/>
    <x v="3"/>
    <x v="80"/>
    <x v="0"/>
    <x v="4"/>
  </r>
  <r>
    <n v="503"/>
    <x v="35"/>
    <x v="175"/>
    <s v="Leather"/>
    <x v="1"/>
    <x v="2"/>
    <n v="42"/>
    <n v="12.75"/>
    <n v="22"/>
    <s v="Black"/>
    <x v="0"/>
    <s v="Chronograph"/>
    <x v="3"/>
    <x v="80"/>
    <x v="0"/>
    <x v="4"/>
  </r>
  <r>
    <n v="504"/>
    <x v="35"/>
    <x v="180"/>
    <s v="Leather"/>
    <x v="1"/>
    <x v="1"/>
    <n v="39"/>
    <n v="8.15"/>
    <n v="20"/>
    <s v="Silver"/>
    <x v="0"/>
    <s v="Date"/>
    <x v="3"/>
    <x v="181"/>
    <x v="0"/>
    <x v="3"/>
  </r>
  <r>
    <n v="505"/>
    <x v="35"/>
    <x v="179"/>
    <s v="Leather"/>
    <x v="1"/>
    <x v="1"/>
    <n v="40.5"/>
    <n v="9.15"/>
    <n v="20"/>
    <s v="Silver"/>
    <x v="0"/>
    <s v="None"/>
    <x v="3"/>
    <x v="30"/>
    <x v="0"/>
    <x v="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5">
  <r>
    <x v="0"/>
    <x v="0"/>
    <x v="0"/>
    <x v="0"/>
    <s v="Manual"/>
    <n v="30"/>
    <n v="38.5"/>
    <n v="7.8"/>
    <n v="18"/>
    <s v="Silver"/>
    <x v="0"/>
    <s v="None"/>
    <n v="45"/>
    <n v="23000"/>
    <s v="&lt;=100"/>
    <x v="0"/>
  </r>
  <r>
    <x v="1"/>
    <x v="0"/>
    <x v="1"/>
    <x v="0"/>
    <s v="Manual"/>
    <n v="30"/>
    <n v="38.5"/>
    <n v="7.8"/>
    <n v="18"/>
    <s v="Silver"/>
    <x v="0"/>
    <s v="None"/>
    <n v="72"/>
    <n v="23300"/>
    <s v="&lt;=100"/>
    <x v="0"/>
  </r>
  <r>
    <x v="2"/>
    <x v="0"/>
    <x v="2"/>
    <x v="0"/>
    <s v="Manual"/>
    <n v="30"/>
    <n v="37"/>
    <n v="7.5"/>
    <n v="18"/>
    <s v="Silver"/>
    <x v="0"/>
    <s v="None"/>
    <n v="45"/>
    <n v="17500"/>
    <s v="&lt;=100"/>
    <x v="1"/>
  </r>
  <r>
    <x v="3"/>
    <x v="1"/>
    <x v="3"/>
    <x v="1"/>
    <s v="Automatic"/>
    <n v="50"/>
    <n v="41"/>
    <n v="9.8000000000000007"/>
    <n v="20"/>
    <s v="Blue"/>
    <x v="0"/>
    <s v="Date"/>
    <n v="60"/>
    <n v="55000"/>
    <s v="&lt;=100"/>
    <x v="2"/>
  </r>
  <r>
    <x v="4"/>
    <x v="1"/>
    <x v="4"/>
    <x v="0"/>
    <s v="Automatic"/>
    <n v="50"/>
    <n v="37"/>
    <n v="9.8000000000000007"/>
    <n v="20"/>
    <s v="Black"/>
    <x v="0"/>
    <s v="Date"/>
    <n v="60"/>
    <n v="38500"/>
    <s v="&lt;=100"/>
    <x v="0"/>
  </r>
  <r>
    <x v="5"/>
    <x v="1"/>
    <x v="4"/>
    <x v="1"/>
    <s v="Automatic"/>
    <n v="50"/>
    <n v="37"/>
    <n v="9.8000000000000007"/>
    <n v="18"/>
    <s v="Blue"/>
    <x v="0"/>
    <s v="None"/>
    <n v="60"/>
    <n v="36500"/>
    <s v="&lt;=100"/>
    <x v="0"/>
  </r>
  <r>
    <x v="6"/>
    <x v="1"/>
    <x v="5"/>
    <x v="2"/>
    <s v="Automatic"/>
    <n v="50"/>
    <n v="41"/>
    <n v="10.4"/>
    <n v="20"/>
    <s v="Blue"/>
    <x v="0"/>
    <s v="Date"/>
    <n v="60"/>
    <n v="28500"/>
    <s v="&lt;=100"/>
    <x v="0"/>
  </r>
  <r>
    <x v="7"/>
    <x v="1"/>
    <x v="5"/>
    <x v="2"/>
    <s v="Automatic"/>
    <n v="50"/>
    <n v="41"/>
    <n v="10.4"/>
    <n v="20"/>
    <s v="Blue"/>
    <x v="0"/>
    <s v="Date"/>
    <n v="60"/>
    <n v="28500"/>
    <s v="&lt;=100"/>
    <x v="0"/>
  </r>
  <r>
    <x v="8"/>
    <x v="1"/>
    <x v="5"/>
    <x v="2"/>
    <s v="Automatic"/>
    <n v="50"/>
    <n v="41"/>
    <n v="10.4"/>
    <n v="20"/>
    <s v="Blue"/>
    <x v="0"/>
    <s v="Date"/>
    <n v="60"/>
    <n v="27000"/>
    <s v="&lt;=100"/>
    <x v="0"/>
  </r>
  <r>
    <x v="9"/>
    <x v="1"/>
    <x v="5"/>
    <x v="2"/>
    <s v="Automatic"/>
    <n v="50"/>
    <n v="41"/>
    <n v="10.4"/>
    <n v="20"/>
    <s v="Blue"/>
    <x v="0"/>
    <s v="Date"/>
    <n v="60"/>
    <n v="26000"/>
    <s v="&lt;=100"/>
    <x v="0"/>
  </r>
  <r>
    <x v="10"/>
    <x v="1"/>
    <x v="5"/>
    <x v="2"/>
    <s v="Automatic"/>
    <n v="50"/>
    <n v="41"/>
    <n v="9.8000000000000007"/>
    <n v="20"/>
    <s v="Blue"/>
    <x v="0"/>
    <s v="Date"/>
    <n v="60"/>
    <n v="25000"/>
    <s v="&lt;=100"/>
    <x v="0"/>
  </r>
  <r>
    <x v="11"/>
    <x v="1"/>
    <x v="5"/>
    <x v="2"/>
    <s v="Automatic"/>
    <n v="50"/>
    <n v="41"/>
    <n v="10.4"/>
    <n v="20"/>
    <s v="Blue"/>
    <x v="0"/>
    <s v="Date, Stopwatch"/>
    <n v="60"/>
    <n v="25000"/>
    <s v="&lt;=100"/>
    <x v="0"/>
  </r>
  <r>
    <x v="12"/>
    <x v="1"/>
    <x v="5"/>
    <x v="2"/>
    <s v="Automatic"/>
    <n v="50"/>
    <n v="41"/>
    <n v="9.8000000000000007"/>
    <n v="20"/>
    <s v="Blue"/>
    <x v="0"/>
    <s v="Date, Power Reserve"/>
    <n v="60"/>
    <n v="25000"/>
    <s v="&lt;=100"/>
    <x v="0"/>
  </r>
  <r>
    <x v="13"/>
    <x v="1"/>
    <x v="5"/>
    <x v="2"/>
    <s v="Automatic"/>
    <n v="50"/>
    <n v="41"/>
    <n v="10.4"/>
    <n v="20"/>
    <s v="Blue"/>
    <x v="0"/>
    <s v="Date"/>
    <n v="60"/>
    <n v="24800"/>
    <s v="&lt;=100"/>
    <x v="0"/>
  </r>
  <r>
    <x v="14"/>
    <x v="1"/>
    <x v="5"/>
    <x v="2"/>
    <s v="Automatic"/>
    <n v="50"/>
    <n v="41"/>
    <n v="9.8000000000000007"/>
    <n v="20"/>
    <s v="Blue"/>
    <x v="0"/>
    <s v="Date"/>
    <n v="60"/>
    <n v="24500"/>
    <s v="&lt;=100"/>
    <x v="0"/>
  </r>
  <r>
    <x v="15"/>
    <x v="1"/>
    <x v="5"/>
    <x v="2"/>
    <s v="Automatic"/>
    <n v="50"/>
    <n v="41"/>
    <n v="9.8000000000000007"/>
    <n v="20"/>
    <s v="Blue"/>
    <x v="0"/>
    <s v="Date"/>
    <n v="60"/>
    <n v="24500"/>
    <s v="&lt;=100"/>
    <x v="0"/>
  </r>
  <r>
    <x v="16"/>
    <x v="1"/>
    <x v="5"/>
    <x v="2"/>
    <s v="Automatic"/>
    <n v="50"/>
    <n v="41"/>
    <n v="10.4"/>
    <n v="20"/>
    <s v="Black"/>
    <x v="0"/>
    <s v="Date"/>
    <n v="60"/>
    <n v="24000"/>
    <s v="&lt;=100"/>
    <x v="0"/>
  </r>
  <r>
    <x v="17"/>
    <x v="1"/>
    <x v="5"/>
    <x v="2"/>
    <s v="Automatic"/>
    <n v="50"/>
    <n v="41"/>
    <n v="9.8000000000000007"/>
    <n v="20"/>
    <s v="Black"/>
    <x v="0"/>
    <s v="Date"/>
    <n v="60"/>
    <n v="23100"/>
    <s v="&lt;=100"/>
    <x v="0"/>
  </r>
  <r>
    <x v="18"/>
    <x v="1"/>
    <x v="5"/>
    <x v="2"/>
    <s v="Automatic"/>
    <n v="50"/>
    <n v="41"/>
    <n v="9.8000000000000007"/>
    <n v="20"/>
    <s v="Black"/>
    <x v="0"/>
    <s v="Date"/>
    <n v="60"/>
    <n v="22500"/>
    <s v="&lt;=100"/>
    <x v="0"/>
  </r>
  <r>
    <x v="19"/>
    <x v="1"/>
    <x v="5"/>
    <x v="2"/>
    <s v="Automatic"/>
    <n v="50"/>
    <n v="41"/>
    <n v="9.8000000000000007"/>
    <n v="20"/>
    <s v="Blue"/>
    <x v="0"/>
    <s v="Date, Chronograph"/>
    <n v="50"/>
    <n v="22300"/>
    <s v="&lt;=100"/>
    <x v="0"/>
  </r>
  <r>
    <x v="20"/>
    <x v="1"/>
    <x v="5"/>
    <x v="2"/>
    <s v="Automatic"/>
    <n v="50"/>
    <n v="41"/>
    <n v="9.8000000000000007"/>
    <n v="20"/>
    <s v="Silver"/>
    <x v="0"/>
    <s v="Date"/>
    <n v="60"/>
    <n v="22000"/>
    <s v="&lt;=100"/>
    <x v="0"/>
  </r>
  <r>
    <x v="21"/>
    <x v="1"/>
    <x v="5"/>
    <x v="2"/>
    <s v="Automatic"/>
    <n v="50"/>
    <n v="41"/>
    <n v="9.8000000000000007"/>
    <n v="20"/>
    <s v="Blue"/>
    <x v="0"/>
    <s v="Date"/>
    <n v="60"/>
    <n v="22000"/>
    <s v="&lt;=100"/>
    <x v="0"/>
  </r>
  <r>
    <x v="22"/>
    <x v="1"/>
    <x v="5"/>
    <x v="2"/>
    <s v="Automatic"/>
    <n v="50"/>
    <n v="41"/>
    <n v="9.8000000000000007"/>
    <n v="20"/>
    <s v="Black"/>
    <x v="0"/>
    <s v="Date"/>
    <n v="60"/>
    <n v="22000"/>
    <s v="&lt;=100"/>
    <x v="0"/>
  </r>
  <r>
    <x v="23"/>
    <x v="1"/>
    <x v="5"/>
    <x v="2"/>
    <s v="Automatic"/>
    <n v="50"/>
    <n v="41"/>
    <n v="9.8000000000000007"/>
    <n v="20"/>
    <s v="Blue"/>
    <x v="0"/>
    <s v="Date"/>
    <n v="60"/>
    <n v="22000"/>
    <s v="&lt;=100"/>
    <x v="0"/>
  </r>
  <r>
    <x v="24"/>
    <x v="1"/>
    <x v="5"/>
    <x v="2"/>
    <s v="Automatic"/>
    <n v="50"/>
    <n v="41"/>
    <n v="10.4"/>
    <n v="20"/>
    <s v="Black"/>
    <x v="0"/>
    <s v="Date"/>
    <n v="60"/>
    <n v="22000"/>
    <s v="&lt;=100"/>
    <x v="0"/>
  </r>
  <r>
    <x v="25"/>
    <x v="1"/>
    <x v="5"/>
    <x v="2"/>
    <s v="Automatic"/>
    <n v="50"/>
    <n v="41"/>
    <n v="9.8000000000000007"/>
    <n v="20"/>
    <s v="Black"/>
    <x v="0"/>
    <s v="Date"/>
    <n v="60"/>
    <n v="22000"/>
    <s v="&lt;=100"/>
    <x v="0"/>
  </r>
  <r>
    <x v="26"/>
    <x v="1"/>
    <x v="5"/>
    <x v="2"/>
    <s v="Automatic"/>
    <n v="50"/>
    <n v="41"/>
    <n v="10.4"/>
    <n v="20"/>
    <s v="Black"/>
    <x v="0"/>
    <s v="Date"/>
    <n v="60"/>
    <n v="21000"/>
    <s v="&lt;=100"/>
    <x v="0"/>
  </r>
  <r>
    <x v="27"/>
    <x v="1"/>
    <x v="5"/>
    <x v="2"/>
    <s v="Automatic"/>
    <n v="50"/>
    <n v="41"/>
    <n v="10.4"/>
    <n v="20"/>
    <s v="Silver"/>
    <x v="0"/>
    <s v="Date"/>
    <n v="60"/>
    <n v="21000"/>
    <s v="&lt;=100"/>
    <x v="0"/>
  </r>
  <r>
    <x v="28"/>
    <x v="1"/>
    <x v="5"/>
    <x v="2"/>
    <s v="Automatic"/>
    <n v="50"/>
    <n v="41"/>
    <n v="10.4"/>
    <n v="20"/>
    <s v="Blue"/>
    <x v="0"/>
    <s v="Date"/>
    <n v="60"/>
    <n v="20900"/>
    <s v="&lt;=100"/>
    <x v="0"/>
  </r>
  <r>
    <x v="29"/>
    <x v="1"/>
    <x v="5"/>
    <x v="2"/>
    <s v="Automatic"/>
    <n v="50"/>
    <n v="41"/>
    <n v="9.8000000000000007"/>
    <n v="20"/>
    <s v="Blue"/>
    <x v="0"/>
    <s v="Date"/>
    <n v="60"/>
    <n v="20400"/>
    <s v="&lt;=100"/>
    <x v="0"/>
  </r>
  <r>
    <x v="30"/>
    <x v="1"/>
    <x v="5"/>
    <x v="2"/>
    <s v="Automatic"/>
    <n v="50"/>
    <n v="41"/>
    <n v="9.8000000000000007"/>
    <n v="20"/>
    <s v="Blue"/>
    <x v="0"/>
    <s v="Date"/>
    <n v="60"/>
    <n v="20000"/>
    <s v="&lt;=100"/>
    <x v="1"/>
  </r>
  <r>
    <x v="31"/>
    <x v="1"/>
    <x v="5"/>
    <x v="2"/>
    <s v="Automatic"/>
    <n v="50"/>
    <n v="41"/>
    <n v="10.4"/>
    <n v="20"/>
    <s v="Blue"/>
    <x v="0"/>
    <s v="Date"/>
    <n v="60"/>
    <n v="19900"/>
    <s v="&lt;=100"/>
    <x v="1"/>
  </r>
  <r>
    <x v="32"/>
    <x v="1"/>
    <x v="5"/>
    <x v="2"/>
    <s v="Automatic"/>
    <n v="50"/>
    <n v="41"/>
    <n v="9.5"/>
    <n v="20"/>
    <s v="Black"/>
    <x v="0"/>
    <s v="Date"/>
    <n v="60"/>
    <n v="19800"/>
    <s v="&lt;=100"/>
    <x v="1"/>
  </r>
  <r>
    <x v="33"/>
    <x v="1"/>
    <x v="6"/>
    <x v="2"/>
    <s v="Automatic"/>
    <n v="50"/>
    <n v="37"/>
    <n v="9.8000000000000007"/>
    <n v="20"/>
    <s v="Blue"/>
    <x v="0"/>
    <s v="Date"/>
    <n v="40"/>
    <n v="19500"/>
    <s v="&lt;=100"/>
    <x v="1"/>
  </r>
  <r>
    <x v="34"/>
    <x v="1"/>
    <x v="5"/>
    <x v="2"/>
    <s v="Automatic"/>
    <n v="50"/>
    <n v="41"/>
    <n v="10.4"/>
    <n v="20"/>
    <s v="Blue"/>
    <x v="0"/>
    <s v="Date"/>
    <n v="60"/>
    <n v="19500"/>
    <s v="&lt;=100"/>
    <x v="1"/>
  </r>
  <r>
    <x v="35"/>
    <x v="1"/>
    <x v="7"/>
    <x v="2"/>
    <s v="Automatic"/>
    <n v="50"/>
    <n v="39"/>
    <n v="9.4"/>
    <n v="20"/>
    <s v="Blue"/>
    <x v="0"/>
    <s v="Date, Power Reserve Indicator"/>
    <n v="60"/>
    <n v="18900"/>
    <s v="&lt;=100"/>
    <x v="1"/>
  </r>
  <r>
    <x v="36"/>
    <x v="1"/>
    <x v="5"/>
    <x v="2"/>
    <s v="Automatic"/>
    <n v="50"/>
    <n v="41"/>
    <n v="9.8000000000000007"/>
    <n v="20"/>
    <s v="Blue"/>
    <x v="0"/>
    <s v="Date"/>
    <n v="60"/>
    <n v="18500"/>
    <s v="&lt;=100"/>
    <x v="1"/>
  </r>
  <r>
    <x v="37"/>
    <x v="1"/>
    <x v="6"/>
    <x v="2"/>
    <s v="Automatic"/>
    <n v="50"/>
    <n v="37"/>
    <n v="9"/>
    <n v="16"/>
    <s v="Blue"/>
    <x v="0"/>
    <s v="Date"/>
    <n v="60"/>
    <n v="18000"/>
    <s v="&lt;=100"/>
    <x v="1"/>
  </r>
  <r>
    <x v="38"/>
    <x v="1"/>
    <x v="5"/>
    <x v="2"/>
    <s v="Automatic"/>
    <n v="50"/>
    <n v="41"/>
    <n v="10.4"/>
    <n v="20"/>
    <s v="Black"/>
    <x v="0"/>
    <s v="Date"/>
    <n v="60"/>
    <n v="17800"/>
    <s v="&lt;=100"/>
    <x v="1"/>
  </r>
  <r>
    <x v="39"/>
    <x v="1"/>
    <x v="5"/>
    <x v="2"/>
    <s v="Automatic"/>
    <n v="50"/>
    <n v="41"/>
    <n v="10.4"/>
    <n v="20"/>
    <s v="Blue"/>
    <x v="0"/>
    <s v="Date"/>
    <n v="60"/>
    <n v="17000"/>
    <s v="&lt;=100"/>
    <x v="1"/>
  </r>
  <r>
    <x v="40"/>
    <x v="1"/>
    <x v="5"/>
    <x v="2"/>
    <s v="Automatic"/>
    <n v="50"/>
    <n v="41"/>
    <n v="10.4"/>
    <n v="20"/>
    <s v="Grey"/>
    <x v="0"/>
    <s v="Date"/>
    <n v="60"/>
    <n v="17000"/>
    <s v="&lt;=100"/>
    <x v="1"/>
  </r>
  <r>
    <x v="41"/>
    <x v="2"/>
    <x v="8"/>
    <x v="0"/>
    <s v="Automatic"/>
    <n v="50"/>
    <n v="40"/>
    <n v="10.3"/>
    <n v="20"/>
    <s v="Silver"/>
    <x v="0"/>
    <s v="Date"/>
    <n v="120"/>
    <n v="2750"/>
    <s v="&lt;=100"/>
    <x v="3"/>
  </r>
  <r>
    <x v="42"/>
    <x v="3"/>
    <x v="9"/>
    <x v="3"/>
    <s v="Automatic"/>
    <n v="100"/>
    <n v="42"/>
    <n v="11.5"/>
    <n v="24"/>
    <s v="Black"/>
    <x v="0"/>
    <s v="Chronograph"/>
    <n v="42"/>
    <n v="4500"/>
    <s v="&lt;=100"/>
    <x v="3"/>
  </r>
  <r>
    <x v="43"/>
    <x v="3"/>
    <x v="10"/>
    <x v="3"/>
    <s v="Automatic"/>
    <n v="100"/>
    <n v="42"/>
    <n v="9.8000000000000007"/>
    <n v="24"/>
    <s v="Black"/>
    <x v="0"/>
    <s v="None"/>
    <n v="40"/>
    <n v="3800"/>
    <s v="&lt;=100"/>
    <x v="3"/>
  </r>
  <r>
    <x v="44"/>
    <x v="3"/>
    <x v="11"/>
    <x v="3"/>
    <s v="Automatic"/>
    <n v="100"/>
    <n v="41"/>
    <n v="9.6999999999999993"/>
    <n v="22"/>
    <s v="Black"/>
    <x v="0"/>
    <s v="Date"/>
    <n v="40"/>
    <n v="2500"/>
    <s v="&lt;=100"/>
    <x v="3"/>
  </r>
  <r>
    <x v="45"/>
    <x v="3"/>
    <x v="10"/>
    <x v="3"/>
    <s v="Automatic"/>
    <n v="100"/>
    <n v="42"/>
    <n v="9.3000000000000007"/>
    <n v="22"/>
    <s v="Black"/>
    <x v="0"/>
    <s v="None"/>
    <n v="42"/>
    <n v="2399"/>
    <s v="&lt;=100"/>
    <x v="3"/>
  </r>
  <r>
    <x v="46"/>
    <x v="4"/>
    <x v="12"/>
    <x v="3"/>
    <s v="Automatic"/>
    <n v="300"/>
    <n v="45"/>
    <n v="15.5"/>
    <n v="23"/>
    <s v="Black"/>
    <x v="0"/>
    <s v="None"/>
    <n v="120"/>
    <n v="16800"/>
    <s v="200-300"/>
    <x v="1"/>
  </r>
  <r>
    <x v="47"/>
    <x v="4"/>
    <x v="13"/>
    <x v="4"/>
    <s v="Automatic"/>
    <n v="300"/>
    <n v="45"/>
    <n v="15.4"/>
    <n v="23"/>
    <s v="Black"/>
    <x v="0"/>
    <s v="Date"/>
    <n v="120"/>
    <n v="15000"/>
    <s v="200-300"/>
    <x v="1"/>
  </r>
  <r>
    <x v="48"/>
    <x v="4"/>
    <x v="13"/>
    <x v="4"/>
    <s v="Automatic"/>
    <n v="300"/>
    <n v="45"/>
    <n v="15.5"/>
    <n v="23"/>
    <s v="Black"/>
    <x v="0"/>
    <s v="Date"/>
    <n v="120"/>
    <n v="14900"/>
    <s v="200-300"/>
    <x v="1"/>
  </r>
  <r>
    <x v="49"/>
    <x v="4"/>
    <x v="14"/>
    <x v="3"/>
    <s v="Automatic"/>
    <n v="300"/>
    <n v="43"/>
    <n v="13.4"/>
    <n v="23"/>
    <s v="Black"/>
    <x v="0"/>
    <s v="Date"/>
    <n v="120"/>
    <n v="14700"/>
    <s v="200-300"/>
    <x v="1"/>
  </r>
  <r>
    <x v="50"/>
    <x v="4"/>
    <x v="12"/>
    <x v="5"/>
    <s v="Automatic"/>
    <n v="300"/>
    <n v="45"/>
    <n v="15.4"/>
    <n v="23"/>
    <s v="Black"/>
    <x v="0"/>
    <s v="Date"/>
    <n v="120"/>
    <n v="14500"/>
    <s v="200-300"/>
    <x v="1"/>
  </r>
  <r>
    <x v="51"/>
    <x v="4"/>
    <x v="13"/>
    <x v="4"/>
    <s v="Automatic"/>
    <n v="300"/>
    <n v="45"/>
    <n v="15.5"/>
    <n v="22"/>
    <s v="Black"/>
    <x v="0"/>
    <s v="Date"/>
    <n v="120"/>
    <n v="14400"/>
    <s v="200-300"/>
    <x v="1"/>
  </r>
  <r>
    <x v="52"/>
    <x v="4"/>
    <x v="13"/>
    <x v="5"/>
    <s v="Automatic"/>
    <n v="300"/>
    <n v="45"/>
    <n v="15.5"/>
    <n v="23"/>
    <s v="Black"/>
    <x v="0"/>
    <s v="Date"/>
    <n v="120"/>
    <n v="14000"/>
    <s v="200-300"/>
    <x v="1"/>
  </r>
  <r>
    <x v="53"/>
    <x v="4"/>
    <x v="13"/>
    <x v="4"/>
    <s v="Automatic"/>
    <n v="300"/>
    <n v="45"/>
    <n v="15.4"/>
    <n v="23"/>
    <s v="Black"/>
    <x v="0"/>
    <s v="Date"/>
    <n v="120"/>
    <n v="14000"/>
    <s v="200-300"/>
    <x v="1"/>
  </r>
  <r>
    <x v="54"/>
    <x v="4"/>
    <x v="13"/>
    <x v="3"/>
    <s v="Automatic"/>
    <n v="300"/>
    <n v="45"/>
    <n v="15.5"/>
    <n v="23"/>
    <s v="Black"/>
    <x v="0"/>
    <s v="Date"/>
    <n v="120"/>
    <n v="14000"/>
    <s v="200-300"/>
    <x v="1"/>
  </r>
  <r>
    <x v="55"/>
    <x v="4"/>
    <x v="12"/>
    <x v="5"/>
    <s v="Automatic"/>
    <n v="300"/>
    <n v="45"/>
    <n v="15.4"/>
    <n v="23"/>
    <s v="Black"/>
    <x v="0"/>
    <s v="None"/>
    <n v="120"/>
    <n v="14000"/>
    <s v="200-300"/>
    <x v="1"/>
  </r>
  <r>
    <x v="56"/>
    <x v="4"/>
    <x v="13"/>
    <x v="5"/>
    <s v="Automatic"/>
    <n v="300"/>
    <n v="45"/>
    <n v="15.4"/>
    <n v="23"/>
    <s v="Black"/>
    <x v="0"/>
    <s v="Date"/>
    <n v="120"/>
    <n v="13900"/>
    <s v="200-300"/>
    <x v="1"/>
  </r>
  <r>
    <x v="57"/>
    <x v="4"/>
    <x v="13"/>
    <x v="4"/>
    <s v="Automatic"/>
    <n v="300"/>
    <n v="45"/>
    <n v="15.4"/>
    <n v="23"/>
    <s v="Black"/>
    <x v="0"/>
    <s v="Date, Rotating Bezel"/>
    <n v="120"/>
    <n v="13500"/>
    <s v="200-300"/>
    <x v="1"/>
  </r>
  <r>
    <x v="58"/>
    <x v="4"/>
    <x v="13"/>
    <x v="3"/>
    <s v="Automatic"/>
    <n v="300"/>
    <n v="45"/>
    <n v="15.4"/>
    <n v="23"/>
    <s v="Black"/>
    <x v="0"/>
    <s v="Date"/>
    <n v="120"/>
    <n v="13500"/>
    <s v="200-300"/>
    <x v="1"/>
  </r>
  <r>
    <x v="59"/>
    <x v="4"/>
    <x v="13"/>
    <x v="3"/>
    <s v="Automatic"/>
    <n v="300"/>
    <n v="45"/>
    <n v="15.5"/>
    <n v="23"/>
    <s v="Black"/>
    <x v="0"/>
    <s v="Date"/>
    <n v="120"/>
    <n v="13500"/>
    <s v="200-300"/>
    <x v="1"/>
  </r>
  <r>
    <x v="60"/>
    <x v="4"/>
    <x v="13"/>
    <x v="5"/>
    <s v="Automatic"/>
    <n v="300"/>
    <n v="45"/>
    <n v="15.5"/>
    <n v="23"/>
    <s v="Black"/>
    <x v="0"/>
    <s v="Date"/>
    <n v="120"/>
    <n v="13500"/>
    <s v="200-300"/>
    <x v="1"/>
  </r>
  <r>
    <x v="61"/>
    <x v="4"/>
    <x v="13"/>
    <x v="5"/>
    <s v="Automatic"/>
    <n v="300"/>
    <n v="45"/>
    <n v="15.5"/>
    <n v="23"/>
    <s v="Black"/>
    <x v="0"/>
    <s v="Date"/>
    <n v="120"/>
    <n v="13000"/>
    <s v="200-300"/>
    <x v="1"/>
  </r>
  <r>
    <x v="62"/>
    <x v="4"/>
    <x v="13"/>
    <x v="3"/>
    <s v="Automatic"/>
    <n v="300"/>
    <n v="45"/>
    <n v="15.5"/>
    <n v="23"/>
    <s v="Black"/>
    <x v="0"/>
    <s v="Date"/>
    <n v="120"/>
    <n v="12900"/>
    <s v="200-300"/>
    <x v="1"/>
  </r>
  <r>
    <x v="63"/>
    <x v="4"/>
    <x v="13"/>
    <x v="4"/>
    <s v="Automatic"/>
    <n v="300"/>
    <n v="45"/>
    <n v="15.5"/>
    <n v="23"/>
    <s v="Black"/>
    <x v="0"/>
    <s v="Date"/>
    <n v="120"/>
    <n v="12800"/>
    <s v="200-300"/>
    <x v="1"/>
  </r>
  <r>
    <x v="64"/>
    <x v="4"/>
    <x v="13"/>
    <x v="6"/>
    <s v="Automatic"/>
    <n v="300"/>
    <n v="45"/>
    <n v="15.5"/>
    <n v="23"/>
    <s v="Black"/>
    <x v="0"/>
    <s v="None"/>
    <n v="120"/>
    <n v="12500"/>
    <s v="200-300"/>
    <x v="1"/>
  </r>
  <r>
    <x v="65"/>
    <x v="4"/>
    <x v="13"/>
    <x v="3"/>
    <s v="Automatic"/>
    <n v="300"/>
    <n v="45"/>
    <n v="15.4"/>
    <n v="23"/>
    <s v="Black"/>
    <x v="0"/>
    <s v="Date"/>
    <n v="120"/>
    <n v="12500"/>
    <s v="200-300"/>
    <x v="1"/>
  </r>
  <r>
    <x v="66"/>
    <x v="4"/>
    <x v="13"/>
    <x v="4"/>
    <s v="Automatic"/>
    <n v="300"/>
    <n v="45"/>
    <n v="15.5"/>
    <n v="23"/>
    <s v="Black"/>
    <x v="0"/>
    <s v="Date"/>
    <n v="120"/>
    <n v="12500"/>
    <s v="200-300"/>
    <x v="1"/>
  </r>
  <r>
    <x v="67"/>
    <x v="4"/>
    <x v="15"/>
    <x v="5"/>
    <s v="Automatic"/>
    <n v="300"/>
    <n v="43.6"/>
    <n v="13.83"/>
    <n v="23"/>
    <s v="Black"/>
    <x v="0"/>
    <s v="Date, Unidirectional Bezel"/>
    <n v="120"/>
    <n v="12000"/>
    <s v="200-300"/>
    <x v="1"/>
  </r>
  <r>
    <x v="68"/>
    <x v="4"/>
    <x v="12"/>
    <x v="5"/>
    <s v="Automatic"/>
    <n v="300"/>
    <n v="45"/>
    <n v="15.4"/>
    <n v="23"/>
    <s v="Black"/>
    <x v="0"/>
    <s v="Date"/>
    <n v="120"/>
    <n v="12000"/>
    <s v="200-300"/>
    <x v="1"/>
  </r>
  <r>
    <x v="69"/>
    <x v="4"/>
    <x v="13"/>
    <x v="6"/>
    <s v="Automatic"/>
    <n v="300"/>
    <n v="45"/>
    <n v="15.5"/>
    <n v="23"/>
    <s v="Black"/>
    <x v="0"/>
    <s v="Date"/>
    <n v="120"/>
    <n v="12000"/>
    <s v="200-300"/>
    <x v="1"/>
  </r>
  <r>
    <x v="70"/>
    <x v="4"/>
    <x v="13"/>
    <x v="4"/>
    <s v="Automatic"/>
    <n v="300"/>
    <n v="45"/>
    <n v="15.4"/>
    <n v="23"/>
    <s v="Black"/>
    <x v="0"/>
    <s v="Date"/>
    <n v="120"/>
    <n v="11500"/>
    <s v="200-300"/>
    <x v="1"/>
  </r>
  <r>
    <x v="71"/>
    <x v="4"/>
    <x v="13"/>
    <x v="4"/>
    <s v="Automatic"/>
    <n v="300"/>
    <n v="45"/>
    <n v="15.4"/>
    <n v="23"/>
    <s v="Black"/>
    <x v="0"/>
    <s v="Date"/>
    <n v="120"/>
    <n v="11500"/>
    <s v="200-300"/>
    <x v="1"/>
  </r>
  <r>
    <x v="72"/>
    <x v="4"/>
    <x v="13"/>
    <x v="5"/>
    <s v="Automatic"/>
    <n v="300"/>
    <n v="45"/>
    <n v="15.5"/>
    <n v="23"/>
    <s v="Black"/>
    <x v="0"/>
    <s v="Date, Power Reserve Indicator"/>
    <n v="120"/>
    <n v="11000"/>
    <s v="200-300"/>
    <x v="1"/>
  </r>
  <r>
    <x v="73"/>
    <x v="4"/>
    <x v="13"/>
    <x v="4"/>
    <s v="Automatic"/>
    <n v="300"/>
    <n v="45"/>
    <n v="15.5"/>
    <n v="23"/>
    <s v="Black"/>
    <x v="0"/>
    <s v="None"/>
    <n v="120"/>
    <n v="10500"/>
    <s v="200-300"/>
    <x v="1"/>
  </r>
  <r>
    <x v="74"/>
    <x v="4"/>
    <x v="13"/>
    <x v="6"/>
    <s v="Automatic"/>
    <n v="300"/>
    <n v="45"/>
    <n v="15.4"/>
    <n v="23"/>
    <s v="Black"/>
    <x v="0"/>
    <s v="None"/>
    <n v="120"/>
    <n v="10000"/>
    <s v="200-300"/>
    <x v="4"/>
  </r>
  <r>
    <x v="75"/>
    <x v="5"/>
    <x v="16"/>
    <x v="0"/>
    <s v="Automatic"/>
    <n v="30"/>
    <n v="39"/>
    <n v="9.9"/>
    <n v="22"/>
    <s v="White"/>
    <x v="0"/>
    <s v="Date, Moonphase"/>
    <n v="65"/>
    <n v="27900"/>
    <s v="&lt;=100"/>
    <x v="0"/>
  </r>
  <r>
    <x v="76"/>
    <x v="5"/>
    <x v="16"/>
    <x v="0"/>
    <s v="Manual"/>
    <n v="30"/>
    <n v="39"/>
    <n v="10.199999999999999"/>
    <n v="22"/>
    <s v="Silver"/>
    <x v="0"/>
    <s v="None"/>
    <n v="40"/>
    <n v="26000"/>
    <s v="&lt;=100"/>
    <x v="0"/>
  </r>
  <r>
    <x v="77"/>
    <x v="5"/>
    <x v="17"/>
    <x v="0"/>
    <s v="Automatic"/>
    <n v="30"/>
    <n v="39"/>
    <n v="10.199999999999999"/>
    <n v="20"/>
    <s v="Silver"/>
    <x v="0"/>
    <s v="Date"/>
    <n v="38"/>
    <n v="26000"/>
    <s v="&lt;=100"/>
    <x v="0"/>
  </r>
  <r>
    <x v="78"/>
    <x v="5"/>
    <x v="18"/>
    <x v="0"/>
    <s v="Manual"/>
    <n v="30"/>
    <n v="40"/>
    <n v="6.8"/>
    <n v="20"/>
    <s v="Silver"/>
    <x v="0"/>
    <s v="None"/>
    <n v="55"/>
    <n v="25000"/>
    <s v="&lt;=100"/>
    <x v="0"/>
  </r>
  <r>
    <x v="79"/>
    <x v="5"/>
    <x v="19"/>
    <x v="0"/>
    <s v="Automatic"/>
    <n v="30"/>
    <n v="39"/>
    <n v="10.199999999999999"/>
    <n v="20"/>
    <s v="Silver"/>
    <x v="0"/>
    <s v="None"/>
    <n v="65"/>
    <n v="25000"/>
    <s v="&lt;=100"/>
    <x v="0"/>
  </r>
  <r>
    <x v="80"/>
    <x v="5"/>
    <x v="20"/>
    <x v="0"/>
    <s v="Automatic"/>
    <n v="30"/>
    <n v="39"/>
    <n v="8.65"/>
    <n v="20"/>
    <s v="Silver"/>
    <x v="0"/>
    <s v="Date"/>
    <n v="55"/>
    <n v="24500"/>
    <s v="&lt;=100"/>
    <x v="0"/>
  </r>
  <r>
    <x v="81"/>
    <x v="5"/>
    <x v="21"/>
    <x v="0"/>
    <s v="Manual"/>
    <n v="30"/>
    <n v="40"/>
    <n v="6.95"/>
    <n v="20"/>
    <s v="Silver"/>
    <x v="0"/>
    <s v="None"/>
    <n v="50"/>
    <n v="24000"/>
    <s v="&lt;=100"/>
    <x v="0"/>
  </r>
  <r>
    <x v="82"/>
    <x v="5"/>
    <x v="16"/>
    <x v="0"/>
    <s v="Automatic"/>
    <n v="30"/>
    <n v="39"/>
    <n v="8.65"/>
    <n v="20"/>
    <s v="Silver"/>
    <x v="0"/>
    <s v="None"/>
    <n v="45"/>
    <n v="23500"/>
    <s v="&lt;=100"/>
    <x v="0"/>
  </r>
  <r>
    <x v="83"/>
    <x v="5"/>
    <x v="19"/>
    <x v="0"/>
    <s v="Automatic"/>
    <n v="30"/>
    <n v="39"/>
    <n v="8.65"/>
    <n v="20"/>
    <s v="Silver"/>
    <x v="0"/>
    <s v="Date"/>
    <n v="65"/>
    <n v="23200"/>
    <s v="&lt;=100"/>
    <x v="0"/>
  </r>
  <r>
    <x v="84"/>
    <x v="5"/>
    <x v="22"/>
    <x v="0"/>
    <s v="Manual"/>
    <n v="30"/>
    <n v="38.5"/>
    <n v="8.25"/>
    <n v="20"/>
    <s v="Silver"/>
    <x v="0"/>
    <s v="Power Reserve"/>
    <n v="65"/>
    <n v="23000"/>
    <s v="&lt;=100"/>
    <x v="0"/>
  </r>
  <r>
    <x v="85"/>
    <x v="5"/>
    <x v="23"/>
    <x v="0"/>
    <s v="Manual"/>
    <n v="30"/>
    <n v="38"/>
    <n v="7.45"/>
    <n v="20"/>
    <s v="Silver"/>
    <x v="0"/>
    <s v="None"/>
    <n v="65"/>
    <n v="23000"/>
    <s v="&lt;=100"/>
    <x v="0"/>
  </r>
  <r>
    <x v="86"/>
    <x v="5"/>
    <x v="21"/>
    <x v="0"/>
    <s v="Manual"/>
    <n v="30"/>
    <n v="40"/>
    <n v="6.95"/>
    <n v="20"/>
    <s v="White"/>
    <x v="0"/>
    <s v="None"/>
    <n v="65"/>
    <n v="22500"/>
    <s v="&lt;=100"/>
    <x v="0"/>
  </r>
  <r>
    <x v="87"/>
    <x v="5"/>
    <x v="23"/>
    <x v="0"/>
    <s v="Manual"/>
    <n v="30"/>
    <n v="38"/>
    <n v="8.25"/>
    <n v="20"/>
    <s v="Silver"/>
    <x v="0"/>
    <s v="None"/>
    <n v="40"/>
    <n v="22000"/>
    <s v="&lt;=100"/>
    <x v="0"/>
  </r>
  <r>
    <x v="88"/>
    <x v="5"/>
    <x v="24"/>
    <x v="0"/>
    <s v="Automatic"/>
    <n v="30"/>
    <n v="38.5"/>
    <n v="8.25"/>
    <n v="20"/>
    <s v="White"/>
    <x v="0"/>
    <s v="Date"/>
    <n v="38"/>
    <n v="21500"/>
    <s v="&lt;=100"/>
    <x v="0"/>
  </r>
  <r>
    <x v="89"/>
    <x v="5"/>
    <x v="18"/>
    <x v="0"/>
    <s v="Manual"/>
    <n v="30"/>
    <n v="40"/>
    <n v="6.8"/>
    <n v="20"/>
    <s v="Silver"/>
    <x v="0"/>
    <s v="None"/>
    <n v="65"/>
    <n v="20500"/>
    <s v="&lt;=100"/>
    <x v="0"/>
  </r>
  <r>
    <x v="90"/>
    <x v="5"/>
    <x v="25"/>
    <x v="0"/>
    <s v="Automatic"/>
    <n v="30"/>
    <n v="39"/>
    <n v="8.65"/>
    <n v="21"/>
    <s v="Silver"/>
    <x v="0"/>
    <s v="None"/>
    <n v="55"/>
    <n v="20000"/>
    <s v="&lt;=100"/>
    <x v="1"/>
  </r>
  <r>
    <x v="91"/>
    <x v="5"/>
    <x v="26"/>
    <x v="0"/>
    <s v="Automatic"/>
    <n v="30"/>
    <n v="38"/>
    <n v="8.25"/>
    <n v="20"/>
    <s v="Silver"/>
    <x v="0"/>
    <s v="None"/>
    <n v="45"/>
    <n v="20000"/>
    <s v="&lt;=100"/>
    <x v="1"/>
  </r>
  <r>
    <x v="92"/>
    <x v="5"/>
    <x v="27"/>
    <x v="0"/>
    <s v="Automatic"/>
    <n v="30"/>
    <n v="40"/>
    <n v="6.8"/>
    <n v="20"/>
    <s v="White"/>
    <x v="0"/>
    <s v="None"/>
    <n v="55"/>
    <n v="19000"/>
    <s v="&lt;=100"/>
    <x v="1"/>
  </r>
  <r>
    <x v="93"/>
    <x v="5"/>
    <x v="25"/>
    <x v="0"/>
    <s v="Automatic"/>
    <n v="30"/>
    <n v="39"/>
    <n v="10.199999999999999"/>
    <n v="22"/>
    <s v="Silver"/>
    <x v="0"/>
    <s v="None"/>
    <n v="45"/>
    <n v="19000"/>
    <s v="&lt;=100"/>
    <x v="1"/>
  </r>
  <r>
    <x v="94"/>
    <x v="5"/>
    <x v="20"/>
    <x v="0"/>
    <s v="Automatic"/>
    <n v="30"/>
    <n v="39"/>
    <n v="8.65"/>
    <n v="20"/>
    <s v="Silver"/>
    <x v="0"/>
    <s v="None"/>
    <n v="40"/>
    <n v="19000"/>
    <s v="&lt;=100"/>
    <x v="1"/>
  </r>
  <r>
    <x v="95"/>
    <x v="5"/>
    <x v="16"/>
    <x v="0"/>
    <s v="Automatic"/>
    <n v="30"/>
    <n v="39"/>
    <n v="10.199999999999999"/>
    <n v="22"/>
    <s v="Silver"/>
    <x v="0"/>
    <s v="None"/>
    <n v="40"/>
    <n v="18000"/>
    <s v="&lt;=100"/>
    <x v="1"/>
  </r>
  <r>
    <x v="96"/>
    <x v="5"/>
    <x v="23"/>
    <x v="0"/>
    <s v="Manual"/>
    <n v="30"/>
    <n v="38"/>
    <n v="8.65"/>
    <n v="20"/>
    <s v="Silver"/>
    <x v="0"/>
    <s v="None"/>
    <n v="40"/>
    <n v="16000"/>
    <s v="&lt;=100"/>
    <x v="1"/>
  </r>
  <r>
    <x v="97"/>
    <x v="5"/>
    <x v="21"/>
    <x v="0"/>
    <s v="Manual"/>
    <n v="30"/>
    <n v="40"/>
    <n v="6.1"/>
    <n v="20"/>
    <s v="Silver"/>
    <x v="0"/>
    <s v="None"/>
    <n v="65"/>
    <n v="16000"/>
    <s v="&lt;=100"/>
    <x v="1"/>
  </r>
  <r>
    <x v="98"/>
    <x v="5"/>
    <x v="16"/>
    <x v="0"/>
    <s v="Manual"/>
    <n v="30"/>
    <n v="39"/>
    <n v="8.65"/>
    <n v="20"/>
    <s v="Silver"/>
    <x v="0"/>
    <s v="None"/>
    <n v="40"/>
    <n v="15200"/>
    <s v="&lt;=100"/>
    <x v="1"/>
  </r>
  <r>
    <x v="99"/>
    <x v="5"/>
    <x v="28"/>
    <x v="0"/>
    <s v="Automatic"/>
    <n v="100"/>
    <n v="42"/>
    <n v="13.85"/>
    <n v="22"/>
    <s v="Silver"/>
    <x v="0"/>
    <s v="Chronograph"/>
    <n v="48"/>
    <n v="9500"/>
    <s v="&lt;=100"/>
    <x v="4"/>
  </r>
  <r>
    <x v="100"/>
    <x v="5"/>
    <x v="29"/>
    <x v="0"/>
    <s v="Automatic"/>
    <n v="100"/>
    <n v="39.5"/>
    <n v="14.1"/>
    <n v="20"/>
    <s v="Black"/>
    <x v="0"/>
    <s v="Date, Chronograph, Flyback"/>
    <n v="48"/>
    <n v="8800"/>
    <s v="&lt;=100"/>
    <x v="4"/>
  </r>
  <r>
    <x v="101"/>
    <x v="6"/>
    <x v="30"/>
    <x v="2"/>
    <s v="Automatic"/>
    <n v="30"/>
    <n v="43"/>
    <n v="14.25"/>
    <n v="22"/>
    <s v="Black"/>
    <x v="0"/>
    <s v="Chronograph"/>
    <n v="70"/>
    <n v="7900"/>
    <s v="&lt;=100"/>
    <x v="4"/>
  </r>
  <r>
    <x v="102"/>
    <x v="6"/>
    <x v="30"/>
    <x v="2"/>
    <s v="Automatic"/>
    <n v="30"/>
    <n v="43"/>
    <n v="14.25"/>
    <n v="22"/>
    <s v="Black"/>
    <x v="0"/>
    <s v="Chronograph"/>
    <n v="70"/>
    <n v="7900"/>
    <s v="&lt;=100"/>
    <x v="4"/>
  </r>
  <r>
    <x v="103"/>
    <x v="6"/>
    <x v="31"/>
    <x v="2"/>
    <s v="Automatic"/>
    <n v="200"/>
    <n v="44"/>
    <n v="16.95"/>
    <n v="22"/>
    <s v="Blue"/>
    <x v="0"/>
    <s v="Chronograph, Date"/>
    <n v="70"/>
    <n v="6900"/>
    <s v="100-200"/>
    <x v="4"/>
  </r>
  <r>
    <x v="104"/>
    <x v="6"/>
    <x v="32"/>
    <x v="3"/>
    <s v="Automatic"/>
    <n v="200"/>
    <n v="42"/>
    <n v="14.35"/>
    <n v="22"/>
    <s v="Black"/>
    <x v="0"/>
    <s v="Date"/>
    <n v="38"/>
    <n v="4800"/>
    <s v="100-200"/>
    <x v="3"/>
  </r>
  <r>
    <x v="105"/>
    <x v="6"/>
    <x v="33"/>
    <x v="3"/>
    <s v="Automatic"/>
    <n v="300"/>
    <n v="43"/>
    <n v="16.5"/>
    <n v="22"/>
    <s v="Black"/>
    <x v="0"/>
    <s v="Chronograph, Date"/>
    <n v="42"/>
    <n v="4600"/>
    <s v="200-300"/>
    <x v="3"/>
  </r>
  <r>
    <x v="106"/>
    <x v="6"/>
    <x v="34"/>
    <x v="3"/>
    <s v="Automatic"/>
    <n v="200"/>
    <n v="44"/>
    <n v="14.2"/>
    <n v="22"/>
    <s v="Black"/>
    <x v="0"/>
    <s v="Date"/>
    <n v="42"/>
    <n v="4500"/>
    <s v="100-200"/>
    <x v="3"/>
  </r>
  <r>
    <x v="107"/>
    <x v="6"/>
    <x v="32"/>
    <x v="0"/>
    <s v="Automatic"/>
    <n v="200"/>
    <n v="42"/>
    <n v="14.35"/>
    <n v="20"/>
    <s v="Black"/>
    <x v="0"/>
    <s v="Date"/>
    <n v="38"/>
    <n v="4400"/>
    <s v="100-200"/>
    <x v="3"/>
  </r>
  <r>
    <x v="108"/>
    <x v="6"/>
    <x v="32"/>
    <x v="0"/>
    <s v="Automatic"/>
    <n v="200"/>
    <n v="42"/>
    <n v="14.35"/>
    <n v="20"/>
    <s v="Black"/>
    <x v="0"/>
    <s v="Date"/>
    <n v="38"/>
    <n v="4400"/>
    <s v="100-200"/>
    <x v="3"/>
  </r>
  <r>
    <x v="109"/>
    <x v="6"/>
    <x v="35"/>
    <x v="3"/>
    <s v="Automatic"/>
    <n v="200"/>
    <n v="44"/>
    <n v="14.2"/>
    <n v="22"/>
    <s v="Black"/>
    <x v="0"/>
    <s v="Date"/>
    <n v="70"/>
    <n v="4300"/>
    <s v="100-200"/>
    <x v="3"/>
  </r>
  <r>
    <x v="110"/>
    <x v="6"/>
    <x v="36"/>
    <x v="3"/>
    <s v="Automatic"/>
    <n v="1000"/>
    <n v="42"/>
    <n v="13.3"/>
    <n v="20"/>
    <s v="Blue"/>
    <x v="0"/>
    <s v="Date"/>
    <n v="38"/>
    <n v="4100"/>
    <s v="1000+"/>
    <x v="3"/>
  </r>
  <r>
    <x v="111"/>
    <x v="6"/>
    <x v="36"/>
    <x v="3"/>
    <s v="Automatic"/>
    <n v="1000"/>
    <n v="42"/>
    <n v="13.32"/>
    <n v="20"/>
    <s v="Blue"/>
    <x v="0"/>
    <s v="Date"/>
    <n v="38"/>
    <n v="3850"/>
    <s v="1000+"/>
    <x v="3"/>
  </r>
  <r>
    <x v="112"/>
    <x v="6"/>
    <x v="34"/>
    <x v="3"/>
    <s v="Automatic"/>
    <n v="1000"/>
    <n v="44"/>
    <n v="14.21"/>
    <n v="22"/>
    <s v="Blue"/>
    <x v="0"/>
    <s v="Date"/>
    <n v="38"/>
    <n v="3800"/>
    <s v="1000+"/>
    <x v="3"/>
  </r>
  <r>
    <x v="113"/>
    <x v="6"/>
    <x v="36"/>
    <x v="3"/>
    <s v="Automatic"/>
    <n v="500"/>
    <n v="42"/>
    <n v="13.32"/>
    <n v="20"/>
    <s v="Blue"/>
    <x v="0"/>
    <s v="Date"/>
    <n v="38"/>
    <n v="3600"/>
    <s v="300-500"/>
    <x v="3"/>
  </r>
  <r>
    <x v="114"/>
    <x v="6"/>
    <x v="36"/>
    <x v="3"/>
    <s v="Automatic"/>
    <n v="2000"/>
    <n v="42"/>
    <n v="13.32"/>
    <n v="20"/>
    <s v="Blue"/>
    <x v="0"/>
    <s v="Date"/>
    <n v="38"/>
    <n v="3600"/>
    <s v="1000+"/>
    <x v="3"/>
  </r>
  <r>
    <x v="115"/>
    <x v="6"/>
    <x v="37"/>
    <x v="2"/>
    <s v="Automatic"/>
    <n v="200"/>
    <n v="44"/>
    <n v="14.2"/>
    <n v="22"/>
    <s v="Blue"/>
    <x v="0"/>
    <s v="Date"/>
    <n v="38"/>
    <n v="3250"/>
    <s v="100-200"/>
    <x v="3"/>
  </r>
  <r>
    <x v="116"/>
    <x v="6"/>
    <x v="36"/>
    <x v="3"/>
    <s v="Automatic"/>
    <n v="500"/>
    <n v="42"/>
    <n v="13.3"/>
    <n v="20"/>
    <s v="Blue"/>
    <x v="0"/>
    <s v="Date"/>
    <n v="38"/>
    <n v="3200"/>
    <s v="300-500"/>
    <x v="3"/>
  </r>
  <r>
    <x v="117"/>
    <x v="7"/>
    <x v="38"/>
    <x v="0"/>
    <s v="Automatic"/>
    <n v="100"/>
    <n v="40"/>
    <n v="5.15"/>
    <n v="28"/>
    <s v="Black"/>
    <x v="0"/>
    <s v="None"/>
    <n v="60"/>
    <n v="12800"/>
    <s v="&lt;=100"/>
    <x v="1"/>
  </r>
  <r>
    <x v="118"/>
    <x v="7"/>
    <x v="38"/>
    <x v="0"/>
    <s v="Automatic"/>
    <n v="30"/>
    <n v="40"/>
    <n v="5.5"/>
    <n v="21"/>
    <s v="Black"/>
    <x v="0"/>
    <s v="None"/>
    <n v="55"/>
    <n v="10000"/>
    <s v="&lt;=100"/>
    <x v="4"/>
  </r>
  <r>
    <x v="119"/>
    <x v="7"/>
    <x v="38"/>
    <x v="7"/>
    <s v="Automatic"/>
    <n v="30"/>
    <n v="40"/>
    <n v="5.15"/>
    <n v="28"/>
    <s v="Black"/>
    <x v="0"/>
    <s v="None"/>
    <n v="55"/>
    <n v="10000"/>
    <s v="&lt;=100"/>
    <x v="4"/>
  </r>
  <r>
    <x v="120"/>
    <x v="8"/>
    <x v="39"/>
    <x v="2"/>
    <s v="Quartz"/>
    <n v="300"/>
    <n v="46.5"/>
    <n v="17.5"/>
    <n v="24"/>
    <s v="Black"/>
    <x v="1"/>
    <s v="Chronograph"/>
    <s v="N/A"/>
    <n v="650"/>
    <s v="200-300"/>
    <x v="5"/>
  </r>
  <r>
    <x v="121"/>
    <x v="9"/>
    <x v="40"/>
    <x v="0"/>
    <s v="Manual"/>
    <n v="30"/>
    <n v="27.5"/>
    <n v="6.5"/>
    <n v="18"/>
    <s v="Silver"/>
    <x v="0"/>
    <s v="None"/>
    <s v="N/A"/>
    <n v="14200"/>
    <s v="&lt;=100"/>
    <x v="1"/>
  </r>
  <r>
    <x v="122"/>
    <x v="9"/>
    <x v="41"/>
    <x v="0"/>
    <s v="Automatic"/>
    <n v="30"/>
    <n v="33"/>
    <n v="9.9600000000000009"/>
    <n v="18"/>
    <s v="Silver"/>
    <x v="0"/>
    <s v="Date"/>
    <n v="42"/>
    <n v="13200"/>
    <s v="&lt;=100"/>
    <x v="1"/>
  </r>
  <r>
    <x v="123"/>
    <x v="9"/>
    <x v="41"/>
    <x v="0"/>
    <s v="Automatic"/>
    <n v="30"/>
    <n v="33"/>
    <n v="9.9600000000000009"/>
    <n v="18"/>
    <s v="Silver"/>
    <x v="0"/>
    <s v="Date"/>
    <n v="42"/>
    <n v="13000"/>
    <s v="&lt;=100"/>
    <x v="1"/>
  </r>
  <r>
    <x v="124"/>
    <x v="9"/>
    <x v="42"/>
    <x v="2"/>
    <s v="Automatic"/>
    <n v="100"/>
    <n v="39.799999999999997"/>
    <n v="9.08"/>
    <n v="21.5"/>
    <s v="Silver"/>
    <x v="0"/>
    <s v="Date"/>
    <n v="42"/>
    <n v="7500"/>
    <s v="&lt;=100"/>
    <x v="4"/>
  </r>
  <r>
    <x v="125"/>
    <x v="9"/>
    <x v="43"/>
    <x v="2"/>
    <s v="Automatic"/>
    <n v="30"/>
    <n v="42"/>
    <n v="13"/>
    <n v="22"/>
    <s v="Silver"/>
    <x v="0"/>
    <s v="Date"/>
    <n v="42"/>
    <n v="7500"/>
    <s v="&lt;=100"/>
    <x v="4"/>
  </r>
  <r>
    <x v="126"/>
    <x v="9"/>
    <x v="43"/>
    <x v="2"/>
    <s v="Automatic"/>
    <n v="30"/>
    <n v="42"/>
    <n v="13"/>
    <n v="22"/>
    <s v="Silver"/>
    <x v="0"/>
    <s v="Date"/>
    <n v="42"/>
    <n v="7500"/>
    <s v="&lt;=100"/>
    <x v="4"/>
  </r>
  <r>
    <x v="127"/>
    <x v="9"/>
    <x v="42"/>
    <x v="0"/>
    <s v="Automatic"/>
    <n v="100"/>
    <n v="39.799999999999997"/>
    <n v="9.08"/>
    <n v="20"/>
    <s v="Silver"/>
    <x v="0"/>
    <s v="Date"/>
    <n v="42"/>
    <n v="6600"/>
    <s v="&lt;=100"/>
    <x v="4"/>
  </r>
  <r>
    <x v="128"/>
    <x v="9"/>
    <x v="44"/>
    <x v="2"/>
    <s v="Automatic"/>
    <n v="30"/>
    <n v="33"/>
    <n v="9.9600000000000009"/>
    <n v="18"/>
    <s v="Silver"/>
    <x v="0"/>
    <s v="Date"/>
    <n v="42"/>
    <n v="6500"/>
    <s v="&lt;=100"/>
    <x v="4"/>
  </r>
  <r>
    <x v="129"/>
    <x v="9"/>
    <x v="45"/>
    <x v="2"/>
    <s v="Automatic"/>
    <n v="100"/>
    <n v="39.799999999999997"/>
    <n v="9.08"/>
    <n v="20"/>
    <s v="Silver"/>
    <x v="0"/>
    <s v="Date"/>
    <n v="42"/>
    <n v="6500"/>
    <s v="&lt;=100"/>
    <x v="4"/>
  </r>
  <r>
    <x v="130"/>
    <x v="9"/>
    <x v="42"/>
    <x v="2"/>
    <s v="Automatic"/>
    <n v="100"/>
    <n v="39.799999999999997"/>
    <n v="9.08"/>
    <n v="20"/>
    <s v="Silver"/>
    <x v="0"/>
    <s v="Date"/>
    <n v="42"/>
    <n v="6200"/>
    <s v="&lt;=100"/>
    <x v="4"/>
  </r>
  <r>
    <x v="131"/>
    <x v="9"/>
    <x v="46"/>
    <x v="2"/>
    <s v="Automatic"/>
    <n v="100"/>
    <n v="35.1"/>
    <n v="8.83"/>
    <n v="18"/>
    <s v="Silver"/>
    <x v="0"/>
    <s v="Date"/>
    <n v="42"/>
    <n v="5500"/>
    <s v="&lt;=100"/>
    <x v="4"/>
  </r>
  <r>
    <x v="132"/>
    <x v="9"/>
    <x v="46"/>
    <x v="0"/>
    <s v="Automatic"/>
    <n v="100"/>
    <n v="35.1"/>
    <n v="8.83"/>
    <n v="22"/>
    <s v="Silver"/>
    <x v="0"/>
    <s v="Date"/>
    <n v="42"/>
    <n v="5300"/>
    <s v="&lt;=100"/>
    <x v="4"/>
  </r>
  <r>
    <x v="133"/>
    <x v="9"/>
    <x v="47"/>
    <x v="0"/>
    <s v="Quartz"/>
    <n v="30"/>
    <n v="43.5"/>
    <n v="7.3"/>
    <n v="23"/>
    <s v="Silver"/>
    <x v="0"/>
    <s v="None"/>
    <s v="N/A"/>
    <n v="5300"/>
    <s v="&lt;=100"/>
    <x v="4"/>
  </r>
  <r>
    <x v="134"/>
    <x v="9"/>
    <x v="48"/>
    <x v="2"/>
    <s v="Automatic"/>
    <n v="30"/>
    <n v="36.6"/>
    <n v="12.05"/>
    <n v="18"/>
    <s v="Silver"/>
    <x v="0"/>
    <s v="Date"/>
    <n v="42"/>
    <n v="4700"/>
    <s v="&lt;=100"/>
    <x v="3"/>
  </r>
  <r>
    <x v="135"/>
    <x v="9"/>
    <x v="44"/>
    <x v="0"/>
    <s v="Automatic"/>
    <n v="30"/>
    <n v="33"/>
    <n v="9.9600000000000009"/>
    <n v="16"/>
    <s v="Silver"/>
    <x v="0"/>
    <s v="Date"/>
    <n v="42"/>
    <n v="4500"/>
    <s v="&lt;=100"/>
    <x v="3"/>
  </r>
  <r>
    <x v="136"/>
    <x v="9"/>
    <x v="49"/>
    <x v="0"/>
    <s v="Manual"/>
    <n v="30"/>
    <n v="31.4"/>
    <n v="7.25"/>
    <n v="18"/>
    <s v="Silver"/>
    <x v="0"/>
    <s v="None"/>
    <s v="N/A"/>
    <n v="4500"/>
    <s v="&lt;=100"/>
    <x v="3"/>
  </r>
  <r>
    <x v="137"/>
    <x v="9"/>
    <x v="50"/>
    <x v="0"/>
    <s v="Quartz"/>
    <n v="30"/>
    <n v="38"/>
    <n v="7.5"/>
    <n v="18"/>
    <s v="Silver"/>
    <x v="0"/>
    <s v="None"/>
    <s v="N/A"/>
    <n v="3500"/>
    <s v="&lt;=100"/>
    <x v="3"/>
  </r>
  <r>
    <x v="138"/>
    <x v="9"/>
    <x v="51"/>
    <x v="0"/>
    <s v="Quartz"/>
    <n v="30"/>
    <n v="31"/>
    <n v="6.05"/>
    <n v="20"/>
    <s v="Silver"/>
    <x v="0"/>
    <s v="None"/>
    <s v="N/A"/>
    <n v="2800"/>
    <s v="&lt;=100"/>
    <x v="3"/>
  </r>
  <r>
    <x v="139"/>
    <x v="9"/>
    <x v="51"/>
    <x v="0"/>
    <s v="Quartz"/>
    <n v="30"/>
    <n v="31"/>
    <n v="6.05"/>
    <n v="20"/>
    <s v="Silver"/>
    <x v="0"/>
    <s v="None"/>
    <s v="N/A"/>
    <n v="2800"/>
    <s v="&lt;=100"/>
    <x v="3"/>
  </r>
  <r>
    <x v="140"/>
    <x v="10"/>
    <x v="52"/>
    <x v="0"/>
    <s v="Automatic"/>
    <n v="50"/>
    <n v="42"/>
    <n v="12.67"/>
    <n v="22"/>
    <s v="Black"/>
    <x v="0"/>
    <s v="Chronograph"/>
    <n v="42"/>
    <n v="6900"/>
    <s v="&lt;=100"/>
    <x v="4"/>
  </r>
  <r>
    <x v="141"/>
    <x v="10"/>
    <x v="52"/>
    <x v="3"/>
    <s v="Automatic"/>
    <n v="50"/>
    <n v="42"/>
    <n v="13.07"/>
    <n v="20"/>
    <s v="Black"/>
    <x v="0"/>
    <s v="Chronograph"/>
    <n v="48"/>
    <n v="6800"/>
    <s v="&lt;=100"/>
    <x v="4"/>
  </r>
  <r>
    <x v="142"/>
    <x v="10"/>
    <x v="53"/>
    <x v="0"/>
    <s v="Automatic"/>
    <n v="50"/>
    <n v="44"/>
    <n v="13.7"/>
    <n v="20"/>
    <s v="Black"/>
    <x v="0"/>
    <s v="Chronograph"/>
    <n v="42"/>
    <n v="6500"/>
    <s v="&lt;=100"/>
    <x v="4"/>
  </r>
  <r>
    <x v="143"/>
    <x v="10"/>
    <x v="52"/>
    <x v="3"/>
    <s v="Automatic"/>
    <n v="50"/>
    <n v="42"/>
    <n v="12.67"/>
    <n v="20"/>
    <s v="Black"/>
    <x v="0"/>
    <s v="Chronograph, Date"/>
    <n v="42"/>
    <n v="6500"/>
    <s v="&lt;=100"/>
    <x v="4"/>
  </r>
  <r>
    <x v="144"/>
    <x v="10"/>
    <x v="53"/>
    <x v="0"/>
    <s v="Automatic"/>
    <n v="50"/>
    <n v="44"/>
    <n v="14.4"/>
    <n v="22"/>
    <s v="Black"/>
    <x v="0"/>
    <s v="Date, Chronograph, Tachymeter"/>
    <n v="42"/>
    <n v="6300"/>
    <s v="&lt;=100"/>
    <x v="4"/>
  </r>
  <r>
    <x v="145"/>
    <x v="10"/>
    <x v="52"/>
    <x v="0"/>
    <s v="Automatic"/>
    <n v="50"/>
    <n v="42"/>
    <n v="11.43"/>
    <n v="22"/>
    <s v="Black"/>
    <x v="0"/>
    <s v="Chronograph"/>
    <n v="48"/>
    <n v="6200"/>
    <s v="&lt;=100"/>
    <x v="4"/>
  </r>
  <r>
    <x v="146"/>
    <x v="10"/>
    <x v="52"/>
    <x v="0"/>
    <s v="Automatic"/>
    <n v="50"/>
    <n v="42"/>
    <n v="11.43"/>
    <n v="20"/>
    <s v="Black"/>
    <x v="0"/>
    <s v="Chronograph"/>
    <n v="42"/>
    <n v="6100"/>
    <s v="&lt;=100"/>
    <x v="4"/>
  </r>
  <r>
    <x v="147"/>
    <x v="10"/>
    <x v="53"/>
    <x v="0"/>
    <s v="Automatic"/>
    <n v="50"/>
    <n v="44"/>
    <n v="14.45"/>
    <n v="22"/>
    <s v="Black"/>
    <x v="0"/>
    <s v="Date, Chronograph"/>
    <n v="42"/>
    <n v="6000"/>
    <s v="&lt;=100"/>
    <x v="4"/>
  </r>
  <r>
    <x v="148"/>
    <x v="10"/>
    <x v="52"/>
    <x v="0"/>
    <s v="Automatic"/>
    <n v="50"/>
    <n v="42"/>
    <n v="12.67"/>
    <n v="20"/>
    <s v="Silver"/>
    <x v="0"/>
    <s v="Chronograph"/>
    <n v="42"/>
    <n v="5900"/>
    <s v="&lt;=100"/>
    <x v="4"/>
  </r>
  <r>
    <x v="149"/>
    <x v="10"/>
    <x v="53"/>
    <x v="0"/>
    <s v="Automatic"/>
    <n v="50"/>
    <n v="44"/>
    <n v="14.97"/>
    <n v="22"/>
    <s v="Black"/>
    <x v="0"/>
    <s v="Chronograph"/>
    <n v="42"/>
    <n v="5800"/>
    <s v="&lt;=100"/>
    <x v="4"/>
  </r>
  <r>
    <x v="150"/>
    <x v="10"/>
    <x v="54"/>
    <x v="2"/>
    <s v="Quartz"/>
    <n v="30"/>
    <n v="30"/>
    <n v="7.2"/>
    <n v="15"/>
    <s v="Silver"/>
    <x v="0"/>
    <s v="Date"/>
    <s v="N/A"/>
    <n v="5800"/>
    <s v="&lt;=100"/>
    <x v="4"/>
  </r>
  <r>
    <x v="151"/>
    <x v="10"/>
    <x v="52"/>
    <x v="0"/>
    <s v="Automatic"/>
    <n v="50"/>
    <n v="42"/>
    <n v="12.67"/>
    <n v="20"/>
    <s v="Black"/>
    <x v="0"/>
    <s v="Chronograph"/>
    <n v="48"/>
    <n v="5600"/>
    <s v="&lt;=100"/>
    <x v="4"/>
  </r>
  <r>
    <x v="152"/>
    <x v="10"/>
    <x v="52"/>
    <x v="0"/>
    <s v="Automatic"/>
    <n v="50"/>
    <n v="42"/>
    <n v="12.67"/>
    <n v="20"/>
    <s v="Black"/>
    <x v="0"/>
    <s v="Chronograph"/>
    <n v="48"/>
    <n v="5000"/>
    <s v="&lt;=100"/>
    <x v="3"/>
  </r>
  <r>
    <x v="153"/>
    <x v="10"/>
    <x v="54"/>
    <x v="0"/>
    <s v="Quartz"/>
    <n v="30"/>
    <n v="30"/>
    <n v="10.5"/>
    <n v="17"/>
    <s v="White"/>
    <x v="0"/>
    <s v="None"/>
    <s v="N/A"/>
    <n v="5000"/>
    <s v="&lt;=100"/>
    <x v="3"/>
  </r>
  <r>
    <x v="154"/>
    <x v="11"/>
    <x v="55"/>
    <x v="0"/>
    <s v="Automatic"/>
    <n v="50"/>
    <n v="40"/>
    <n v="10.5"/>
    <n v="20"/>
    <s v="Silver"/>
    <x v="0"/>
    <s v="Date"/>
    <n v="38"/>
    <n v="1400"/>
    <s v="&lt;=100"/>
    <x v="6"/>
  </r>
  <r>
    <x v="155"/>
    <x v="11"/>
    <x v="55"/>
    <x v="0"/>
    <s v="Automatic"/>
    <n v="50"/>
    <n v="40"/>
    <n v="10.6"/>
    <n v="20"/>
    <s v="Silver"/>
    <x v="0"/>
    <s v="Date"/>
    <n v="38"/>
    <n v="1200"/>
    <s v="&lt;=100"/>
    <x v="6"/>
  </r>
  <r>
    <x v="156"/>
    <x v="12"/>
    <x v="56"/>
    <x v="2"/>
    <s v="Automatic"/>
    <n v="100"/>
    <n v="42"/>
    <n v="10.88"/>
    <n v="22"/>
    <s v="Blue"/>
    <x v="0"/>
    <s v="Date"/>
    <n v="54"/>
    <n v="12800"/>
    <s v="&lt;=100"/>
    <x v="1"/>
  </r>
  <r>
    <x v="157"/>
    <x v="12"/>
    <x v="57"/>
    <x v="2"/>
    <s v="Automatic"/>
    <n v="100"/>
    <n v="41"/>
    <n v="10.88"/>
    <n v="26"/>
    <s v="Black"/>
    <x v="0"/>
    <s v="Chronograph"/>
    <n v="46"/>
    <n v="12000"/>
    <s v="&lt;=100"/>
    <x v="1"/>
  </r>
  <r>
    <x v="158"/>
    <x v="12"/>
    <x v="58"/>
    <x v="2"/>
    <s v="Automatic"/>
    <n v="100"/>
    <n v="38"/>
    <n v="10.88"/>
    <n v="20"/>
    <s v="Blue"/>
    <x v="0"/>
    <s v="Date"/>
    <n v="54"/>
    <n v="12000"/>
    <s v="&lt;=100"/>
    <x v="1"/>
  </r>
  <r>
    <x v="159"/>
    <x v="12"/>
    <x v="57"/>
    <x v="2"/>
    <s v="Automatic"/>
    <n v="100"/>
    <n v="41"/>
    <n v="10.88"/>
    <n v="22"/>
    <s v="Blue"/>
    <x v="0"/>
    <s v="Date"/>
    <n v="54"/>
    <n v="11500"/>
    <s v="&lt;=100"/>
    <x v="1"/>
  </r>
  <r>
    <x v="160"/>
    <x v="12"/>
    <x v="56"/>
    <x v="2"/>
    <s v="Automatic"/>
    <n v="100"/>
    <n v="42"/>
    <n v="10.88"/>
    <n v="22"/>
    <s v="Blue"/>
    <x v="0"/>
    <s v="Date"/>
    <n v="54"/>
    <n v="11500"/>
    <s v="&lt;=100"/>
    <x v="1"/>
  </r>
  <r>
    <x v="161"/>
    <x v="12"/>
    <x v="56"/>
    <x v="2"/>
    <s v="Automatic"/>
    <n v="100"/>
    <n v="42"/>
    <n v="10.88"/>
    <n v="22"/>
    <s v="Black"/>
    <x v="0"/>
    <s v="None"/>
    <n v="54"/>
    <n v="11200"/>
    <s v="&lt;=100"/>
    <x v="1"/>
  </r>
  <r>
    <x v="162"/>
    <x v="12"/>
    <x v="56"/>
    <x v="2"/>
    <s v="Automatic"/>
    <n v="100"/>
    <n v="42"/>
    <n v="10.88"/>
    <n v="22"/>
    <s v="Blue"/>
    <x v="0"/>
    <s v="Date"/>
    <n v="54"/>
    <n v="10600"/>
    <s v="&lt;=100"/>
    <x v="1"/>
  </r>
  <r>
    <x v="163"/>
    <x v="12"/>
    <x v="57"/>
    <x v="2"/>
    <s v="Automatic"/>
    <n v="100"/>
    <n v="41"/>
    <n v="10.88"/>
    <n v="22"/>
    <s v="Black"/>
    <x v="0"/>
    <s v="Date"/>
    <n v="46"/>
    <n v="9700"/>
    <s v="&lt;=100"/>
    <x v="4"/>
  </r>
  <r>
    <x v="164"/>
    <x v="12"/>
    <x v="56"/>
    <x v="2"/>
    <s v="Automatic"/>
    <n v="100"/>
    <n v="42"/>
    <n v="10.88"/>
    <n v="25"/>
    <s v="Black"/>
    <x v="0"/>
    <s v="Date"/>
    <n v="46"/>
    <n v="9500"/>
    <s v="&lt;=100"/>
    <x v="4"/>
  </r>
  <r>
    <x v="165"/>
    <x v="12"/>
    <x v="56"/>
    <x v="2"/>
    <s v="Automatic"/>
    <n v="100"/>
    <n v="42"/>
    <n v="10.88"/>
    <n v="22"/>
    <s v="Silver"/>
    <x v="0"/>
    <s v="None"/>
    <n v="46"/>
    <n v="9200"/>
    <s v="&lt;=100"/>
    <x v="4"/>
  </r>
  <r>
    <x v="166"/>
    <x v="12"/>
    <x v="56"/>
    <x v="2"/>
    <s v="Automatic"/>
    <n v="100"/>
    <n v="42"/>
    <n v="10.88"/>
    <n v="22"/>
    <s v="Blue"/>
    <x v="0"/>
    <s v="Date"/>
    <n v="54"/>
    <n v="9000"/>
    <s v="&lt;=100"/>
    <x v="4"/>
  </r>
  <r>
    <x v="167"/>
    <x v="12"/>
    <x v="56"/>
    <x v="2"/>
    <s v="Automatic"/>
    <n v="100"/>
    <n v="42"/>
    <n v="10.88"/>
    <n v="22"/>
    <s v="Black"/>
    <x v="0"/>
    <s v="Date"/>
    <n v="54"/>
    <n v="9000"/>
    <s v="&lt;=100"/>
    <x v="4"/>
  </r>
  <r>
    <x v="168"/>
    <x v="12"/>
    <x v="56"/>
    <x v="2"/>
    <s v="Automatic"/>
    <n v="100"/>
    <n v="42"/>
    <n v="10.88"/>
    <n v="22"/>
    <s v="Blue"/>
    <x v="0"/>
    <s v="Date"/>
    <n v="54"/>
    <n v="9000"/>
    <s v="&lt;=100"/>
    <x v="4"/>
  </r>
  <r>
    <x v="169"/>
    <x v="12"/>
    <x v="58"/>
    <x v="2"/>
    <s v="Automatic"/>
    <n v="100"/>
    <n v="38"/>
    <n v="10.88"/>
    <n v="25"/>
    <s v="Black"/>
    <x v="0"/>
    <s v="Date"/>
    <n v="46"/>
    <n v="8700"/>
    <s v="&lt;=100"/>
    <x v="4"/>
  </r>
  <r>
    <x v="170"/>
    <x v="12"/>
    <x v="58"/>
    <x v="2"/>
    <s v="Automatic"/>
    <n v="100"/>
    <n v="38"/>
    <n v="10.88"/>
    <n v="22"/>
    <s v="Black"/>
    <x v="0"/>
    <s v="None"/>
    <n v="46"/>
    <n v="8500"/>
    <s v="&lt;=100"/>
    <x v="4"/>
  </r>
  <r>
    <x v="171"/>
    <x v="12"/>
    <x v="56"/>
    <x v="2"/>
    <s v="Automatic"/>
    <n v="100"/>
    <n v="42"/>
    <n v="10.88"/>
    <n v="25"/>
    <s v="Black"/>
    <x v="0"/>
    <s v="Date"/>
    <n v="46"/>
    <n v="8000"/>
    <s v="&lt;=100"/>
    <x v="4"/>
  </r>
  <r>
    <x v="172"/>
    <x v="12"/>
    <x v="56"/>
    <x v="2"/>
    <s v="Automatic"/>
    <n v="100"/>
    <n v="42"/>
    <n v="10.88"/>
    <n v="20"/>
    <s v="Blue"/>
    <x v="0"/>
    <s v="None"/>
    <n v="54"/>
    <n v="7800"/>
    <s v="&lt;=100"/>
    <x v="4"/>
  </r>
  <r>
    <x v="173"/>
    <x v="12"/>
    <x v="56"/>
    <x v="2"/>
    <s v="Automatic"/>
    <n v="100"/>
    <n v="42"/>
    <n v="10.88"/>
    <n v="25"/>
    <s v="Blue"/>
    <x v="0"/>
    <s v="None"/>
    <n v="54"/>
    <n v="7500"/>
    <s v="&lt;=100"/>
    <x v="4"/>
  </r>
  <r>
    <x v="174"/>
    <x v="12"/>
    <x v="58"/>
    <x v="2"/>
    <s v="Automatic"/>
    <n v="100"/>
    <n v="38"/>
    <n v="10.88"/>
    <n v="25"/>
    <s v="Blue"/>
    <x v="0"/>
    <s v="None"/>
    <n v="54"/>
    <n v="6700"/>
    <s v="&lt;=100"/>
    <x v="4"/>
  </r>
  <r>
    <x v="175"/>
    <x v="12"/>
    <x v="56"/>
    <x v="2"/>
    <s v="Automatic"/>
    <n v="100"/>
    <n v="42"/>
    <n v="10.88"/>
    <n v="22"/>
    <s v="Blue"/>
    <x v="0"/>
    <s v="Date"/>
    <n v="54"/>
    <n v="6500"/>
    <s v="&lt;=100"/>
    <x v="4"/>
  </r>
  <r>
    <x v="176"/>
    <x v="13"/>
    <x v="59"/>
    <x v="0"/>
    <s v="Automatic"/>
    <n v="50"/>
    <n v="42"/>
    <n v="12.2"/>
    <n v="21"/>
    <s v="Silver"/>
    <x v="0"/>
    <s v="None"/>
    <n v="40"/>
    <n v="9200"/>
    <s v="&lt;=100"/>
    <x v="4"/>
  </r>
  <r>
    <x v="177"/>
    <x v="14"/>
    <x v="60"/>
    <x v="0"/>
    <s v="Automatic"/>
    <n v="50"/>
    <n v="40"/>
    <n v="11.15"/>
    <n v="20"/>
    <s v="Silver"/>
    <x v="0"/>
    <s v="Date"/>
    <n v="80"/>
    <n v="1150"/>
    <s v="&lt;=100"/>
    <x v="6"/>
  </r>
  <r>
    <x v="178"/>
    <x v="14"/>
    <x v="61"/>
    <x v="6"/>
    <s v="Automatic"/>
    <n v="100"/>
    <n v="38"/>
    <n v="9.6999999999999993"/>
    <n v="20"/>
    <s v="Black"/>
    <x v="0"/>
    <s v="None"/>
    <n v="80"/>
    <n v="595"/>
    <s v="&lt;=100"/>
    <x v="5"/>
  </r>
  <r>
    <x v="179"/>
    <x v="14"/>
    <x v="62"/>
    <x v="0"/>
    <s v="Automatic"/>
    <n v="100"/>
    <n v="38"/>
    <n v="9.85"/>
    <n v="20"/>
    <s v="Black"/>
    <x v="0"/>
    <s v="None"/>
    <n v="80"/>
    <n v="545"/>
    <s v="&lt;=100"/>
    <x v="5"/>
  </r>
  <r>
    <x v="180"/>
    <x v="14"/>
    <x v="61"/>
    <x v="0"/>
    <s v="Automatic"/>
    <n v="100"/>
    <n v="38"/>
    <n v="9.8000000000000007"/>
    <n v="20"/>
    <s v="Black"/>
    <x v="0"/>
    <s v="None"/>
    <n v="80"/>
    <n v="495"/>
    <s v="&lt;=100"/>
    <x v="5"/>
  </r>
  <r>
    <x v="181"/>
    <x v="15"/>
    <x v="63"/>
    <x v="3"/>
    <s v="Automatic"/>
    <n v="50"/>
    <n v="42"/>
    <n v="10.5"/>
    <n v="22"/>
    <s v="Blue"/>
    <x v="0"/>
    <s v="None"/>
    <n v="42"/>
    <n v="20200"/>
    <s v="&lt;=100"/>
    <x v="0"/>
  </r>
  <r>
    <x v="182"/>
    <x v="15"/>
    <x v="64"/>
    <x v="3"/>
    <s v="Automatic"/>
    <n v="100"/>
    <n v="44"/>
    <n v="14.5"/>
    <n v="22"/>
    <s v="Black"/>
    <x v="0"/>
    <s v="Chronograph"/>
    <n v="72"/>
    <n v="19500"/>
    <s v="&lt;=100"/>
    <x v="1"/>
  </r>
  <r>
    <x v="183"/>
    <x v="15"/>
    <x v="65"/>
    <x v="3"/>
    <s v="Automatic"/>
    <n v="100"/>
    <n v="44"/>
    <n v="14.5"/>
    <n v="24"/>
    <s v="Black"/>
    <x v="0"/>
    <s v="Chronograph"/>
    <n v="72"/>
    <n v="18500"/>
    <s v="&lt;=100"/>
    <x v="1"/>
  </r>
  <r>
    <x v="184"/>
    <x v="15"/>
    <x v="66"/>
    <x v="3"/>
    <s v="Automatic"/>
    <n v="100"/>
    <n v="44"/>
    <n v="14.5"/>
    <n v="26"/>
    <s v="Black"/>
    <x v="0"/>
    <s v="Chronograph"/>
    <n v="72"/>
    <n v="17900"/>
    <s v="&lt;=100"/>
    <x v="1"/>
  </r>
  <r>
    <x v="185"/>
    <x v="15"/>
    <x v="65"/>
    <x v="3"/>
    <s v="Automatic"/>
    <n v="100"/>
    <n v="44"/>
    <n v="14.5"/>
    <n v="25"/>
    <s v="Black"/>
    <x v="0"/>
    <s v="Chronograph"/>
    <n v="72"/>
    <n v="16800"/>
    <s v="&lt;=100"/>
    <x v="1"/>
  </r>
  <r>
    <x v="186"/>
    <x v="15"/>
    <x v="65"/>
    <x v="3"/>
    <s v="Automatic"/>
    <n v="100"/>
    <n v="44"/>
    <n v="14.5"/>
    <n v="24"/>
    <s v="Blue"/>
    <x v="0"/>
    <s v="Chronograph"/>
    <n v="72"/>
    <n v="16000"/>
    <s v="&lt;=100"/>
    <x v="1"/>
  </r>
  <r>
    <x v="187"/>
    <x v="15"/>
    <x v="67"/>
    <x v="3"/>
    <s v="Automatic"/>
    <n v="100"/>
    <n v="41"/>
    <n v="14.5"/>
    <n v="20"/>
    <s v="Black"/>
    <x v="0"/>
    <s v="Chronograph"/>
    <n v="72"/>
    <n v="16000"/>
    <s v="&lt;=100"/>
    <x v="1"/>
  </r>
  <r>
    <x v="188"/>
    <x v="15"/>
    <x v="68"/>
    <x v="3"/>
    <s v="Automatic"/>
    <n v="100"/>
    <n v="42"/>
    <n v="14.1"/>
    <n v="24"/>
    <s v="Black"/>
    <x v="0"/>
    <s v="Chronograph"/>
    <n v="72"/>
    <n v="16000"/>
    <s v="&lt;=100"/>
    <x v="1"/>
  </r>
  <r>
    <x v="189"/>
    <x v="15"/>
    <x v="65"/>
    <x v="3"/>
    <s v="Automatic"/>
    <n v="100"/>
    <n v="44"/>
    <n v="14.5"/>
    <n v="24"/>
    <s v="Black"/>
    <x v="0"/>
    <s v="Chronograph, Date"/>
    <n v="72"/>
    <n v="16000"/>
    <s v="&lt;=100"/>
    <x v="1"/>
  </r>
  <r>
    <x v="190"/>
    <x v="15"/>
    <x v="66"/>
    <x v="3"/>
    <s v="Automatic"/>
    <n v="100"/>
    <n v="44"/>
    <n v="14.5"/>
    <n v="24"/>
    <s v="Black"/>
    <x v="0"/>
    <s v="Chronograph"/>
    <n v="72"/>
    <n v="15500"/>
    <s v="&lt;=100"/>
    <x v="1"/>
  </r>
  <r>
    <x v="191"/>
    <x v="15"/>
    <x v="69"/>
    <x v="3"/>
    <s v="Automatic"/>
    <n v="100"/>
    <n v="44.5"/>
    <n v="14.5"/>
    <n v="22"/>
    <s v="Black"/>
    <x v="0"/>
    <s v="Chronograph"/>
    <n v="72"/>
    <n v="15000"/>
    <s v="&lt;=100"/>
    <x v="1"/>
  </r>
  <r>
    <x v="192"/>
    <x v="15"/>
    <x v="64"/>
    <x v="3"/>
    <s v="Automatic"/>
    <n v="100"/>
    <n v="44"/>
    <n v="14.5"/>
    <n v="25"/>
    <s v="Black"/>
    <x v="0"/>
    <s v="Chronograph"/>
    <n v="72"/>
    <n v="15000"/>
    <s v="&lt;=100"/>
    <x v="1"/>
  </r>
  <r>
    <x v="193"/>
    <x v="15"/>
    <x v="65"/>
    <x v="3"/>
    <s v="Automatic"/>
    <n v="100"/>
    <n v="44"/>
    <n v="14.5"/>
    <n v="22"/>
    <s v="Black"/>
    <x v="0"/>
    <s v="Chronograph"/>
    <n v="72"/>
    <n v="15000"/>
    <s v="&lt;=100"/>
    <x v="1"/>
  </r>
  <r>
    <x v="194"/>
    <x v="15"/>
    <x v="65"/>
    <x v="3"/>
    <s v="Automatic"/>
    <n v="100"/>
    <n v="44"/>
    <n v="14.5"/>
    <n v="25"/>
    <s v="Black"/>
    <x v="0"/>
    <s v="Chronograph"/>
    <n v="72"/>
    <n v="14000"/>
    <s v="&lt;=100"/>
    <x v="1"/>
  </r>
  <r>
    <x v="195"/>
    <x v="15"/>
    <x v="67"/>
    <x v="3"/>
    <s v="Automatic"/>
    <n v="100"/>
    <n v="41"/>
    <n v="14.6"/>
    <n v="20"/>
    <s v="Black"/>
    <x v="0"/>
    <s v="Chronograph"/>
    <n v="42"/>
    <n v="14000"/>
    <s v="&lt;=100"/>
    <x v="1"/>
  </r>
  <r>
    <x v="196"/>
    <x v="15"/>
    <x v="65"/>
    <x v="3"/>
    <s v="Automatic"/>
    <n v="100"/>
    <n v="44"/>
    <n v="14.5"/>
    <n v="24"/>
    <s v="Black"/>
    <x v="0"/>
    <s v="Date, Chronograph"/>
    <n v="72"/>
    <n v="13000"/>
    <s v="&lt;=100"/>
    <x v="1"/>
  </r>
  <r>
    <x v="197"/>
    <x v="15"/>
    <x v="68"/>
    <x v="3"/>
    <s v="Automatic"/>
    <n v="100"/>
    <n v="42"/>
    <n v="14.1"/>
    <n v="24"/>
    <s v="Black"/>
    <x v="0"/>
    <s v="Date, Chronograph"/>
    <n v="42"/>
    <n v="12000"/>
    <s v="&lt;=100"/>
    <x v="1"/>
  </r>
  <r>
    <x v="198"/>
    <x v="15"/>
    <x v="64"/>
    <x v="3"/>
    <s v="Automatic"/>
    <n v="100"/>
    <n v="44"/>
    <n v="14.5"/>
    <n v="26"/>
    <s v="Black"/>
    <x v="0"/>
    <s v="Chronograph"/>
    <n v="72"/>
    <n v="12000"/>
    <s v="&lt;=100"/>
    <x v="1"/>
  </r>
  <r>
    <x v="199"/>
    <x v="15"/>
    <x v="70"/>
    <x v="3"/>
    <s v="Automatic"/>
    <n v="50"/>
    <n v="45"/>
    <n v="10.95"/>
    <n v="22"/>
    <s v="Blue"/>
    <x v="0"/>
    <s v="None"/>
    <n v="42"/>
    <n v="9500"/>
    <s v="&lt;=100"/>
    <x v="4"/>
  </r>
  <r>
    <x v="200"/>
    <x v="15"/>
    <x v="71"/>
    <x v="3"/>
    <s v="Automatic"/>
    <n v="100"/>
    <n v="42"/>
    <n v="14.5"/>
    <n v="24"/>
    <s v="Black"/>
    <x v="0"/>
    <s v="Chronograph, Date"/>
    <n v="72"/>
    <n v="8900"/>
    <s v="&lt;=100"/>
    <x v="4"/>
  </r>
  <r>
    <x v="201"/>
    <x v="15"/>
    <x v="72"/>
    <x v="3"/>
    <s v="Automatic"/>
    <n v="50"/>
    <n v="42"/>
    <n v="10.5"/>
    <n v="22"/>
    <s v="Blue"/>
    <x v="0"/>
    <s v="Date"/>
    <n v="42"/>
    <n v="8500"/>
    <s v="&lt;=100"/>
    <x v="4"/>
  </r>
  <r>
    <x v="202"/>
    <x v="15"/>
    <x v="72"/>
    <x v="3"/>
    <s v="Automatic"/>
    <n v="50"/>
    <n v="42"/>
    <n v="10.5"/>
    <n v="22"/>
    <s v="Black"/>
    <x v="0"/>
    <s v="None"/>
    <n v="42"/>
    <n v="8200"/>
    <s v="&lt;=100"/>
    <x v="4"/>
  </r>
  <r>
    <x v="203"/>
    <x v="15"/>
    <x v="72"/>
    <x v="3"/>
    <s v="Automatic"/>
    <n v="50"/>
    <n v="42"/>
    <n v="10.6"/>
    <n v="22"/>
    <s v="Black"/>
    <x v="0"/>
    <s v="Date"/>
    <n v="42"/>
    <n v="8100"/>
    <s v="&lt;=100"/>
    <x v="4"/>
  </r>
  <r>
    <x v="204"/>
    <x v="15"/>
    <x v="70"/>
    <x v="3"/>
    <s v="Automatic"/>
    <n v="50"/>
    <n v="45"/>
    <n v="10.95"/>
    <n v="24"/>
    <s v="Blue"/>
    <x v="0"/>
    <s v="Date"/>
    <n v="42"/>
    <n v="7500"/>
    <s v="&lt;=100"/>
    <x v="4"/>
  </r>
  <r>
    <x v="205"/>
    <x v="15"/>
    <x v="72"/>
    <x v="3"/>
    <s v="Automatic"/>
    <n v="50"/>
    <n v="42"/>
    <n v="9.85"/>
    <n v="22"/>
    <s v="Blue"/>
    <x v="0"/>
    <s v="None"/>
    <n v="42"/>
    <n v="7500"/>
    <s v="&lt;=100"/>
    <x v="4"/>
  </r>
  <r>
    <x v="206"/>
    <x v="15"/>
    <x v="72"/>
    <x v="3"/>
    <s v="Automatic"/>
    <n v="50"/>
    <n v="42"/>
    <n v="9.3000000000000007"/>
    <n v="20"/>
    <s v="Black"/>
    <x v="0"/>
    <s v="None"/>
    <n v="42"/>
    <n v="6500"/>
    <s v="&lt;=100"/>
    <x v="4"/>
  </r>
  <r>
    <x v="207"/>
    <x v="16"/>
    <x v="73"/>
    <x v="0"/>
    <s v="Automatic"/>
    <n v="30"/>
    <n v="41"/>
    <n v="12.3"/>
    <n v="22"/>
    <s v="Blue"/>
    <x v="0"/>
    <s v="Chronograph, Moon Phase"/>
    <n v="46"/>
    <n v="9800"/>
    <s v="&lt;=100"/>
    <x v="4"/>
  </r>
  <r>
    <x v="208"/>
    <x v="16"/>
    <x v="73"/>
    <x v="0"/>
    <s v="Automatic"/>
    <n v="30"/>
    <n v="41"/>
    <n v="12.3"/>
    <n v="22"/>
    <s v="White"/>
    <x v="0"/>
    <s v="Date"/>
    <n v="168"/>
    <n v="9500"/>
    <s v="&lt;=100"/>
    <x v="4"/>
  </r>
  <r>
    <x v="209"/>
    <x v="16"/>
    <x v="74"/>
    <x v="0"/>
    <s v="Automatic"/>
    <n v="30"/>
    <n v="42.3"/>
    <n v="14.2"/>
    <n v="22"/>
    <s v="Blue"/>
    <x v="0"/>
    <s v="None"/>
    <n v="60"/>
    <n v="9100"/>
    <s v="&lt;=100"/>
    <x v="4"/>
  </r>
  <r>
    <x v="210"/>
    <x v="16"/>
    <x v="73"/>
    <x v="0"/>
    <s v="Automatic"/>
    <n v="30"/>
    <n v="41"/>
    <n v="12.3"/>
    <n v="22"/>
    <s v="Blue"/>
    <x v="0"/>
    <s v="Date"/>
    <n v="60"/>
    <n v="8900"/>
    <s v="&lt;=100"/>
    <x v="4"/>
  </r>
  <r>
    <x v="211"/>
    <x v="16"/>
    <x v="73"/>
    <x v="0"/>
    <s v="Automatic"/>
    <n v="30"/>
    <n v="41"/>
    <n v="12.3"/>
    <n v="22"/>
    <s v="Silver"/>
    <x v="0"/>
    <s v="Date"/>
    <n v="60"/>
    <n v="8900"/>
    <s v="&lt;=100"/>
    <x v="4"/>
  </r>
  <r>
    <x v="212"/>
    <x v="16"/>
    <x v="75"/>
    <x v="8"/>
    <s v="Automatic"/>
    <n v="30"/>
    <n v="40.4"/>
    <n v="12.3"/>
    <n v="20"/>
    <s v="Silver"/>
    <x v="0"/>
    <s v="Date"/>
    <n v="60"/>
    <n v="8800"/>
    <s v="&lt;=100"/>
    <x v="4"/>
  </r>
  <r>
    <x v="213"/>
    <x v="16"/>
    <x v="76"/>
    <x v="0"/>
    <s v="Automatic"/>
    <n v="30"/>
    <n v="42.3"/>
    <n v="14.2"/>
    <n v="22"/>
    <s v="White"/>
    <x v="0"/>
    <s v="Date"/>
    <n v="60"/>
    <n v="8800"/>
    <s v="&lt;=100"/>
    <x v="4"/>
  </r>
  <r>
    <x v="214"/>
    <x v="16"/>
    <x v="73"/>
    <x v="0"/>
    <s v="Automatic"/>
    <n v="30"/>
    <n v="41"/>
    <n v="12.3"/>
    <n v="22"/>
    <s v="Blue"/>
    <x v="0"/>
    <s v="None"/>
    <n v="60"/>
    <n v="8500"/>
    <s v="&lt;=100"/>
    <x v="4"/>
  </r>
  <r>
    <x v="215"/>
    <x v="16"/>
    <x v="73"/>
    <x v="0"/>
    <s v="Automatic"/>
    <n v="30"/>
    <n v="41"/>
    <n v="13.1"/>
    <n v="22"/>
    <s v="Silver"/>
    <x v="0"/>
    <s v="Date"/>
    <n v="60"/>
    <n v="8500"/>
    <s v="&lt;=100"/>
    <x v="4"/>
  </r>
  <r>
    <x v="216"/>
    <x v="16"/>
    <x v="73"/>
    <x v="0"/>
    <s v="Automatic"/>
    <n v="30"/>
    <n v="41"/>
    <n v="12.3"/>
    <n v="22"/>
    <s v="Blue"/>
    <x v="0"/>
    <s v="Date, Power Reserve Indicator"/>
    <n v="42"/>
    <n v="8500"/>
    <s v="&lt;=100"/>
    <x v="4"/>
  </r>
  <r>
    <x v="217"/>
    <x v="16"/>
    <x v="73"/>
    <x v="0"/>
    <s v="Automatic"/>
    <n v="30"/>
    <n v="41"/>
    <n v="12.3"/>
    <n v="22"/>
    <s v="Silver"/>
    <x v="0"/>
    <s v="None"/>
    <n v="60"/>
    <n v="8400"/>
    <s v="&lt;=100"/>
    <x v="4"/>
  </r>
  <r>
    <x v="218"/>
    <x v="16"/>
    <x v="73"/>
    <x v="0"/>
    <s v="Automatic"/>
    <n v="30"/>
    <n v="41"/>
    <n v="12.3"/>
    <n v="22"/>
    <s v="Silver"/>
    <x v="0"/>
    <s v="Chronograph, Date"/>
    <n v="46"/>
    <n v="8300"/>
    <s v="&lt;=100"/>
    <x v="4"/>
  </r>
  <r>
    <x v="219"/>
    <x v="16"/>
    <x v="73"/>
    <x v="0"/>
    <s v="Automatic"/>
    <n v="30"/>
    <n v="41"/>
    <n v="12.3"/>
    <n v="22"/>
    <s v="Silver"/>
    <x v="0"/>
    <s v="None"/>
    <n v="60"/>
    <n v="7950"/>
    <s v="&lt;=100"/>
    <x v="4"/>
  </r>
  <r>
    <x v="220"/>
    <x v="16"/>
    <x v="73"/>
    <x v="0"/>
    <s v="Automatic"/>
    <n v="30"/>
    <n v="41"/>
    <n v="12.3"/>
    <n v="22"/>
    <s v="Silver"/>
    <x v="0"/>
    <s v="None"/>
    <n v="60"/>
    <n v="7950"/>
    <s v="&lt;=100"/>
    <x v="4"/>
  </r>
  <r>
    <x v="221"/>
    <x v="16"/>
    <x v="73"/>
    <x v="0"/>
    <s v="Automatic"/>
    <n v="30"/>
    <n v="41"/>
    <n v="12.3"/>
    <n v="22"/>
    <s v="Blue"/>
    <x v="0"/>
    <s v="None"/>
    <n v="60"/>
    <n v="7900"/>
    <s v="&lt;=100"/>
    <x v="4"/>
  </r>
  <r>
    <x v="222"/>
    <x v="16"/>
    <x v="77"/>
    <x v="0"/>
    <s v="Automatic"/>
    <n v="30"/>
    <n v="41.5"/>
    <n v="12.3"/>
    <n v="22"/>
    <s v="Silver"/>
    <x v="0"/>
    <s v="None"/>
    <n v="60"/>
    <n v="7800"/>
    <s v="&lt;=100"/>
    <x v="4"/>
  </r>
  <r>
    <x v="223"/>
    <x v="16"/>
    <x v="74"/>
    <x v="0"/>
    <s v="Automatic"/>
    <n v="30"/>
    <n v="42.3"/>
    <n v="14.2"/>
    <n v="22"/>
    <s v="White"/>
    <x v="0"/>
    <s v="Chronograph"/>
    <n v="46"/>
    <n v="7800"/>
    <s v="&lt;=100"/>
    <x v="4"/>
  </r>
  <r>
    <x v="224"/>
    <x v="16"/>
    <x v="78"/>
    <x v="0"/>
    <s v="Automatic"/>
    <n v="30"/>
    <n v="41"/>
    <n v="13.1"/>
    <n v="20"/>
    <s v="White"/>
    <x v="0"/>
    <s v="Chronograph"/>
    <n v="46"/>
    <n v="7600"/>
    <s v="&lt;=100"/>
    <x v="4"/>
  </r>
  <r>
    <x v="225"/>
    <x v="16"/>
    <x v="75"/>
    <x v="0"/>
    <s v="Automatic"/>
    <n v="30"/>
    <n v="40.4"/>
    <n v="12.6"/>
    <n v="20"/>
    <s v="Silver"/>
    <x v="0"/>
    <s v="None"/>
    <n v="44"/>
    <n v="7600"/>
    <s v="&lt;=100"/>
    <x v="4"/>
  </r>
  <r>
    <x v="226"/>
    <x v="16"/>
    <x v="73"/>
    <x v="0"/>
    <s v="Automatic"/>
    <n v="30"/>
    <n v="41"/>
    <n v="12.3"/>
    <n v="22"/>
    <s v="Silver"/>
    <x v="0"/>
    <s v="None"/>
    <n v="46"/>
    <n v="7500"/>
    <s v="&lt;=100"/>
    <x v="4"/>
  </r>
  <r>
    <x v="227"/>
    <x v="16"/>
    <x v="79"/>
    <x v="0"/>
    <s v="Automatic"/>
    <n v="60"/>
    <n v="46.2"/>
    <n v="15"/>
    <n v="20"/>
    <s v="Black"/>
    <x v="0"/>
    <s v="Chronograph"/>
    <n v="68"/>
    <n v="7500"/>
    <s v="&lt;=100"/>
    <x v="4"/>
  </r>
  <r>
    <x v="228"/>
    <x v="16"/>
    <x v="75"/>
    <x v="0"/>
    <s v="Automatic"/>
    <n v="30"/>
    <n v="40.4"/>
    <n v="12.3"/>
    <n v="22"/>
    <s v="White"/>
    <x v="0"/>
    <s v="Date"/>
    <n v="60"/>
    <n v="7500"/>
    <s v="&lt;=100"/>
    <x v="4"/>
  </r>
  <r>
    <x v="229"/>
    <x v="16"/>
    <x v="75"/>
    <x v="0"/>
    <s v="Automatic"/>
    <n v="30"/>
    <n v="40.4"/>
    <n v="12.3"/>
    <n v="20"/>
    <s v="White"/>
    <x v="0"/>
    <s v="None"/>
    <n v="60"/>
    <n v="7500"/>
    <s v="&lt;=100"/>
    <x v="4"/>
  </r>
  <r>
    <x v="230"/>
    <x v="16"/>
    <x v="75"/>
    <x v="0"/>
    <s v="Automatic"/>
    <n v="30"/>
    <n v="40.4"/>
    <n v="12.3"/>
    <n v="20"/>
    <s v="Silver"/>
    <x v="0"/>
    <s v="Chronograph"/>
    <n v="46"/>
    <n v="7250"/>
    <s v="&lt;=100"/>
    <x v="4"/>
  </r>
  <r>
    <x v="231"/>
    <x v="16"/>
    <x v="80"/>
    <x v="0"/>
    <s v="Automatic"/>
    <n v="30"/>
    <n v="40.9"/>
    <n v="12.3"/>
    <n v="20"/>
    <s v="Silver"/>
    <x v="0"/>
    <s v="Date"/>
    <n v="44"/>
    <n v="6900"/>
    <s v="&lt;=100"/>
    <x v="4"/>
  </r>
  <r>
    <x v="232"/>
    <x v="16"/>
    <x v="73"/>
    <x v="0"/>
    <s v="Automatic"/>
    <n v="30"/>
    <n v="41"/>
    <n v="12.3"/>
    <n v="22"/>
    <s v="Blue"/>
    <x v="0"/>
    <s v="None"/>
    <n v="60"/>
    <n v="6900"/>
    <s v="&lt;=100"/>
    <x v="4"/>
  </r>
  <r>
    <x v="233"/>
    <x v="16"/>
    <x v="81"/>
    <x v="0"/>
    <s v="Automatic"/>
    <n v="60"/>
    <n v="41"/>
    <n v="12.5"/>
    <n v="20"/>
    <s v="Black"/>
    <x v="0"/>
    <s v="Date, Chronograph"/>
    <n v="44"/>
    <n v="6800"/>
    <s v="&lt;=100"/>
    <x v="4"/>
  </r>
  <r>
    <x v="234"/>
    <x v="16"/>
    <x v="73"/>
    <x v="0"/>
    <s v="Automatic"/>
    <n v="30"/>
    <n v="41"/>
    <n v="12.3"/>
    <n v="22"/>
    <s v="Blue"/>
    <x v="0"/>
    <s v="Date"/>
    <n v="60"/>
    <n v="6500"/>
    <s v="&lt;=100"/>
    <x v="4"/>
  </r>
  <r>
    <x v="235"/>
    <x v="16"/>
    <x v="82"/>
    <x v="0"/>
    <s v="Automatic"/>
    <n v="60"/>
    <n v="41"/>
    <n v="15.3"/>
    <n v="20"/>
    <s v="Black"/>
    <x v="0"/>
    <s v="Date"/>
    <n v="42"/>
    <n v="5900"/>
    <s v="&lt;=100"/>
    <x v="4"/>
  </r>
  <r>
    <x v="236"/>
    <x v="16"/>
    <x v="82"/>
    <x v="0"/>
    <s v="Automatic"/>
    <n v="60"/>
    <n v="41"/>
    <n v="12.5"/>
    <n v="20"/>
    <s v="Black"/>
    <x v="0"/>
    <s v="Date, Chronograph"/>
    <n v="44"/>
    <n v="5500"/>
    <s v="&lt;=100"/>
    <x v="4"/>
  </r>
  <r>
    <x v="237"/>
    <x v="16"/>
    <x v="82"/>
    <x v="0"/>
    <s v="Automatic"/>
    <n v="60"/>
    <n v="41"/>
    <n v="10.8"/>
    <n v="20"/>
    <s v="Black"/>
    <x v="0"/>
    <s v="Date, Stopwatch"/>
    <n v="42"/>
    <n v="5500"/>
    <s v="&lt;=100"/>
    <x v="4"/>
  </r>
  <r>
    <x v="238"/>
    <x v="16"/>
    <x v="82"/>
    <x v="0"/>
    <s v="Automatic"/>
    <n v="60"/>
    <n v="41"/>
    <n v="15.3"/>
    <n v="22"/>
    <s v="Black"/>
    <x v="0"/>
    <s v="Date"/>
    <n v="72"/>
    <n v="5400"/>
    <s v="&lt;=100"/>
    <x v="4"/>
  </r>
  <r>
    <x v="239"/>
    <x v="16"/>
    <x v="83"/>
    <x v="0"/>
    <s v="Automatic"/>
    <n v="60"/>
    <n v="43"/>
    <n v="15"/>
    <n v="22"/>
    <s v="Black"/>
    <x v="0"/>
    <s v="Date"/>
    <n v="72"/>
    <n v="4950"/>
    <s v="&lt;=100"/>
    <x v="3"/>
  </r>
  <r>
    <x v="240"/>
    <x v="16"/>
    <x v="82"/>
    <x v="0"/>
    <s v="Automatic"/>
    <n v="60"/>
    <n v="41"/>
    <n v="12.5"/>
    <n v="20"/>
    <s v="Black"/>
    <x v="0"/>
    <s v="Date"/>
    <n v="42"/>
    <n v="4800"/>
    <s v="&lt;=100"/>
    <x v="3"/>
  </r>
  <r>
    <x v="241"/>
    <x v="16"/>
    <x v="82"/>
    <x v="0"/>
    <s v="Automatic"/>
    <n v="60"/>
    <n v="41"/>
    <n v="12.8"/>
    <n v="22"/>
    <s v="Black"/>
    <x v="0"/>
    <s v="Date"/>
    <n v="42"/>
    <n v="4800"/>
    <s v="&lt;=100"/>
    <x v="3"/>
  </r>
  <r>
    <x v="242"/>
    <x v="16"/>
    <x v="84"/>
    <x v="0"/>
    <s v="Automatic"/>
    <n v="60"/>
    <n v="39"/>
    <n v="10.86"/>
    <n v="20"/>
    <s v="Black"/>
    <x v="0"/>
    <s v="Date"/>
    <n v="42"/>
    <n v="4500"/>
    <s v="&lt;=100"/>
    <x v="3"/>
  </r>
  <r>
    <x v="243"/>
    <x v="16"/>
    <x v="85"/>
    <x v="0"/>
    <s v="Automatic"/>
    <n v="60"/>
    <n v="40"/>
    <n v="10.8"/>
    <n v="20"/>
    <s v="Black"/>
    <x v="0"/>
    <s v="Date"/>
    <n v="42"/>
    <n v="4200"/>
    <s v="&lt;=100"/>
    <x v="3"/>
  </r>
  <r>
    <x v="244"/>
    <x v="16"/>
    <x v="85"/>
    <x v="0"/>
    <s v="Automatic"/>
    <n v="60"/>
    <n v="40"/>
    <n v="10.8"/>
    <n v="20"/>
    <s v="Black"/>
    <x v="0"/>
    <s v="Date"/>
    <n v="42"/>
    <n v="3900"/>
    <s v="&lt;=100"/>
    <x v="3"/>
  </r>
  <r>
    <x v="245"/>
    <x v="16"/>
    <x v="82"/>
    <x v="0"/>
    <s v="Automatic"/>
    <n v="60"/>
    <n v="41"/>
    <n v="10.86"/>
    <n v="20"/>
    <s v="Black"/>
    <x v="0"/>
    <s v="Date"/>
    <n v="42"/>
    <n v="3800"/>
    <s v="&lt;=100"/>
    <x v="3"/>
  </r>
  <r>
    <x v="246"/>
    <x v="17"/>
    <x v="86"/>
    <x v="0"/>
    <s v="Automatic"/>
    <n v="50"/>
    <n v="39"/>
    <n v="7.58"/>
    <n v="20"/>
    <s v="Silver"/>
    <x v="0"/>
    <s v="Date"/>
    <n v="70"/>
    <n v="8900"/>
    <s v="&lt;=100"/>
    <x v="4"/>
  </r>
  <r>
    <x v="247"/>
    <x v="17"/>
    <x v="87"/>
    <x v="0"/>
    <s v="Automatic"/>
    <n v="50"/>
    <n v="40"/>
    <n v="8.7799999999999994"/>
    <n v="20"/>
    <s v="Silver"/>
    <x v="0"/>
    <s v="Date, Power Reserve Indicator"/>
    <n v="70"/>
    <n v="8500"/>
    <s v="&lt;=100"/>
    <x v="4"/>
  </r>
  <r>
    <x v="248"/>
    <x v="17"/>
    <x v="88"/>
    <x v="0"/>
    <s v="Automatic"/>
    <n v="50"/>
    <n v="39"/>
    <n v="8.5"/>
    <n v="20"/>
    <s v="Silver"/>
    <x v="0"/>
    <s v="Date, Moonphase"/>
    <n v="70"/>
    <n v="8200"/>
    <s v="&lt;=100"/>
    <x v="4"/>
  </r>
  <r>
    <x v="249"/>
    <x v="17"/>
    <x v="86"/>
    <x v="0"/>
    <s v="Automatic"/>
    <n v="50"/>
    <n v="39"/>
    <n v="7.58"/>
    <n v="20"/>
    <s v="Silver"/>
    <x v="0"/>
    <s v="None"/>
    <n v="70"/>
    <n v="7500"/>
    <s v="&lt;=100"/>
    <x v="4"/>
  </r>
  <r>
    <x v="250"/>
    <x v="17"/>
    <x v="87"/>
    <x v="0"/>
    <s v="Automatic"/>
    <n v="50"/>
    <n v="40"/>
    <n v="8.8000000000000007"/>
    <n v="20"/>
    <s v="Silver"/>
    <x v="0"/>
    <s v="Date"/>
    <n v="70"/>
    <n v="7500"/>
    <s v="&lt;=100"/>
    <x v="4"/>
  </r>
  <r>
    <x v="251"/>
    <x v="17"/>
    <x v="88"/>
    <x v="0"/>
    <s v="Automatic"/>
    <n v="50"/>
    <n v="39"/>
    <n v="8.5"/>
    <n v="20"/>
    <s v="Silver"/>
    <x v="0"/>
    <s v="Date"/>
    <n v="70"/>
    <n v="7500"/>
    <s v="&lt;=100"/>
    <x v="4"/>
  </r>
  <r>
    <x v="252"/>
    <x v="17"/>
    <x v="86"/>
    <x v="0"/>
    <s v="Automatic"/>
    <n v="50"/>
    <n v="39"/>
    <n v="7.58"/>
    <n v="20"/>
    <s v="Silver"/>
    <x v="0"/>
    <s v="None"/>
    <n v="43"/>
    <n v="6800"/>
    <s v="&lt;=100"/>
    <x v="4"/>
  </r>
  <r>
    <x v="253"/>
    <x v="17"/>
    <x v="87"/>
    <x v="0"/>
    <s v="Automatic"/>
    <n v="50"/>
    <n v="40"/>
    <n v="8.8000000000000007"/>
    <n v="20"/>
    <s v="Silver"/>
    <x v="0"/>
    <s v="Date"/>
    <n v="70"/>
    <n v="6500"/>
    <s v="&lt;=100"/>
    <x v="4"/>
  </r>
  <r>
    <x v="254"/>
    <x v="17"/>
    <x v="87"/>
    <x v="0"/>
    <s v="Automatic"/>
    <n v="50"/>
    <n v="40"/>
    <n v="8.5"/>
    <n v="20"/>
    <s v="Silver"/>
    <x v="0"/>
    <s v="Date, Moonphase"/>
    <n v="70"/>
    <n v="6500"/>
    <s v="&lt;=100"/>
    <x v="4"/>
  </r>
  <r>
    <x v="255"/>
    <x v="17"/>
    <x v="86"/>
    <x v="0"/>
    <s v="Automatic"/>
    <n v="50"/>
    <n v="39"/>
    <n v="7.8"/>
    <n v="20"/>
    <s v="Silver"/>
    <x v="0"/>
    <s v="None"/>
    <n v="70"/>
    <n v="6500"/>
    <s v="&lt;=100"/>
    <x v="4"/>
  </r>
  <r>
    <x v="256"/>
    <x v="17"/>
    <x v="89"/>
    <x v="0"/>
    <s v="Automatic"/>
    <n v="50"/>
    <n v="40"/>
    <n v="7.45"/>
    <n v="20"/>
    <s v="Silver"/>
    <x v="0"/>
    <s v="None"/>
    <n v="43"/>
    <n v="6300"/>
    <s v="&lt;=100"/>
    <x v="4"/>
  </r>
  <r>
    <x v="257"/>
    <x v="17"/>
    <x v="86"/>
    <x v="0"/>
    <s v="Automatic"/>
    <n v="50"/>
    <n v="39"/>
    <n v="7.5"/>
    <n v="20"/>
    <s v="White"/>
    <x v="0"/>
    <s v="Date"/>
    <n v="38"/>
    <n v="6200"/>
    <s v="&lt;=100"/>
    <x v="4"/>
  </r>
  <r>
    <x v="258"/>
    <x v="17"/>
    <x v="87"/>
    <x v="0"/>
    <s v="Automatic"/>
    <n v="50"/>
    <n v="40"/>
    <n v="8.8000000000000007"/>
    <n v="20"/>
    <s v="Silver"/>
    <x v="0"/>
    <s v="Date, Power Reserve"/>
    <n v="70"/>
    <n v="6000"/>
    <s v="&lt;=100"/>
    <x v="4"/>
  </r>
  <r>
    <x v="259"/>
    <x v="17"/>
    <x v="90"/>
    <x v="0"/>
    <s v="Manual"/>
    <n v="30"/>
    <n v="42.9"/>
    <n v="9.1999999999999993"/>
    <n v="20"/>
    <s v="Black"/>
    <x v="0"/>
    <s v="None"/>
    <n v="45"/>
    <n v="5500"/>
    <s v="&lt;=100"/>
    <x v="4"/>
  </r>
  <r>
    <x v="260"/>
    <x v="17"/>
    <x v="90"/>
    <x v="0"/>
    <s v="Manual"/>
    <n v="30"/>
    <n v="42.9"/>
    <n v="9.1999999999999993"/>
    <n v="20"/>
    <s v="Black"/>
    <x v="0"/>
    <s v="None"/>
    <n v="45"/>
    <n v="5500"/>
    <s v="&lt;=100"/>
    <x v="4"/>
  </r>
  <r>
    <x v="261"/>
    <x v="17"/>
    <x v="91"/>
    <x v="0"/>
    <s v="Automatic"/>
    <n v="50"/>
    <n v="38"/>
    <n v="7.58"/>
    <n v="20"/>
    <s v="Silver"/>
    <x v="0"/>
    <s v="None"/>
    <n v="70"/>
    <n v="4500"/>
    <s v="&lt;=100"/>
    <x v="3"/>
  </r>
  <r>
    <x v="262"/>
    <x v="18"/>
    <x v="92"/>
    <x v="0"/>
    <s v="Automatic"/>
    <n v="30"/>
    <n v="43"/>
    <n v="12.48"/>
    <n v="23"/>
    <s v="Silver"/>
    <x v="0"/>
    <s v="None"/>
    <n v="68"/>
    <n v="10000"/>
    <s v="&lt;=100"/>
    <x v="4"/>
  </r>
  <r>
    <x v="263"/>
    <x v="18"/>
    <x v="92"/>
    <x v="0"/>
    <s v="Automatic"/>
    <n v="30"/>
    <n v="43"/>
    <n v="12.27"/>
    <n v="23"/>
    <s v="Black"/>
    <x v="0"/>
    <s v="None"/>
    <n v="68"/>
    <n v="9800"/>
    <s v="&lt;=100"/>
    <x v="4"/>
  </r>
  <r>
    <x v="264"/>
    <x v="18"/>
    <x v="92"/>
    <x v="0"/>
    <s v="Automatic"/>
    <n v="30"/>
    <n v="43"/>
    <n v="11.48"/>
    <n v="23"/>
    <s v="Black"/>
    <x v="0"/>
    <s v="None"/>
    <n v="68"/>
    <n v="9500"/>
    <s v="&lt;=100"/>
    <x v="4"/>
  </r>
  <r>
    <x v="265"/>
    <x v="18"/>
    <x v="92"/>
    <x v="0"/>
    <s v="Automatic"/>
    <n v="30"/>
    <n v="43"/>
    <n v="11.48"/>
    <n v="22"/>
    <s v="White"/>
    <x v="0"/>
    <s v="None"/>
    <n v="68"/>
    <n v="8500"/>
    <s v="&lt;=100"/>
    <x v="4"/>
  </r>
  <r>
    <x v="266"/>
    <x v="18"/>
    <x v="92"/>
    <x v="0"/>
    <s v="Automatic"/>
    <n v="30"/>
    <n v="43"/>
    <n v="12.13"/>
    <n v="23"/>
    <s v="Silver"/>
    <x v="0"/>
    <s v="None"/>
    <n v="68"/>
    <n v="6200"/>
    <s v="&lt;=100"/>
    <x v="4"/>
  </r>
  <r>
    <x v="267"/>
    <x v="19"/>
    <x v="93"/>
    <x v="0"/>
    <s v="Automatic"/>
    <n v="30"/>
    <n v="40"/>
    <n v="10.25"/>
    <n v="20"/>
    <s v="Black"/>
    <x v="0"/>
    <s v="Date"/>
    <n v="64"/>
    <n v="2500"/>
    <s v="&lt;=100"/>
    <x v="3"/>
  </r>
  <r>
    <x v="268"/>
    <x v="19"/>
    <x v="94"/>
    <x v="2"/>
    <s v="Automatic"/>
    <n v="300"/>
    <n v="41"/>
    <n v="13.2"/>
    <n v="20"/>
    <s v="Black"/>
    <x v="0"/>
    <s v="Chronograph"/>
    <n v="54"/>
    <n v="2200"/>
    <s v="200-300"/>
    <x v="3"/>
  </r>
  <r>
    <x v="269"/>
    <x v="19"/>
    <x v="95"/>
    <x v="0"/>
    <s v="Automatic"/>
    <n v="50"/>
    <n v="40"/>
    <n v="10.75"/>
    <n v="20"/>
    <s v="Silver"/>
    <x v="0"/>
    <s v="Date"/>
    <n v="54"/>
    <n v="1850"/>
    <s v="&lt;=100"/>
    <x v="6"/>
  </r>
  <r>
    <x v="270"/>
    <x v="19"/>
    <x v="96"/>
    <x v="2"/>
    <s v="Automatic"/>
    <n v="300"/>
    <n v="41"/>
    <n v="12.65"/>
    <n v="20"/>
    <s v="Black"/>
    <x v="0"/>
    <s v="Date"/>
    <n v="64"/>
    <n v="1800"/>
    <s v="200-300"/>
    <x v="6"/>
  </r>
  <r>
    <x v="271"/>
    <x v="19"/>
    <x v="97"/>
    <x v="0"/>
    <s v="Automatic"/>
    <n v="30"/>
    <n v="38.5"/>
    <n v="9.6999999999999993"/>
    <n v="20"/>
    <s v="Blue"/>
    <x v="0"/>
    <s v="Date"/>
    <n v="64"/>
    <n v="1800"/>
    <s v="&lt;=100"/>
    <x v="6"/>
  </r>
  <r>
    <x v="272"/>
    <x v="19"/>
    <x v="97"/>
    <x v="0"/>
    <s v="Automatic"/>
    <n v="30"/>
    <n v="38.5"/>
    <n v="9.3000000000000007"/>
    <n v="20"/>
    <s v="Blue"/>
    <x v="0"/>
    <s v="Date"/>
    <n v="42"/>
    <n v="1600"/>
    <s v="&lt;=100"/>
    <x v="6"/>
  </r>
  <r>
    <x v="273"/>
    <x v="19"/>
    <x v="98"/>
    <x v="2"/>
    <s v="Quartz"/>
    <n v="50"/>
    <n v="41"/>
    <n v="12.1"/>
    <n v="20"/>
    <s v="Black"/>
    <x v="0"/>
    <s v="Chronograph, Date"/>
    <s v="N/A"/>
    <n v="1500"/>
    <s v="&lt;=100"/>
    <x v="6"/>
  </r>
  <r>
    <x v="274"/>
    <x v="19"/>
    <x v="93"/>
    <x v="0"/>
    <s v="Automatic"/>
    <n v="30"/>
    <n v="40"/>
    <n v="9.35"/>
    <n v="20"/>
    <s v="Silver"/>
    <x v="0"/>
    <s v="Date"/>
    <n v="64"/>
    <n v="1500"/>
    <s v="&lt;=100"/>
    <x v="6"/>
  </r>
  <r>
    <x v="275"/>
    <x v="19"/>
    <x v="99"/>
    <x v="2"/>
    <s v="Automatic"/>
    <n v="300"/>
    <n v="43"/>
    <n v="12.75"/>
    <n v="22"/>
    <s v="Blue"/>
    <x v="0"/>
    <s v="Date"/>
    <n v="64"/>
    <n v="1400"/>
    <s v="200-300"/>
    <x v="6"/>
  </r>
  <r>
    <x v="276"/>
    <x v="19"/>
    <x v="97"/>
    <x v="0"/>
    <s v="Automatic"/>
    <n v="30"/>
    <n v="38.5"/>
    <n v="9.6999999999999993"/>
    <n v="20"/>
    <s v="Silver"/>
    <x v="0"/>
    <s v="Date"/>
    <n v="64"/>
    <n v="1150"/>
    <s v="&lt;=100"/>
    <x v="6"/>
  </r>
  <r>
    <x v="277"/>
    <x v="20"/>
    <x v="100"/>
    <x v="0"/>
    <s v="Automatic"/>
    <n v="100"/>
    <n v="42"/>
    <n v="12.8"/>
    <n v="22"/>
    <s v="Black"/>
    <x v="0"/>
    <s v="GMT"/>
    <n v="42"/>
    <n v="6500"/>
    <s v="&lt;=100"/>
    <x v="4"/>
  </r>
  <r>
    <x v="278"/>
    <x v="20"/>
    <x v="101"/>
    <x v="0"/>
    <s v="Automatic"/>
    <n v="100"/>
    <n v="42"/>
    <n v="11.2"/>
    <n v="22"/>
    <s v="Black"/>
    <x v="0"/>
    <s v="World Time, GMT"/>
    <n v="42"/>
    <n v="6200"/>
    <s v="&lt;=100"/>
    <x v="4"/>
  </r>
  <r>
    <x v="279"/>
    <x v="20"/>
    <x v="102"/>
    <x v="0"/>
    <s v="Automatic"/>
    <n v="100"/>
    <n v="44"/>
    <n v="12.8"/>
    <n v="22"/>
    <s v="Black"/>
    <x v="0"/>
    <s v="None"/>
    <n v="42"/>
    <n v="5300"/>
    <s v="&lt;=100"/>
    <x v="4"/>
  </r>
  <r>
    <x v="280"/>
    <x v="20"/>
    <x v="103"/>
    <x v="0"/>
    <s v="Automatic"/>
    <n v="50"/>
    <n v="42"/>
    <n v="11.4"/>
    <n v="22"/>
    <s v="White"/>
    <x v="0"/>
    <s v="Date, Moonphase"/>
    <n v="42"/>
    <n v="3900"/>
    <s v="&lt;=100"/>
    <x v="3"/>
  </r>
  <r>
    <x v="281"/>
    <x v="20"/>
    <x v="104"/>
    <x v="0"/>
    <s v="Automatic"/>
    <n v="100"/>
    <n v="42"/>
    <n v="12.8"/>
    <n v="22"/>
    <s v="Black"/>
    <x v="0"/>
    <s v="None"/>
    <n v="38"/>
    <n v="3600"/>
    <s v="&lt;=100"/>
    <x v="3"/>
  </r>
  <r>
    <x v="282"/>
    <x v="20"/>
    <x v="105"/>
    <x v="0"/>
    <s v="Manual"/>
    <n v="30"/>
    <n v="44"/>
    <n v="12.3"/>
    <n v="22"/>
    <s v="Black"/>
    <x v="0"/>
    <s v="None"/>
    <n v="50"/>
    <n v="3500"/>
    <s v="&lt;=100"/>
    <x v="3"/>
  </r>
  <r>
    <x v="283"/>
    <x v="20"/>
    <x v="106"/>
    <x v="0"/>
    <s v="Automatic"/>
    <n v="50"/>
    <n v="39"/>
    <n v="9.9"/>
    <n v="19"/>
    <s v="Silver"/>
    <x v="0"/>
    <s v="Date"/>
    <n v="42"/>
    <n v="3500"/>
    <s v="&lt;=100"/>
    <x v="3"/>
  </r>
  <r>
    <x v="284"/>
    <x v="20"/>
    <x v="107"/>
    <x v="0"/>
    <s v="Automatic"/>
    <n v="50"/>
    <n v="40"/>
    <n v="9.85"/>
    <n v="20"/>
    <s v="Silver"/>
    <x v="0"/>
    <s v="Date"/>
    <n v="42"/>
    <n v="2750"/>
    <s v="&lt;=100"/>
    <x v="3"/>
  </r>
  <r>
    <x v="285"/>
    <x v="20"/>
    <x v="107"/>
    <x v="0"/>
    <s v="Automatic"/>
    <n v="50"/>
    <n v="40"/>
    <n v="9.85"/>
    <n v="20"/>
    <s v="Black"/>
    <x v="0"/>
    <s v="Date"/>
    <n v="38"/>
    <n v="2700"/>
    <s v="&lt;=100"/>
    <x v="3"/>
  </r>
  <r>
    <x v="286"/>
    <x v="21"/>
    <x v="108"/>
    <x v="2"/>
    <s v="Automatic"/>
    <n v="50"/>
    <n v="42"/>
    <n v="13.5"/>
    <n v="20"/>
    <s v="Black"/>
    <x v="0"/>
    <s v="Chronograph"/>
    <n v="60"/>
    <n v="6800"/>
    <s v="&lt;=100"/>
    <x v="4"/>
  </r>
  <r>
    <x v="287"/>
    <x v="21"/>
    <x v="108"/>
    <x v="2"/>
    <s v="Automatic"/>
    <n v="50"/>
    <n v="42"/>
    <n v="13.5"/>
    <n v="20"/>
    <s v="Black"/>
    <x v="0"/>
    <s v="Chronograph"/>
    <n v="60"/>
    <n v="6500"/>
    <s v="&lt;=100"/>
    <x v="4"/>
  </r>
  <r>
    <x v="288"/>
    <x v="21"/>
    <x v="108"/>
    <x v="2"/>
    <s v="Automatic"/>
    <n v="50"/>
    <n v="42"/>
    <n v="13.7"/>
    <n v="20"/>
    <s v="Black"/>
    <x v="0"/>
    <s v="Chronograph, Tachymeter"/>
    <n v="60"/>
    <n v="6500"/>
    <s v="&lt;=100"/>
    <x v="4"/>
  </r>
  <r>
    <x v="289"/>
    <x v="21"/>
    <x v="109"/>
    <x v="3"/>
    <s v="Automatic"/>
    <n v="600"/>
    <n v="43.5"/>
    <n v="14.47"/>
    <n v="21"/>
    <s v="Blue"/>
    <x v="0"/>
    <s v="Date"/>
    <n v="60"/>
    <n v="5800"/>
    <s v="500-1000"/>
    <x v="4"/>
  </r>
  <r>
    <x v="290"/>
    <x v="21"/>
    <x v="109"/>
    <x v="3"/>
    <s v="Automatic"/>
    <n v="600"/>
    <n v="43.5"/>
    <n v="14.47"/>
    <n v="21"/>
    <s v="Blue"/>
    <x v="0"/>
    <s v="Date"/>
    <n v="60"/>
    <n v="5800"/>
    <s v="500-1000"/>
    <x v="4"/>
  </r>
  <r>
    <x v="291"/>
    <x v="21"/>
    <x v="108"/>
    <x v="2"/>
    <s v="Manual"/>
    <n v="50"/>
    <n v="42"/>
    <n v="14.3"/>
    <n v="20"/>
    <s v="Black"/>
    <x v="2"/>
    <s v="Chronograph, Tachymeter"/>
    <n v="48"/>
    <n v="5500"/>
    <s v="&lt;=100"/>
    <x v="4"/>
  </r>
  <r>
    <x v="292"/>
    <x v="21"/>
    <x v="110"/>
    <x v="2"/>
    <s v="Manual"/>
    <n v="50"/>
    <n v="42"/>
    <n v="13.2"/>
    <n v="20"/>
    <s v="Black"/>
    <x v="2"/>
    <s v="Chronograph, Tachymeter"/>
    <n v="48"/>
    <n v="5500"/>
    <s v="&lt;=100"/>
    <x v="4"/>
  </r>
  <r>
    <x v="293"/>
    <x v="21"/>
    <x v="108"/>
    <x v="0"/>
    <s v="Manual"/>
    <n v="50"/>
    <n v="42"/>
    <n v="13.7"/>
    <n v="20"/>
    <s v="Black"/>
    <x v="2"/>
    <s v="Chronograph"/>
    <n v="48"/>
    <n v="5500"/>
    <s v="&lt;=100"/>
    <x v="4"/>
  </r>
  <r>
    <x v="294"/>
    <x v="21"/>
    <x v="108"/>
    <x v="2"/>
    <s v="Manual"/>
    <n v="50"/>
    <n v="42"/>
    <n v="14.3"/>
    <n v="20"/>
    <s v="Black"/>
    <x v="0"/>
    <s v="Chronograph"/>
    <n v="48"/>
    <n v="5400"/>
    <s v="&lt;=100"/>
    <x v="4"/>
  </r>
  <r>
    <x v="295"/>
    <x v="21"/>
    <x v="110"/>
    <x v="2"/>
    <s v="Manual"/>
    <n v="50"/>
    <n v="42"/>
    <n v="14.3"/>
    <n v="20"/>
    <s v="Black"/>
    <x v="2"/>
    <s v="Chronograph"/>
    <n v="48"/>
    <n v="5400"/>
    <s v="&lt;=100"/>
    <x v="4"/>
  </r>
  <r>
    <x v="296"/>
    <x v="21"/>
    <x v="110"/>
    <x v="2"/>
    <s v="Manual"/>
    <n v="50"/>
    <n v="42"/>
    <n v="13.75"/>
    <n v="20"/>
    <s v="Black"/>
    <x v="2"/>
    <s v="Chronograph, Tachymeter"/>
    <n v="48"/>
    <n v="5350"/>
    <s v="&lt;=100"/>
    <x v="4"/>
  </r>
  <r>
    <x v="297"/>
    <x v="21"/>
    <x v="108"/>
    <x v="2"/>
    <s v="Manual"/>
    <n v="50"/>
    <n v="42"/>
    <n v="14.3"/>
    <n v="20"/>
    <s v="Black"/>
    <x v="2"/>
    <s v="Chronograph"/>
    <n v="48"/>
    <n v="5350"/>
    <s v="&lt;=100"/>
    <x v="4"/>
  </r>
  <r>
    <x v="298"/>
    <x v="21"/>
    <x v="108"/>
    <x v="2"/>
    <s v="Automatic"/>
    <n v="50"/>
    <n v="42"/>
    <n v="13.75"/>
    <n v="20"/>
    <s v="Black"/>
    <x v="0"/>
    <s v="Chronograph, Date"/>
    <n v="48"/>
    <n v="5300"/>
    <s v="&lt;=100"/>
    <x v="4"/>
  </r>
  <r>
    <x v="299"/>
    <x v="21"/>
    <x v="110"/>
    <x v="2"/>
    <s v="Manual"/>
    <n v="50"/>
    <n v="42"/>
    <n v="14.3"/>
    <n v="20"/>
    <s v="Black"/>
    <x v="2"/>
    <s v="Chronograph, Tachymeter"/>
    <n v="48"/>
    <n v="5250"/>
    <s v="&lt;=100"/>
    <x v="4"/>
  </r>
  <r>
    <x v="300"/>
    <x v="21"/>
    <x v="108"/>
    <x v="2"/>
    <s v="Manual"/>
    <n v="50"/>
    <n v="42"/>
    <n v="14.3"/>
    <n v="20"/>
    <s v="Black"/>
    <x v="2"/>
    <s v="Chronograph"/>
    <n v="48"/>
    <n v="5200"/>
    <s v="&lt;=100"/>
    <x v="4"/>
  </r>
  <r>
    <x v="301"/>
    <x v="21"/>
    <x v="108"/>
    <x v="2"/>
    <s v="Automatic"/>
    <n v="50"/>
    <n v="42"/>
    <n v="14.3"/>
    <n v="20"/>
    <s v="Black"/>
    <x v="2"/>
    <s v="Chronograph"/>
    <n v="48"/>
    <n v="5000"/>
    <s v="&lt;=100"/>
    <x v="3"/>
  </r>
  <r>
    <x v="302"/>
    <x v="21"/>
    <x v="108"/>
    <x v="2"/>
    <s v="Automatic"/>
    <n v="50"/>
    <n v="42"/>
    <n v="13.7"/>
    <n v="20"/>
    <s v="Black"/>
    <x v="2"/>
    <s v="Chronograph"/>
    <n v="48"/>
    <n v="4950"/>
    <s v="&lt;=100"/>
    <x v="3"/>
  </r>
  <r>
    <x v="303"/>
    <x v="21"/>
    <x v="111"/>
    <x v="2"/>
    <s v="Automatic"/>
    <n v="100"/>
    <n v="39"/>
    <n v="10.6"/>
    <n v="20"/>
    <s v="Black"/>
    <x v="0"/>
    <s v="Date"/>
    <n v="50"/>
    <n v="4800"/>
    <s v="&lt;=100"/>
    <x v="3"/>
  </r>
  <r>
    <x v="304"/>
    <x v="21"/>
    <x v="112"/>
    <x v="2"/>
    <s v="Automatic"/>
    <n v="150"/>
    <n v="41.5"/>
    <n v="13"/>
    <n v="20"/>
    <s v="Silver"/>
    <x v="0"/>
    <s v="Date"/>
    <n v="60"/>
    <n v="4700"/>
    <s v="100-200"/>
    <x v="3"/>
  </r>
  <r>
    <x v="305"/>
    <x v="21"/>
    <x v="108"/>
    <x v="2"/>
    <s v="Automatic"/>
    <n v="50"/>
    <n v="42"/>
    <n v="14.5"/>
    <n v="20"/>
    <s v="Black"/>
    <x v="0"/>
    <s v="Chronograph, Tachymeter"/>
    <n v="60"/>
    <n v="4500"/>
    <s v="&lt;=100"/>
    <x v="3"/>
  </r>
  <r>
    <x v="306"/>
    <x v="21"/>
    <x v="108"/>
    <x v="2"/>
    <s v="Manual"/>
    <n v="50"/>
    <n v="42"/>
    <n v="14.3"/>
    <n v="20"/>
    <s v="Black"/>
    <x v="2"/>
    <s v="Chronograph, Tachymeter"/>
    <n v="48"/>
    <n v="4500"/>
    <s v="&lt;=100"/>
    <x v="3"/>
  </r>
  <r>
    <x v="307"/>
    <x v="21"/>
    <x v="108"/>
    <x v="2"/>
    <s v="Manual"/>
    <n v="50"/>
    <n v="42"/>
    <n v="14.3"/>
    <n v="20"/>
    <s v="Black"/>
    <x v="2"/>
    <s v="Chronograph"/>
    <n v="48"/>
    <n v="4500"/>
    <s v="&lt;=100"/>
    <x v="3"/>
  </r>
  <r>
    <x v="308"/>
    <x v="21"/>
    <x v="108"/>
    <x v="2"/>
    <s v="Manual"/>
    <n v="50"/>
    <n v="42"/>
    <n v="14.3"/>
    <n v="20"/>
    <s v="Black"/>
    <x v="2"/>
    <s v="Chronograph"/>
    <n v="48"/>
    <n v="4300"/>
    <s v="&lt;=100"/>
    <x v="3"/>
  </r>
  <r>
    <x v="309"/>
    <x v="22"/>
    <x v="113"/>
    <x v="9"/>
    <s v="Automatic"/>
    <n v="100"/>
    <n v="41"/>
    <n v="12"/>
    <n v="20"/>
    <s v="Black"/>
    <x v="0"/>
    <s v="Date, GMT"/>
    <n v="38"/>
    <n v="1800"/>
    <s v="&lt;=100"/>
    <x v="6"/>
  </r>
  <r>
    <x v="310"/>
    <x v="22"/>
    <x v="114"/>
    <x v="0"/>
    <s v="Automatic"/>
    <n v="100"/>
    <n v="40"/>
    <n v="12.9"/>
    <n v="20"/>
    <s v="Blue"/>
    <x v="0"/>
    <s v="Date"/>
    <n v="38"/>
    <n v="1500"/>
    <s v="&lt;=100"/>
    <x v="6"/>
  </r>
  <r>
    <x v="311"/>
    <x v="23"/>
    <x v="115"/>
    <x v="3"/>
    <s v="Automatic"/>
    <n v="300"/>
    <n v="44"/>
    <n v="15.65"/>
    <n v="24"/>
    <s v="Black"/>
    <x v="0"/>
    <s v="Date"/>
    <n v="72"/>
    <n v="9600"/>
    <s v="200-300"/>
    <x v="4"/>
  </r>
  <r>
    <x v="312"/>
    <x v="23"/>
    <x v="115"/>
    <x v="0"/>
    <s v="Automatic"/>
    <n v="300"/>
    <n v="44"/>
    <n v="16.149999999999999"/>
    <n v="24"/>
    <s v="Black"/>
    <x v="0"/>
    <s v="None"/>
    <n v="72"/>
    <n v="9500"/>
    <s v="200-300"/>
    <x v="4"/>
  </r>
  <r>
    <x v="313"/>
    <x v="23"/>
    <x v="116"/>
    <x v="3"/>
    <s v="Automatic"/>
    <n v="300"/>
    <n v="44"/>
    <n v="15.65"/>
    <n v="24"/>
    <s v="Black"/>
    <x v="0"/>
    <s v="None"/>
    <n v="72"/>
    <n v="9500"/>
    <s v="200-300"/>
    <x v="4"/>
  </r>
  <r>
    <x v="314"/>
    <x v="23"/>
    <x v="117"/>
    <x v="0"/>
    <s v="Automatic"/>
    <n v="300"/>
    <n v="44"/>
    <n v="13.05"/>
    <n v="24"/>
    <s v="Black"/>
    <x v="0"/>
    <s v="Date, Second Time Zone"/>
    <n v="72"/>
    <n v="8900"/>
    <s v="200-300"/>
    <x v="4"/>
  </r>
  <r>
    <x v="315"/>
    <x v="23"/>
    <x v="117"/>
    <x v="0"/>
    <s v="Automatic"/>
    <n v="300"/>
    <n v="44"/>
    <n v="13.05"/>
    <n v="22"/>
    <s v="Black"/>
    <x v="0"/>
    <s v="Date"/>
    <n v="72"/>
    <n v="8900"/>
    <s v="200-300"/>
    <x v="4"/>
  </r>
  <r>
    <x v="316"/>
    <x v="23"/>
    <x v="117"/>
    <x v="0"/>
    <s v="Automatic"/>
    <n v="300"/>
    <n v="44"/>
    <n v="15.65"/>
    <n v="24"/>
    <s v="Black"/>
    <x v="0"/>
    <s v="None"/>
    <n v="72"/>
    <n v="8500"/>
    <s v="200-300"/>
    <x v="4"/>
  </r>
  <r>
    <x v="317"/>
    <x v="23"/>
    <x v="115"/>
    <x v="3"/>
    <s v="Automatic"/>
    <n v="300"/>
    <n v="44"/>
    <n v="13.05"/>
    <n v="24"/>
    <s v="Black"/>
    <x v="0"/>
    <s v="None"/>
    <n v="72"/>
    <n v="8500"/>
    <s v="200-300"/>
    <x v="4"/>
  </r>
  <r>
    <x v="318"/>
    <x v="23"/>
    <x v="115"/>
    <x v="3"/>
    <s v="Manual"/>
    <n v="300"/>
    <n v="44"/>
    <n v="15.6"/>
    <n v="24"/>
    <s v="Black"/>
    <x v="0"/>
    <s v="None"/>
    <n v="72"/>
    <n v="8500"/>
    <s v="200-300"/>
    <x v="4"/>
  </r>
  <r>
    <x v="319"/>
    <x v="23"/>
    <x v="117"/>
    <x v="0"/>
    <s v="Automatic"/>
    <n v="300"/>
    <n v="44"/>
    <n v="15.65"/>
    <n v="24"/>
    <s v="Black"/>
    <x v="0"/>
    <s v="Date"/>
    <n v="72"/>
    <n v="8000"/>
    <s v="200-300"/>
    <x v="4"/>
  </r>
  <r>
    <x v="320"/>
    <x v="23"/>
    <x v="118"/>
    <x v="0"/>
    <s v="Manual"/>
    <n v="100"/>
    <n v="44"/>
    <n v="13.05"/>
    <n v="24"/>
    <s v="Black"/>
    <x v="0"/>
    <s v="None"/>
    <n v="56"/>
    <n v="7500"/>
    <s v="&lt;=100"/>
    <x v="4"/>
  </r>
  <r>
    <x v="321"/>
    <x v="23"/>
    <x v="119"/>
    <x v="0"/>
    <s v="Automatic"/>
    <n v="300"/>
    <n v="42"/>
    <n v="13.2"/>
    <n v="22"/>
    <s v="Black"/>
    <x v="0"/>
    <s v="Date"/>
    <n v="72"/>
    <n v="7500"/>
    <s v="200-300"/>
    <x v="4"/>
  </r>
  <r>
    <x v="322"/>
    <x v="23"/>
    <x v="115"/>
    <x v="0"/>
    <s v="Automatic"/>
    <n v="100"/>
    <n v="44"/>
    <n v="15.65"/>
    <n v="24"/>
    <s v="Black"/>
    <x v="0"/>
    <s v="None"/>
    <n v="72"/>
    <n v="7500"/>
    <s v="&lt;=100"/>
    <x v="4"/>
  </r>
  <r>
    <x v="323"/>
    <x v="23"/>
    <x v="117"/>
    <x v="0"/>
    <s v="Automatic"/>
    <n v="300"/>
    <n v="44"/>
    <n v="15.65"/>
    <n v="22"/>
    <s v="Black"/>
    <x v="0"/>
    <s v="Date, GMT"/>
    <n v="72"/>
    <n v="7500"/>
    <s v="200-300"/>
    <x v="4"/>
  </r>
  <r>
    <x v="324"/>
    <x v="23"/>
    <x v="115"/>
    <x v="3"/>
    <s v="Automatic"/>
    <n v="300"/>
    <n v="44"/>
    <n v="13.05"/>
    <n v="24"/>
    <s v="Black"/>
    <x v="0"/>
    <s v="Date, Sub Seconds"/>
    <n v="72"/>
    <n v="7500"/>
    <s v="200-300"/>
    <x v="4"/>
  </r>
  <r>
    <x v="325"/>
    <x v="23"/>
    <x v="117"/>
    <x v="0"/>
    <s v="Manual"/>
    <n v="300"/>
    <n v="44"/>
    <n v="15.65"/>
    <n v="24"/>
    <s v="Black"/>
    <x v="0"/>
    <s v="None"/>
    <n v="56"/>
    <n v="7200"/>
    <s v="200-300"/>
    <x v="4"/>
  </r>
  <r>
    <x v="326"/>
    <x v="23"/>
    <x v="119"/>
    <x v="0"/>
    <s v="Automatic"/>
    <n v="300"/>
    <n v="42"/>
    <n v="14.5"/>
    <n v="22"/>
    <s v="Black"/>
    <x v="0"/>
    <s v="Date"/>
    <n v="50"/>
    <n v="7200"/>
    <s v="200-300"/>
    <x v="4"/>
  </r>
  <r>
    <x v="327"/>
    <x v="23"/>
    <x v="115"/>
    <x v="0"/>
    <s v="Manual"/>
    <n v="100"/>
    <n v="44"/>
    <n v="13.05"/>
    <n v="24"/>
    <s v="Black"/>
    <x v="0"/>
    <s v="None"/>
    <n v="56"/>
    <n v="6900"/>
    <s v="&lt;=100"/>
    <x v="4"/>
  </r>
  <r>
    <x v="328"/>
    <x v="23"/>
    <x v="120"/>
    <x v="0"/>
    <s v="Automatic"/>
    <n v="30"/>
    <n v="38"/>
    <n v="11.2"/>
    <n v="20"/>
    <s v="Black"/>
    <x v="0"/>
    <s v="None"/>
    <n v="72"/>
    <n v="6500"/>
    <s v="&lt;=100"/>
    <x v="4"/>
  </r>
  <r>
    <x v="329"/>
    <x v="23"/>
    <x v="117"/>
    <x v="0"/>
    <s v="Automatic"/>
    <n v="300"/>
    <n v="44"/>
    <n v="13.05"/>
    <n v="24"/>
    <s v="Black"/>
    <x v="0"/>
    <s v="None"/>
    <n v="72"/>
    <n v="6500"/>
    <s v="200-300"/>
    <x v="4"/>
  </r>
  <r>
    <x v="330"/>
    <x v="23"/>
    <x v="117"/>
    <x v="0"/>
    <s v="Automatic"/>
    <n v="300"/>
    <n v="44"/>
    <n v="15.65"/>
    <n v="24"/>
    <s v="Black"/>
    <x v="0"/>
    <s v="Date"/>
    <n v="72"/>
    <n v="6500"/>
    <s v="200-300"/>
    <x v="4"/>
  </r>
  <r>
    <x v="331"/>
    <x v="23"/>
    <x v="118"/>
    <x v="0"/>
    <s v="Manual"/>
    <n v="100"/>
    <n v="44"/>
    <n v="13.05"/>
    <n v="24"/>
    <s v="Black"/>
    <x v="0"/>
    <s v="None"/>
    <n v="56"/>
    <n v="6400"/>
    <s v="&lt;=100"/>
    <x v="4"/>
  </r>
  <r>
    <x v="332"/>
    <x v="23"/>
    <x v="121"/>
    <x v="0"/>
    <s v="Manual"/>
    <n v="100"/>
    <n v="44"/>
    <n v="10.5"/>
    <n v="24"/>
    <s v="Black"/>
    <x v="0"/>
    <s v="None"/>
    <n v="56"/>
    <n v="5800"/>
    <s v="&lt;=100"/>
    <x v="4"/>
  </r>
  <r>
    <x v="333"/>
    <x v="23"/>
    <x v="116"/>
    <x v="0"/>
    <s v="Manual"/>
    <n v="300"/>
    <n v="44"/>
    <n v="13.05"/>
    <n v="24"/>
    <s v="Black"/>
    <x v="0"/>
    <s v="None"/>
    <n v="56"/>
    <n v="5700"/>
    <s v="200-300"/>
    <x v="4"/>
  </r>
  <r>
    <x v="334"/>
    <x v="23"/>
    <x v="117"/>
    <x v="0"/>
    <s v="Manual"/>
    <n v="300"/>
    <n v="44"/>
    <n v="13.05"/>
    <n v="24"/>
    <s v="Black"/>
    <x v="0"/>
    <s v="None"/>
    <n v="56"/>
    <n v="5200"/>
    <s v="200-300"/>
    <x v="4"/>
  </r>
  <r>
    <x v="335"/>
    <x v="23"/>
    <x v="122"/>
    <x v="0"/>
    <s v="Manual"/>
    <n v="100"/>
    <n v="44"/>
    <n v="10.5"/>
    <n v="22"/>
    <s v="Black"/>
    <x v="0"/>
    <s v="None"/>
    <n v="56"/>
    <n v="3900"/>
    <s v="&lt;=100"/>
    <x v="3"/>
  </r>
  <r>
    <x v="336"/>
    <x v="24"/>
    <x v="123"/>
    <x v="2"/>
    <s v="Automatic"/>
    <n v="120"/>
    <n v="40.5"/>
    <n v="8.3000000000000007"/>
    <n v="22"/>
    <s v="Blue"/>
    <x v="0"/>
    <s v="Date, Moon Phase"/>
    <n v="45"/>
    <n v="70000"/>
    <s v="100-200"/>
    <x v="2"/>
  </r>
  <r>
    <x v="337"/>
    <x v="24"/>
    <x v="123"/>
    <x v="2"/>
    <s v="Automatic"/>
    <n v="120"/>
    <n v="40.5"/>
    <n v="8.3000000000000007"/>
    <n v="20"/>
    <s v="Blue"/>
    <x v="0"/>
    <s v="Date, Chronograph"/>
    <n v="55"/>
    <n v="67000"/>
    <s v="100-200"/>
    <x v="2"/>
  </r>
  <r>
    <x v="338"/>
    <x v="24"/>
    <x v="124"/>
    <x v="2"/>
    <s v="Automatic"/>
    <n v="120"/>
    <n v="40.799999999999997"/>
    <n v="8.3000000000000007"/>
    <n v="21"/>
    <s v="Blue"/>
    <x v="0"/>
    <s v="Date"/>
    <n v="45"/>
    <n v="62500"/>
    <s v="100-200"/>
    <x v="2"/>
  </r>
  <r>
    <x v="339"/>
    <x v="24"/>
    <x v="124"/>
    <x v="2"/>
    <s v="Automatic"/>
    <n v="120"/>
    <n v="40.799999999999997"/>
    <n v="8.3000000000000007"/>
    <n v="20"/>
    <s v="Blue"/>
    <x v="0"/>
    <s v="Date"/>
    <n v="45"/>
    <n v="57000"/>
    <s v="100-200"/>
    <x v="2"/>
  </r>
  <r>
    <x v="340"/>
    <x v="24"/>
    <x v="124"/>
    <x v="2"/>
    <s v="Automatic"/>
    <n v="120"/>
    <n v="40.799999999999997"/>
    <n v="8.3000000000000007"/>
    <n v="20"/>
    <s v="Blue"/>
    <x v="0"/>
    <s v="Date"/>
    <n v="45"/>
    <n v="52000"/>
    <s v="100-200"/>
    <x v="2"/>
  </r>
  <r>
    <x v="341"/>
    <x v="24"/>
    <x v="124"/>
    <x v="2"/>
    <s v="Automatic"/>
    <n v="120"/>
    <n v="40.799999999999997"/>
    <n v="8.3000000000000007"/>
    <n v="21"/>
    <s v="Blue"/>
    <x v="0"/>
    <s v="Date"/>
    <n v="55"/>
    <n v="51000"/>
    <s v="100-200"/>
    <x v="2"/>
  </r>
  <r>
    <x v="342"/>
    <x v="24"/>
    <x v="123"/>
    <x v="2"/>
    <s v="Automatic"/>
    <n v="120"/>
    <n v="40.5"/>
    <n v="8.3000000000000007"/>
    <n v="22"/>
    <s v="Blue"/>
    <x v="0"/>
    <s v="Date"/>
    <n v="45"/>
    <n v="51000"/>
    <s v="100-200"/>
    <x v="2"/>
  </r>
  <r>
    <x v="343"/>
    <x v="24"/>
    <x v="123"/>
    <x v="2"/>
    <s v="Automatic"/>
    <n v="120"/>
    <n v="40.5"/>
    <n v="8.3000000000000007"/>
    <n v="20"/>
    <s v="Blue"/>
    <x v="0"/>
    <s v="Date"/>
    <n v="45"/>
    <n v="49800"/>
    <s v="100-200"/>
    <x v="2"/>
  </r>
  <r>
    <x v="344"/>
    <x v="24"/>
    <x v="124"/>
    <x v="2"/>
    <s v="Automatic"/>
    <n v="120"/>
    <n v="40.799999999999997"/>
    <n v="8.3000000000000007"/>
    <n v="20"/>
    <s v="Blue"/>
    <x v="0"/>
    <s v="Date"/>
    <n v="45"/>
    <n v="47000"/>
    <s v="100-200"/>
    <x v="2"/>
  </r>
  <r>
    <x v="345"/>
    <x v="24"/>
    <x v="124"/>
    <x v="2"/>
    <s v="Automatic"/>
    <n v="120"/>
    <n v="40.799999999999997"/>
    <n v="8.3000000000000007"/>
    <n v="20"/>
    <s v="Blue"/>
    <x v="0"/>
    <s v="Date, Moon Phase"/>
    <n v="48"/>
    <n v="44500"/>
    <s v="100-200"/>
    <x v="2"/>
  </r>
  <r>
    <x v="346"/>
    <x v="24"/>
    <x v="123"/>
    <x v="2"/>
    <s v="Automatic"/>
    <n v="120"/>
    <n v="40.5"/>
    <n v="8.3000000000000007"/>
    <n v="20"/>
    <s v="Blue"/>
    <x v="0"/>
    <s v="Date"/>
    <n v="55"/>
    <n v="44000"/>
    <s v="100-200"/>
    <x v="2"/>
  </r>
  <r>
    <x v="347"/>
    <x v="24"/>
    <x v="123"/>
    <x v="2"/>
    <s v="Automatic"/>
    <n v="120"/>
    <n v="40.5"/>
    <n v="8.3000000000000007"/>
    <n v="21"/>
    <s v="Blue"/>
    <x v="0"/>
    <s v="Date"/>
    <n v="45"/>
    <n v="40000"/>
    <s v="100-200"/>
    <x v="2"/>
  </r>
  <r>
    <x v="348"/>
    <x v="24"/>
    <x v="123"/>
    <x v="2"/>
    <s v="Automatic"/>
    <n v="120"/>
    <n v="40.5"/>
    <n v="8.3000000000000007"/>
    <n v="20"/>
    <s v="Blue"/>
    <x v="0"/>
    <s v="Date"/>
    <n v="45"/>
    <n v="39000"/>
    <s v="100-200"/>
    <x v="0"/>
  </r>
  <r>
    <x v="349"/>
    <x v="24"/>
    <x v="124"/>
    <x v="2"/>
    <s v="Automatic"/>
    <n v="120"/>
    <n v="40.799999999999997"/>
    <n v="8.3000000000000007"/>
    <n v="20"/>
    <s v="Blue"/>
    <x v="0"/>
    <s v="Date, Power Reserve, Moon Phase"/>
    <n v="45"/>
    <n v="38000"/>
    <s v="100-200"/>
    <x v="0"/>
  </r>
  <r>
    <x v="350"/>
    <x v="24"/>
    <x v="124"/>
    <x v="2"/>
    <s v="Automatic"/>
    <n v="120"/>
    <n v="40.799999999999997"/>
    <n v="8.3000000000000007"/>
    <n v="20"/>
    <s v="Blue"/>
    <x v="0"/>
    <s v="Date"/>
    <n v="45"/>
    <n v="38000"/>
    <s v="100-200"/>
    <x v="0"/>
  </r>
  <r>
    <x v="351"/>
    <x v="24"/>
    <x v="125"/>
    <x v="2"/>
    <s v="Automatic"/>
    <n v="120"/>
    <n v="40"/>
    <n v="8.3000000000000007"/>
    <n v="22"/>
    <s v="Blue"/>
    <x v="0"/>
    <s v="Date"/>
    <n v="45"/>
    <n v="36000"/>
    <s v="100-200"/>
    <x v="0"/>
  </r>
  <r>
    <x v="352"/>
    <x v="24"/>
    <x v="123"/>
    <x v="2"/>
    <s v="Automatic"/>
    <n v="120"/>
    <n v="40.5"/>
    <n v="8.3000000000000007"/>
    <n v="20"/>
    <s v="Blue"/>
    <x v="0"/>
    <s v="Date"/>
    <n v="45"/>
    <n v="35000"/>
    <s v="100-200"/>
    <x v="0"/>
  </r>
  <r>
    <x v="353"/>
    <x v="24"/>
    <x v="123"/>
    <x v="2"/>
    <s v="Automatic"/>
    <n v="120"/>
    <n v="40.5"/>
    <n v="8.3000000000000007"/>
    <n v="22"/>
    <s v="Blue"/>
    <x v="0"/>
    <s v="Date"/>
    <n v="45"/>
    <n v="34000"/>
    <s v="100-200"/>
    <x v="0"/>
  </r>
  <r>
    <x v="354"/>
    <x v="24"/>
    <x v="123"/>
    <x v="2"/>
    <s v="Automatic"/>
    <n v="120"/>
    <n v="40.5"/>
    <n v="8.3000000000000007"/>
    <n v="22"/>
    <s v="Blue"/>
    <x v="0"/>
    <s v="Date"/>
    <n v="45"/>
    <n v="34000"/>
    <s v="100-200"/>
    <x v="0"/>
  </r>
  <r>
    <x v="355"/>
    <x v="24"/>
    <x v="123"/>
    <x v="2"/>
    <s v="Automatic"/>
    <n v="120"/>
    <n v="40.5"/>
    <n v="8.3000000000000007"/>
    <n v="21"/>
    <s v="Blue"/>
    <x v="0"/>
    <s v="Date"/>
    <n v="45"/>
    <n v="34000"/>
    <s v="100-200"/>
    <x v="0"/>
  </r>
  <r>
    <x v="356"/>
    <x v="24"/>
    <x v="123"/>
    <x v="2"/>
    <s v="Automatic"/>
    <n v="120"/>
    <n v="40.5"/>
    <n v="8.3000000000000007"/>
    <n v="20"/>
    <s v="Blue"/>
    <x v="0"/>
    <s v="Date"/>
    <n v="45"/>
    <n v="29800"/>
    <s v="100-200"/>
    <x v="0"/>
  </r>
  <r>
    <x v="357"/>
    <x v="24"/>
    <x v="123"/>
    <x v="2"/>
    <s v="Automatic"/>
    <n v="120"/>
    <n v="40.5"/>
    <n v="8.3000000000000007"/>
    <n v="22"/>
    <s v="Blue"/>
    <x v="0"/>
    <s v="Date"/>
    <n v="45"/>
    <n v="29800"/>
    <s v="100-200"/>
    <x v="0"/>
  </r>
  <r>
    <x v="358"/>
    <x v="24"/>
    <x v="123"/>
    <x v="2"/>
    <s v="Automatic"/>
    <n v="120"/>
    <n v="40.5"/>
    <n v="8.3000000000000007"/>
    <n v="21"/>
    <s v="Blue"/>
    <x v="0"/>
    <s v="Date"/>
    <n v="45"/>
    <n v="29800"/>
    <s v="100-200"/>
    <x v="0"/>
  </r>
  <r>
    <x v="359"/>
    <x v="24"/>
    <x v="124"/>
    <x v="2"/>
    <s v="Automatic"/>
    <n v="120"/>
    <n v="40.799999999999997"/>
    <n v="8.3000000000000007"/>
    <n v="21"/>
    <s v="Blue"/>
    <x v="0"/>
    <s v="Date"/>
    <n v="55"/>
    <n v="29800"/>
    <s v="100-200"/>
    <x v="0"/>
  </r>
  <r>
    <x v="360"/>
    <x v="24"/>
    <x v="123"/>
    <x v="2"/>
    <s v="Automatic"/>
    <n v="120"/>
    <n v="40.5"/>
    <n v="8.3000000000000007"/>
    <n v="22"/>
    <s v="Blue"/>
    <x v="0"/>
    <s v="Date"/>
    <n v="45"/>
    <n v="29000"/>
    <s v="100-200"/>
    <x v="0"/>
  </r>
  <r>
    <x v="361"/>
    <x v="24"/>
    <x v="125"/>
    <x v="2"/>
    <s v="Automatic"/>
    <n v="120"/>
    <n v="40"/>
    <n v="8.3000000000000007"/>
    <n v="20"/>
    <s v="Blue"/>
    <x v="0"/>
    <s v="Date"/>
    <n v="45"/>
    <n v="26000"/>
    <s v="100-200"/>
    <x v="0"/>
  </r>
  <r>
    <x v="362"/>
    <x v="24"/>
    <x v="126"/>
    <x v="0"/>
    <s v="Automatic"/>
    <n v="30"/>
    <n v="39"/>
    <n v="8.25"/>
    <n v="20"/>
    <s v="Silver"/>
    <x v="0"/>
    <s v="None"/>
    <n v="48"/>
    <n v="25800"/>
    <s v="&lt;=100"/>
    <x v="0"/>
  </r>
  <r>
    <x v="363"/>
    <x v="24"/>
    <x v="127"/>
    <x v="0"/>
    <s v="Manual"/>
    <n v="30"/>
    <n v="37"/>
    <n v="7.7"/>
    <n v="20"/>
    <s v="White"/>
    <x v="0"/>
    <s v="None"/>
    <n v="44"/>
    <n v="25000"/>
    <s v="&lt;=100"/>
    <x v="0"/>
  </r>
  <r>
    <x v="364"/>
    <x v="24"/>
    <x v="128"/>
    <x v="0"/>
    <s v="Manual"/>
    <n v="30"/>
    <n v="38"/>
    <n v="8.25"/>
    <n v="20"/>
    <s v="White"/>
    <x v="0"/>
    <s v="None"/>
    <n v="44"/>
    <n v="25000"/>
    <s v="&lt;=100"/>
    <x v="0"/>
  </r>
  <r>
    <x v="365"/>
    <x v="24"/>
    <x v="127"/>
    <x v="0"/>
    <s v="Automatic"/>
    <n v="30"/>
    <n v="37"/>
    <n v="8.5"/>
    <n v="18"/>
    <s v="White"/>
    <x v="0"/>
    <s v="Date"/>
    <n v="45"/>
    <n v="25000"/>
    <s v="&lt;=100"/>
    <x v="0"/>
  </r>
  <r>
    <x v="366"/>
    <x v="24"/>
    <x v="129"/>
    <x v="0"/>
    <s v="Manual"/>
    <n v="30"/>
    <n v="38"/>
    <n v="7.68"/>
    <n v="19"/>
    <s v="White"/>
    <x v="0"/>
    <s v="None"/>
    <n v="44"/>
    <n v="22900"/>
    <s v="&lt;=100"/>
    <x v="0"/>
  </r>
  <r>
    <x v="367"/>
    <x v="24"/>
    <x v="130"/>
    <x v="0"/>
    <s v="Automatic"/>
    <n v="30"/>
    <n v="39"/>
    <n v="8.6"/>
    <n v="20"/>
    <s v="Silver"/>
    <x v="0"/>
    <s v="Date"/>
    <n v="48"/>
    <n v="22000"/>
    <s v="&lt;=100"/>
    <x v="0"/>
  </r>
  <r>
    <x v="368"/>
    <x v="24"/>
    <x v="131"/>
    <x v="0"/>
    <s v="Manual"/>
    <n v="30"/>
    <n v="36"/>
    <n v="7.45"/>
    <n v="18"/>
    <s v="White"/>
    <x v="0"/>
    <s v="None"/>
    <n v="44"/>
    <n v="18000"/>
    <s v="&lt;=100"/>
    <x v="1"/>
  </r>
  <r>
    <x v="369"/>
    <x v="25"/>
    <x v="132"/>
    <x v="0"/>
    <s v="Manual"/>
    <n v="30"/>
    <n v="40"/>
    <n v="6.36"/>
    <n v="20"/>
    <s v="Silver"/>
    <x v="0"/>
    <s v="None"/>
    <n v="44"/>
    <n v="22000"/>
    <s v="&lt;=100"/>
    <x v="0"/>
  </r>
  <r>
    <x v="370"/>
    <x v="25"/>
    <x v="133"/>
    <x v="0"/>
    <s v="Manual"/>
    <n v="30"/>
    <n v="38"/>
    <n v="6"/>
    <n v="20"/>
    <s v="White"/>
    <x v="0"/>
    <s v="None"/>
    <n v="43"/>
    <n v="20800"/>
    <s v="&lt;=100"/>
    <x v="0"/>
  </r>
  <r>
    <x v="371"/>
    <x v="25"/>
    <x v="134"/>
    <x v="0"/>
    <s v="Manual"/>
    <n v="30"/>
    <n v="40"/>
    <n v="6.36"/>
    <n v="20"/>
    <s v="Silver"/>
    <x v="0"/>
    <s v="None"/>
    <n v="43"/>
    <n v="18500"/>
    <s v="&lt;=100"/>
    <x v="1"/>
  </r>
  <r>
    <x v="372"/>
    <x v="25"/>
    <x v="135"/>
    <x v="0"/>
    <s v="Manual"/>
    <n v="30"/>
    <n v="38"/>
    <n v="6.1"/>
    <n v="20"/>
    <s v="Silver"/>
    <x v="0"/>
    <s v="None"/>
    <n v="43"/>
    <n v="16500"/>
    <s v="&lt;=100"/>
    <x v="1"/>
  </r>
  <r>
    <x v="373"/>
    <x v="25"/>
    <x v="136"/>
    <x v="2"/>
    <s v="Automatic"/>
    <n v="100"/>
    <n v="42"/>
    <n v="9.4"/>
    <n v="22"/>
    <s v="Blue"/>
    <x v="0"/>
    <s v="Date"/>
    <n v="44"/>
    <n v="10500"/>
    <s v="&lt;=100"/>
    <x v="1"/>
  </r>
  <r>
    <x v="374"/>
    <x v="25"/>
    <x v="137"/>
    <x v="2"/>
    <s v="Automatic"/>
    <n v="100"/>
    <n v="42"/>
    <n v="9.4"/>
    <n v="24"/>
    <s v="Blue"/>
    <x v="0"/>
    <s v="Date"/>
    <n v="50"/>
    <n v="10000"/>
    <s v="&lt;=100"/>
    <x v="4"/>
  </r>
  <r>
    <x v="375"/>
    <x v="26"/>
    <x v="138"/>
    <x v="0"/>
    <s v="Quartz"/>
    <n v="30"/>
    <n v="39"/>
    <n v="5"/>
    <n v="22"/>
    <s v="Black"/>
    <x v="0"/>
    <s v="None"/>
    <s v="N/A"/>
    <n v="1600"/>
    <s v="&lt;=100"/>
    <x v="6"/>
  </r>
  <r>
    <x v="376"/>
    <x v="27"/>
    <x v="139"/>
    <x v="0"/>
    <s v="Automatic"/>
    <n v="100"/>
    <n v="40"/>
    <n v="12.4"/>
    <n v="20"/>
    <s v="Ivory"/>
    <x v="0"/>
    <s v="Chronograph"/>
    <n v="72"/>
    <n v="39500"/>
    <s v="&lt;=100"/>
    <x v="0"/>
  </r>
  <r>
    <x v="377"/>
    <x v="27"/>
    <x v="140"/>
    <x v="0"/>
    <s v="Automatic"/>
    <n v="100"/>
    <n v="40"/>
    <n v="12.4"/>
    <n v="20"/>
    <s v="Champagne"/>
    <x v="0"/>
    <s v="Chronograph"/>
    <n v="72"/>
    <n v="29500"/>
    <s v="&lt;=100"/>
    <x v="0"/>
  </r>
  <r>
    <x v="378"/>
    <x v="27"/>
    <x v="141"/>
    <x v="2"/>
    <s v="Automatic"/>
    <n v="100"/>
    <n v="40"/>
    <n v="12.5"/>
    <n v="20"/>
    <s v="Black"/>
    <x v="0"/>
    <s v="GMT"/>
    <n v="48"/>
    <n v="14000"/>
    <s v="&lt;=100"/>
    <x v="1"/>
  </r>
  <r>
    <x v="379"/>
    <x v="27"/>
    <x v="142"/>
    <x v="2"/>
    <s v="Automatic"/>
    <n v="100"/>
    <n v="40"/>
    <n v="12.4"/>
    <n v="20"/>
    <s v="White"/>
    <x v="0"/>
    <s v="Chronograph"/>
    <n v="72"/>
    <n v="13500"/>
    <s v="&lt;=100"/>
    <x v="1"/>
  </r>
  <r>
    <x v="380"/>
    <x v="27"/>
    <x v="141"/>
    <x v="2"/>
    <s v="Automatic"/>
    <n v="100"/>
    <n v="40"/>
    <n v="12.5"/>
    <n v="20"/>
    <s v="Black"/>
    <x v="0"/>
    <s v="GMT, Date"/>
    <n v="70"/>
    <n v="9950"/>
    <s v="&lt;=100"/>
    <x v="4"/>
  </r>
  <r>
    <x v="381"/>
    <x v="27"/>
    <x v="141"/>
    <x v="2"/>
    <s v="Automatic"/>
    <n v="100"/>
    <n v="40"/>
    <n v="12.5"/>
    <n v="20"/>
    <s v="Black"/>
    <x v="0"/>
    <s v="GMT, Date"/>
    <n v="70"/>
    <n v="9900"/>
    <s v="&lt;=100"/>
    <x v="4"/>
  </r>
  <r>
    <x v="382"/>
    <x v="27"/>
    <x v="141"/>
    <x v="2"/>
    <s v="Automatic"/>
    <n v="100"/>
    <n v="40"/>
    <n v="12.5"/>
    <n v="20"/>
    <s v="Black"/>
    <x v="0"/>
    <s v="Date, GMT"/>
    <n v="70"/>
    <n v="9700"/>
    <s v="&lt;=100"/>
    <x v="4"/>
  </r>
  <r>
    <x v="383"/>
    <x v="27"/>
    <x v="143"/>
    <x v="2"/>
    <s v="Automatic"/>
    <n v="300"/>
    <n v="40"/>
    <n v="13"/>
    <n v="20"/>
    <s v="Black"/>
    <x v="0"/>
    <s v="Date"/>
    <n v="48"/>
    <n v="9500"/>
    <s v="200-300"/>
    <x v="4"/>
  </r>
  <r>
    <x v="384"/>
    <x v="27"/>
    <x v="143"/>
    <x v="2"/>
    <s v="Automatic"/>
    <n v="300"/>
    <n v="40"/>
    <n v="13"/>
    <n v="20"/>
    <s v="Black"/>
    <x v="0"/>
    <s v="Date"/>
    <n v="48"/>
    <n v="9500"/>
    <s v="200-300"/>
    <x v="4"/>
  </r>
  <r>
    <x v="385"/>
    <x v="27"/>
    <x v="141"/>
    <x v="2"/>
    <s v="Automatic"/>
    <n v="100"/>
    <n v="40"/>
    <n v="12.5"/>
    <n v="20"/>
    <s v="Black"/>
    <x v="0"/>
    <s v="GMT, Date"/>
    <n v="70"/>
    <n v="9500"/>
    <s v="&lt;=100"/>
    <x v="4"/>
  </r>
  <r>
    <x v="386"/>
    <x v="27"/>
    <x v="144"/>
    <x v="10"/>
    <s v="Automatic"/>
    <n v="100"/>
    <n v="41"/>
    <n v="11.8"/>
    <n v="20"/>
    <s v="Blue"/>
    <x v="0"/>
    <s v="Date"/>
    <n v="70"/>
    <n v="9500"/>
    <s v="&lt;=100"/>
    <x v="4"/>
  </r>
  <r>
    <x v="387"/>
    <x v="27"/>
    <x v="141"/>
    <x v="2"/>
    <s v="Automatic"/>
    <n v="100"/>
    <n v="40"/>
    <n v="12.5"/>
    <n v="20"/>
    <s v="Black"/>
    <x v="0"/>
    <s v="Dual Time Zone"/>
    <n v="70"/>
    <n v="9500"/>
    <s v="&lt;=100"/>
    <x v="4"/>
  </r>
  <r>
    <x v="388"/>
    <x v="27"/>
    <x v="141"/>
    <x v="2"/>
    <s v="Automatic"/>
    <n v="100"/>
    <n v="40"/>
    <n v="12.1"/>
    <n v="20"/>
    <s v="Black"/>
    <x v="0"/>
    <s v="GMT, Date"/>
    <n v="70"/>
    <n v="9450"/>
    <s v="&lt;=100"/>
    <x v="4"/>
  </r>
  <r>
    <x v="389"/>
    <x v="27"/>
    <x v="141"/>
    <x v="2"/>
    <s v="Automatic"/>
    <n v="100"/>
    <n v="40"/>
    <n v="12.4"/>
    <n v="20"/>
    <s v="Black"/>
    <x v="0"/>
    <s v="GMT, Date"/>
    <n v="70"/>
    <n v="9100"/>
    <s v="&lt;=100"/>
    <x v="4"/>
  </r>
  <r>
    <x v="390"/>
    <x v="27"/>
    <x v="145"/>
    <x v="11"/>
    <s v="Automatic"/>
    <n v="100"/>
    <n v="36"/>
    <n v="12"/>
    <n v="20"/>
    <s v="Silver"/>
    <x v="0"/>
    <s v="Date"/>
    <n v="70"/>
    <n v="9000"/>
    <s v="&lt;=100"/>
    <x v="4"/>
  </r>
  <r>
    <x v="391"/>
    <x v="27"/>
    <x v="144"/>
    <x v="2"/>
    <s v="Automatic"/>
    <n v="100"/>
    <n v="41"/>
    <n v="11.2"/>
    <n v="20"/>
    <s v="Silver"/>
    <x v="0"/>
    <s v="Date"/>
    <n v="70"/>
    <n v="8900"/>
    <s v="&lt;=100"/>
    <x v="4"/>
  </r>
  <r>
    <x v="392"/>
    <x v="27"/>
    <x v="145"/>
    <x v="10"/>
    <s v="Automatic"/>
    <n v="100"/>
    <n v="36"/>
    <n v="12.5"/>
    <n v="20"/>
    <s v="Silver"/>
    <x v="0"/>
    <s v="Date"/>
    <n v="70"/>
    <n v="8900"/>
    <s v="&lt;=100"/>
    <x v="4"/>
  </r>
  <r>
    <x v="393"/>
    <x v="27"/>
    <x v="144"/>
    <x v="2"/>
    <s v="Automatic"/>
    <n v="100"/>
    <n v="41"/>
    <n v="11.8"/>
    <n v="20"/>
    <s v="Black"/>
    <x v="0"/>
    <s v="Date"/>
    <n v="70"/>
    <n v="8200"/>
    <s v="&lt;=100"/>
    <x v="4"/>
  </r>
  <r>
    <x v="394"/>
    <x v="27"/>
    <x v="145"/>
    <x v="2"/>
    <s v="Automatic"/>
    <n v="100"/>
    <n v="36"/>
    <n v="12"/>
    <n v="20"/>
    <s v="Black"/>
    <x v="0"/>
    <s v="Date"/>
    <n v="70"/>
    <n v="8100"/>
    <s v="&lt;=100"/>
    <x v="4"/>
  </r>
  <r>
    <x v="395"/>
    <x v="27"/>
    <x v="145"/>
    <x v="11"/>
    <s v="Automatic"/>
    <n v="100"/>
    <n v="36"/>
    <n v="12.5"/>
    <n v="20"/>
    <s v="Black"/>
    <x v="0"/>
    <s v="Date"/>
    <n v="70"/>
    <n v="8000"/>
    <s v="&lt;=100"/>
    <x v="4"/>
  </r>
  <r>
    <x v="396"/>
    <x v="27"/>
    <x v="145"/>
    <x v="2"/>
    <s v="Automatic"/>
    <n v="100"/>
    <n v="36"/>
    <n v="12.5"/>
    <n v="20"/>
    <s v="Silver"/>
    <x v="0"/>
    <s v="Date, Cyclops Lens"/>
    <n v="70"/>
    <n v="8000"/>
    <s v="&lt;=100"/>
    <x v="4"/>
  </r>
  <r>
    <x v="397"/>
    <x v="27"/>
    <x v="144"/>
    <x v="2"/>
    <s v="Automatic"/>
    <n v="100"/>
    <n v="41"/>
    <n v="11.7"/>
    <n v="20"/>
    <s v="White"/>
    <x v="0"/>
    <s v="Date"/>
    <n v="70"/>
    <n v="8000"/>
    <s v="&lt;=100"/>
    <x v="4"/>
  </r>
  <r>
    <x v="398"/>
    <x v="27"/>
    <x v="144"/>
    <x v="2"/>
    <s v="Automatic"/>
    <n v="100"/>
    <n v="41"/>
    <n v="11.8"/>
    <n v="21"/>
    <s v="Blue"/>
    <x v="0"/>
    <s v="Date"/>
    <n v="70"/>
    <n v="7800"/>
    <s v="&lt;=100"/>
    <x v="4"/>
  </r>
  <r>
    <x v="399"/>
    <x v="27"/>
    <x v="145"/>
    <x v="10"/>
    <s v="Automatic"/>
    <n v="100"/>
    <n v="36"/>
    <n v="12"/>
    <n v="20"/>
    <s v="Blue"/>
    <x v="0"/>
    <s v="Date"/>
    <n v="70"/>
    <n v="7650"/>
    <s v="&lt;=100"/>
    <x v="4"/>
  </r>
  <r>
    <x v="400"/>
    <x v="27"/>
    <x v="145"/>
    <x v="2"/>
    <s v="Automatic"/>
    <n v="100"/>
    <n v="36"/>
    <n v="12"/>
    <n v="20"/>
    <s v="Silver"/>
    <x v="0"/>
    <s v="Date"/>
    <n v="70"/>
    <n v="7500"/>
    <s v="&lt;=100"/>
    <x v="4"/>
  </r>
  <r>
    <x v="401"/>
    <x v="27"/>
    <x v="145"/>
    <x v="2"/>
    <s v="Automatic"/>
    <n v="100"/>
    <n v="36"/>
    <n v="12.5"/>
    <n v="20"/>
    <s v="Blue"/>
    <x v="0"/>
    <s v="Date, Cyclops"/>
    <n v="70"/>
    <n v="7400"/>
    <s v="&lt;=100"/>
    <x v="4"/>
  </r>
  <r>
    <x v="402"/>
    <x v="27"/>
    <x v="145"/>
    <x v="2"/>
    <s v="Automatic"/>
    <n v="100"/>
    <n v="36"/>
    <n v="12.5"/>
    <n v="20"/>
    <s v="Black"/>
    <x v="0"/>
    <s v="Date"/>
    <n v="70"/>
    <n v="6500"/>
    <s v="&lt;=100"/>
    <x v="4"/>
  </r>
  <r>
    <x v="403"/>
    <x v="28"/>
    <x v="146"/>
    <x v="3"/>
    <s v="Automatic"/>
    <n v="200"/>
    <n v="44.3"/>
    <n v="12.9"/>
    <n v="20"/>
    <s v="Black"/>
    <x v="0"/>
    <s v="Date"/>
    <n v="50"/>
    <n v="1400"/>
    <s v="100-200"/>
    <x v="6"/>
  </r>
  <r>
    <x v="404"/>
    <x v="28"/>
    <x v="147"/>
    <x v="12"/>
    <s v="Automatic"/>
    <n v="200"/>
    <n v="43"/>
    <n v="13.2"/>
    <n v="22"/>
    <s v="Blue"/>
    <x v="3"/>
    <s v="Date"/>
    <n v="50"/>
    <n v="1300"/>
    <s v="100-200"/>
    <x v="6"/>
  </r>
  <r>
    <x v="405"/>
    <x v="28"/>
    <x v="146"/>
    <x v="12"/>
    <s v="Automatic"/>
    <n v="200"/>
    <n v="44.3"/>
    <n v="12.7"/>
    <n v="20"/>
    <s v="Blue"/>
    <x v="0"/>
    <s v="Day/Date"/>
    <n v="41"/>
    <n v="1200"/>
    <s v="100-200"/>
    <x v="6"/>
  </r>
  <r>
    <x v="406"/>
    <x v="28"/>
    <x v="146"/>
    <x v="12"/>
    <s v="Automatic"/>
    <n v="200"/>
    <n v="44.3"/>
    <n v="13.1"/>
    <n v="22"/>
    <s v="Black"/>
    <x v="3"/>
    <s v="Date, GMT"/>
    <n v="50"/>
    <n v="1200"/>
    <s v="100-200"/>
    <x v="6"/>
  </r>
  <r>
    <x v="407"/>
    <x v="28"/>
    <x v="148"/>
    <x v="12"/>
    <s v="Automatic"/>
    <n v="200"/>
    <n v="42.3"/>
    <n v="13.4"/>
    <n v="22"/>
    <s v="Blue"/>
    <x v="3"/>
    <s v="None"/>
    <n v="50"/>
    <n v="650"/>
    <s v="100-200"/>
    <x v="5"/>
  </r>
  <r>
    <x v="408"/>
    <x v="29"/>
    <x v="149"/>
    <x v="12"/>
    <s v="Automatic"/>
    <n v="500"/>
    <n v="45"/>
    <n v="14.7"/>
    <n v="22"/>
    <s v="Black"/>
    <x v="0"/>
    <s v="None"/>
    <n v="38"/>
    <n v="3350"/>
    <s v="300-500"/>
    <x v="3"/>
  </r>
  <r>
    <x v="409"/>
    <x v="29"/>
    <x v="150"/>
    <x v="3"/>
    <s v="Automatic"/>
    <n v="1000"/>
    <n v="44"/>
    <n v="14.3"/>
    <n v="22"/>
    <s v="Black"/>
    <x v="0"/>
    <s v="None"/>
    <n v="38"/>
    <n v="2500"/>
    <s v="1000+"/>
    <x v="3"/>
  </r>
  <r>
    <x v="410"/>
    <x v="29"/>
    <x v="151"/>
    <x v="0"/>
    <s v="Automatic"/>
    <n v="200"/>
    <n v="41"/>
    <n v="11.5"/>
    <n v="20"/>
    <s v="Black"/>
    <x v="0"/>
    <s v="Date"/>
    <n v="42"/>
    <n v="1400"/>
    <s v="100-200"/>
    <x v="6"/>
  </r>
  <r>
    <x v="411"/>
    <x v="30"/>
    <x v="152"/>
    <x v="0"/>
    <s v="Automatic"/>
    <n v="100"/>
    <n v="39"/>
    <n v="14"/>
    <n v="22"/>
    <s v="Blue"/>
    <x v="0"/>
    <s v="Chronograph"/>
    <n v="42"/>
    <n v="6550"/>
    <s v="&lt;=100"/>
    <x v="4"/>
  </r>
  <r>
    <x v="412"/>
    <x v="30"/>
    <x v="152"/>
    <x v="0"/>
    <s v="Automatic"/>
    <n v="100"/>
    <n v="39"/>
    <n v="14.5"/>
    <n v="22"/>
    <s v="Blue"/>
    <x v="0"/>
    <s v="Chronograph"/>
    <n v="42"/>
    <n v="5900"/>
    <s v="&lt;=100"/>
    <x v="4"/>
  </r>
  <r>
    <x v="413"/>
    <x v="30"/>
    <x v="152"/>
    <x v="0"/>
    <s v="Automatic"/>
    <n v="100"/>
    <n v="39"/>
    <n v="14.5"/>
    <n v="22"/>
    <s v="Blue"/>
    <x v="0"/>
    <s v="Chronograph"/>
    <n v="40"/>
    <n v="5200"/>
    <s v="&lt;=100"/>
    <x v="4"/>
  </r>
  <r>
    <x v="414"/>
    <x v="30"/>
    <x v="152"/>
    <x v="0"/>
    <s v="Automatic"/>
    <n v="100"/>
    <n v="39"/>
    <n v="14"/>
    <n v="22"/>
    <s v="Blue"/>
    <x v="0"/>
    <s v="Chronograph"/>
    <n v="40"/>
    <n v="4950"/>
    <s v="&lt;=100"/>
    <x v="3"/>
  </r>
  <r>
    <x v="415"/>
    <x v="30"/>
    <x v="153"/>
    <x v="0"/>
    <s v="Automatic"/>
    <n v="100"/>
    <n v="41"/>
    <n v="13"/>
    <n v="20"/>
    <s v="White"/>
    <x v="0"/>
    <s v="Chronograph"/>
    <n v="42"/>
    <n v="4200"/>
    <s v="&lt;=100"/>
    <x v="3"/>
  </r>
  <r>
    <x v="416"/>
    <x v="30"/>
    <x v="153"/>
    <x v="0"/>
    <s v="Automatic"/>
    <n v="100"/>
    <n v="41"/>
    <n v="13"/>
    <n v="20"/>
    <s v="White"/>
    <x v="0"/>
    <s v="Chronograph"/>
    <n v="42"/>
    <n v="4200"/>
    <s v="&lt;=100"/>
    <x v="3"/>
  </r>
  <r>
    <x v="417"/>
    <x v="30"/>
    <x v="154"/>
    <x v="2"/>
    <s v="Automatic"/>
    <n v="300"/>
    <n v="43"/>
    <n v="13"/>
    <n v="21"/>
    <s v="Blue"/>
    <x v="0"/>
    <s v="Date"/>
    <n v="38"/>
    <n v="3700"/>
    <s v="200-300"/>
    <x v="3"/>
  </r>
  <r>
    <x v="418"/>
    <x v="30"/>
    <x v="154"/>
    <x v="2"/>
    <s v="Automatic"/>
    <n v="300"/>
    <n v="43"/>
    <n v="12.5"/>
    <n v="21"/>
    <s v="Black"/>
    <x v="0"/>
    <s v="Date"/>
    <n v="38"/>
    <n v="3100"/>
    <s v="200-300"/>
    <x v="3"/>
  </r>
  <r>
    <x v="419"/>
    <x v="30"/>
    <x v="155"/>
    <x v="2"/>
    <s v="Automatic"/>
    <n v="300"/>
    <n v="41"/>
    <n v="12"/>
    <n v="20"/>
    <s v="Blue"/>
    <x v="0"/>
    <s v="Date"/>
    <n v="38"/>
    <n v="2800"/>
    <s v="200-300"/>
    <x v="3"/>
  </r>
  <r>
    <x v="420"/>
    <x v="30"/>
    <x v="155"/>
    <x v="2"/>
    <s v="Automatic"/>
    <n v="300"/>
    <n v="41"/>
    <n v="12.5"/>
    <n v="20"/>
    <s v="Black"/>
    <x v="0"/>
    <s v="Date"/>
    <n v="38"/>
    <n v="2700"/>
    <s v="200-300"/>
    <x v="3"/>
  </r>
  <r>
    <x v="421"/>
    <x v="30"/>
    <x v="154"/>
    <x v="2"/>
    <s v="Quartz"/>
    <n v="300"/>
    <n v="43"/>
    <n v="10.8"/>
    <n v="21"/>
    <s v="Blue"/>
    <x v="0"/>
    <s v="Date"/>
    <s v="N/A"/>
    <n v="2600"/>
    <s v="200-300"/>
    <x v="3"/>
  </r>
  <r>
    <x v="422"/>
    <x v="30"/>
    <x v="154"/>
    <x v="2"/>
    <s v="Quartz"/>
    <n v="300"/>
    <n v="43"/>
    <n v="10.8"/>
    <n v="20"/>
    <s v="Blue"/>
    <x v="0"/>
    <s v="None"/>
    <s v="N/A"/>
    <n v="1800"/>
    <s v="200-300"/>
    <x v="6"/>
  </r>
  <r>
    <x v="423"/>
    <x v="30"/>
    <x v="156"/>
    <x v="2"/>
    <s v="Quartz"/>
    <n v="300"/>
    <n v="32"/>
    <n v="9.5"/>
    <n v="15"/>
    <s v="Blue"/>
    <x v="0"/>
    <s v="None"/>
    <s v="N/A"/>
    <n v="1700"/>
    <s v="200-300"/>
    <x v="6"/>
  </r>
  <r>
    <x v="424"/>
    <x v="31"/>
    <x v="157"/>
    <x v="0"/>
    <s v="Automatic"/>
    <n v="30"/>
    <n v="39.299999999999997"/>
    <n v="9.75"/>
    <n v="19"/>
    <s v="White"/>
    <x v="0"/>
    <s v="Date"/>
    <n v="38"/>
    <n v="650"/>
    <s v="&lt;=100"/>
    <x v="5"/>
  </r>
  <r>
    <x v="425"/>
    <x v="31"/>
    <x v="157"/>
    <x v="0"/>
    <s v="Automatic"/>
    <n v="30"/>
    <n v="39.299999999999997"/>
    <n v="9.75"/>
    <n v="20"/>
    <s v="Silver"/>
    <x v="0"/>
    <s v="Date"/>
    <n v="38"/>
    <n v="650"/>
    <s v="&lt;=100"/>
    <x v="5"/>
  </r>
  <r>
    <x v="426"/>
    <x v="32"/>
    <x v="158"/>
    <x v="5"/>
    <s v="Automatic"/>
    <n v="200"/>
    <n v="41"/>
    <n v="12.7"/>
    <n v="22"/>
    <s v="Black"/>
    <x v="0"/>
    <s v="None"/>
    <n v="70"/>
    <n v="4500"/>
    <s v="100-200"/>
    <x v="3"/>
  </r>
  <r>
    <x v="427"/>
    <x v="32"/>
    <x v="159"/>
    <x v="2"/>
    <s v="Automatic"/>
    <n v="200"/>
    <n v="41"/>
    <n v="14.5"/>
    <n v="22"/>
    <s v="Black"/>
    <x v="0"/>
    <s v="GMT"/>
    <n v="70"/>
    <n v="4500"/>
    <s v="100-200"/>
    <x v="3"/>
  </r>
  <r>
    <x v="428"/>
    <x v="32"/>
    <x v="158"/>
    <x v="5"/>
    <s v="Automatic"/>
    <n v="200"/>
    <n v="41"/>
    <n v="11.9"/>
    <n v="22"/>
    <s v="Black"/>
    <x v="0"/>
    <s v="Date"/>
    <n v="70"/>
    <n v="4100"/>
    <s v="100-200"/>
    <x v="3"/>
  </r>
  <r>
    <x v="429"/>
    <x v="32"/>
    <x v="159"/>
    <x v="2"/>
    <s v="Automatic"/>
    <n v="200"/>
    <n v="41"/>
    <n v="14.5"/>
    <n v="22"/>
    <s v="Black"/>
    <x v="0"/>
    <s v="GMT"/>
    <n v="70"/>
    <n v="4000"/>
    <s v="100-200"/>
    <x v="3"/>
  </r>
  <r>
    <x v="430"/>
    <x v="32"/>
    <x v="158"/>
    <x v="0"/>
    <s v="Automatic"/>
    <n v="200"/>
    <n v="41"/>
    <n v="12.7"/>
    <n v="22"/>
    <s v="Black"/>
    <x v="0"/>
    <s v="Date"/>
    <n v="70"/>
    <n v="3900"/>
    <s v="100-200"/>
    <x v="3"/>
  </r>
  <r>
    <x v="431"/>
    <x v="32"/>
    <x v="158"/>
    <x v="0"/>
    <s v="Automatic"/>
    <n v="200"/>
    <n v="41"/>
    <n v="12.7"/>
    <n v="22"/>
    <s v="Black"/>
    <x v="0"/>
    <s v="Date"/>
    <n v="70"/>
    <n v="3800"/>
    <s v="100-200"/>
    <x v="3"/>
  </r>
  <r>
    <x v="432"/>
    <x v="32"/>
    <x v="158"/>
    <x v="0"/>
    <s v="Automatic"/>
    <n v="200"/>
    <n v="41"/>
    <n v="14.75"/>
    <n v="22"/>
    <s v="Black"/>
    <x v="0"/>
    <s v="None"/>
    <n v="70"/>
    <n v="3800"/>
    <s v="100-200"/>
    <x v="3"/>
  </r>
  <r>
    <x v="433"/>
    <x v="32"/>
    <x v="158"/>
    <x v="0"/>
    <s v="Automatic"/>
    <n v="200"/>
    <n v="41"/>
    <n v="12.7"/>
    <n v="22"/>
    <s v="Black"/>
    <x v="0"/>
    <s v="Date"/>
    <n v="70"/>
    <n v="3800"/>
    <s v="100-200"/>
    <x v="3"/>
  </r>
  <r>
    <x v="434"/>
    <x v="32"/>
    <x v="158"/>
    <x v="0"/>
    <s v="Automatic"/>
    <n v="200"/>
    <n v="41"/>
    <n v="14.75"/>
    <n v="22"/>
    <s v="Black"/>
    <x v="0"/>
    <s v="None"/>
    <n v="70"/>
    <n v="3800"/>
    <s v="100-200"/>
    <x v="3"/>
  </r>
  <r>
    <x v="435"/>
    <x v="32"/>
    <x v="158"/>
    <x v="0"/>
    <s v="Automatic"/>
    <n v="200"/>
    <n v="41"/>
    <n v="12.7"/>
    <n v="22"/>
    <s v="Black"/>
    <x v="0"/>
    <s v="Date"/>
    <n v="70"/>
    <n v="3600"/>
    <s v="100-200"/>
    <x v="3"/>
  </r>
  <r>
    <x v="436"/>
    <x v="32"/>
    <x v="158"/>
    <x v="0"/>
    <s v="Automatic"/>
    <n v="200"/>
    <n v="41"/>
    <n v="11.9"/>
    <n v="22"/>
    <s v="Black"/>
    <x v="0"/>
    <s v="None"/>
    <n v="70"/>
    <n v="3500"/>
    <s v="100-200"/>
    <x v="3"/>
  </r>
  <r>
    <x v="437"/>
    <x v="32"/>
    <x v="158"/>
    <x v="0"/>
    <s v="Automatic"/>
    <n v="200"/>
    <n v="41"/>
    <n v="12.75"/>
    <n v="22"/>
    <s v="Black"/>
    <x v="0"/>
    <s v="Date"/>
    <n v="70"/>
    <n v="3500"/>
    <s v="100-200"/>
    <x v="3"/>
  </r>
  <r>
    <x v="438"/>
    <x v="32"/>
    <x v="158"/>
    <x v="0"/>
    <s v="Automatic"/>
    <n v="200"/>
    <n v="41"/>
    <n v="12.7"/>
    <n v="22"/>
    <s v="Black"/>
    <x v="0"/>
    <s v="None"/>
    <n v="70"/>
    <n v="3500"/>
    <s v="100-200"/>
    <x v="3"/>
  </r>
  <r>
    <x v="439"/>
    <x v="32"/>
    <x v="158"/>
    <x v="6"/>
    <s v="Automatic"/>
    <n v="200"/>
    <n v="41"/>
    <n v="11.9"/>
    <n v="22"/>
    <s v="Black"/>
    <x v="0"/>
    <s v="None"/>
    <n v="70"/>
    <n v="3500"/>
    <s v="100-200"/>
    <x v="3"/>
  </r>
  <r>
    <x v="440"/>
    <x v="33"/>
    <x v="160"/>
    <x v="3"/>
    <s v="Automatic"/>
    <n v="100"/>
    <n v="44"/>
    <n v="12.5"/>
    <n v="22"/>
    <s v="Blue"/>
    <x v="0"/>
    <s v="Date"/>
    <n v="60"/>
    <n v="9500"/>
    <s v="&lt;=100"/>
    <x v="4"/>
  </r>
  <r>
    <x v="441"/>
    <x v="33"/>
    <x v="160"/>
    <x v="3"/>
    <s v="Automatic"/>
    <n v="300"/>
    <n v="44"/>
    <n v="12.5"/>
    <n v="22"/>
    <s v="Black"/>
    <x v="0"/>
    <s v="Date"/>
    <n v="60"/>
    <n v="9500"/>
    <s v="200-300"/>
    <x v="4"/>
  </r>
  <r>
    <x v="442"/>
    <x v="33"/>
    <x v="161"/>
    <x v="3"/>
    <s v="Automatic"/>
    <n v="300"/>
    <n v="44"/>
    <n v="14.5"/>
    <n v="22"/>
    <s v="Blue"/>
    <x v="0"/>
    <s v="Date"/>
    <n v="60"/>
    <n v="9500"/>
    <s v="200-300"/>
    <x v="4"/>
  </r>
  <r>
    <x v="443"/>
    <x v="33"/>
    <x v="162"/>
    <x v="3"/>
    <s v="Automatic"/>
    <n v="100"/>
    <n v="42.2"/>
    <n v="12.6"/>
    <n v="22"/>
    <s v="Blue"/>
    <x v="0"/>
    <s v="Date"/>
    <n v="60"/>
    <n v="8900"/>
    <s v="&lt;=100"/>
    <x v="4"/>
  </r>
  <r>
    <x v="444"/>
    <x v="33"/>
    <x v="163"/>
    <x v="3"/>
    <s v="Automatic"/>
    <n v="100"/>
    <n v="42"/>
    <n v="12.8"/>
    <n v="22"/>
    <s v="Blue"/>
    <x v="0"/>
    <s v="Date"/>
    <n v="60"/>
    <n v="8500"/>
    <s v="&lt;=100"/>
    <x v="4"/>
  </r>
  <r>
    <x v="445"/>
    <x v="33"/>
    <x v="162"/>
    <x v="0"/>
    <s v="Automatic"/>
    <n v="100"/>
    <n v="42.2"/>
    <n v="14.2"/>
    <n v="22"/>
    <s v="Blue"/>
    <x v="0"/>
    <s v="Date"/>
    <n v="60"/>
    <n v="8400"/>
    <s v="&lt;=100"/>
    <x v="4"/>
  </r>
  <r>
    <x v="446"/>
    <x v="33"/>
    <x v="164"/>
    <x v="0"/>
    <s v="Automatic"/>
    <n v="50"/>
    <n v="42"/>
    <n v="11.15"/>
    <n v="20"/>
    <s v="Blue"/>
    <x v="0"/>
    <s v="Date"/>
    <n v="60"/>
    <n v="7900"/>
    <s v="&lt;=100"/>
    <x v="4"/>
  </r>
  <r>
    <x v="447"/>
    <x v="33"/>
    <x v="160"/>
    <x v="3"/>
    <s v="Automatic"/>
    <n v="100"/>
    <n v="44"/>
    <n v="14.4"/>
    <n v="22"/>
    <s v="Blue"/>
    <x v="0"/>
    <s v="Date, Power Reserve"/>
    <n v="60"/>
    <n v="7500"/>
    <s v="&lt;=100"/>
    <x v="4"/>
  </r>
  <r>
    <x v="448"/>
    <x v="33"/>
    <x v="162"/>
    <x v="0"/>
    <s v="Automatic"/>
    <n v="100"/>
    <n v="42.2"/>
    <n v="12.6"/>
    <n v="20"/>
    <s v="Blue"/>
    <x v="0"/>
    <s v="Date"/>
    <n v="60"/>
    <n v="7500"/>
    <s v="&lt;=100"/>
    <x v="4"/>
  </r>
  <r>
    <x v="449"/>
    <x v="33"/>
    <x v="165"/>
    <x v="3"/>
    <s v="Automatic"/>
    <n v="100"/>
    <n v="43"/>
    <n v="12.6"/>
    <n v="22"/>
    <s v="Blue"/>
    <x v="0"/>
    <s v="Date"/>
    <n v="60"/>
    <n v="7000"/>
    <s v="&lt;=100"/>
    <x v="4"/>
  </r>
  <r>
    <x v="450"/>
    <x v="34"/>
    <x v="166"/>
    <x v="0"/>
    <s v="Manual"/>
    <n v="30"/>
    <n v="40"/>
    <n v="6.79"/>
    <n v="20"/>
    <s v="Silver"/>
    <x v="0"/>
    <s v="None"/>
    <n v="65"/>
    <n v="28000"/>
    <s v="&lt;=100"/>
    <x v="0"/>
  </r>
  <r>
    <x v="451"/>
    <x v="34"/>
    <x v="167"/>
    <x v="2"/>
    <s v="Automatic"/>
    <n v="150"/>
    <n v="41"/>
    <n v="11"/>
    <n v="22"/>
    <s v="Blue"/>
    <x v="0"/>
    <s v="Date, World Time"/>
    <n v="60"/>
    <n v="23000"/>
    <s v="100-200"/>
    <x v="0"/>
  </r>
  <r>
    <x v="452"/>
    <x v="34"/>
    <x v="168"/>
    <x v="0"/>
    <s v="Manual"/>
    <n v="30"/>
    <n v="42"/>
    <n v="7.65"/>
    <n v="20"/>
    <s v="Silver"/>
    <x v="0"/>
    <s v="None"/>
    <n v="65"/>
    <n v="22500"/>
    <s v="&lt;=100"/>
    <x v="0"/>
  </r>
  <r>
    <x v="453"/>
    <x v="34"/>
    <x v="167"/>
    <x v="3"/>
    <s v="Automatic"/>
    <n v="150"/>
    <n v="41"/>
    <n v="11"/>
    <n v="21"/>
    <s v="Blue"/>
    <x v="0"/>
    <s v="Date"/>
    <n v="60"/>
    <n v="22000"/>
    <s v="100-200"/>
    <x v="0"/>
  </r>
  <r>
    <x v="454"/>
    <x v="34"/>
    <x v="167"/>
    <x v="2"/>
    <s v="Automatic"/>
    <n v="150"/>
    <n v="41"/>
    <n v="11"/>
    <n v="20"/>
    <s v="Silver"/>
    <x v="0"/>
    <s v="Date"/>
    <n v="60"/>
    <n v="21500"/>
    <s v="100-200"/>
    <x v="0"/>
  </r>
  <r>
    <x v="455"/>
    <x v="34"/>
    <x v="167"/>
    <x v="2"/>
    <s v="Automatic"/>
    <n v="150"/>
    <n v="41"/>
    <n v="11"/>
    <n v="22"/>
    <s v="Silver"/>
    <x v="0"/>
    <s v="Date"/>
    <n v="60"/>
    <n v="21500"/>
    <s v="100-200"/>
    <x v="0"/>
  </r>
  <r>
    <x v="456"/>
    <x v="34"/>
    <x v="167"/>
    <x v="2"/>
    <s v="Automatic"/>
    <n v="150"/>
    <n v="41"/>
    <n v="11"/>
    <n v="22"/>
    <s v="Blue"/>
    <x v="0"/>
    <s v="Date, Power Reserve"/>
    <n v="40"/>
    <n v="21000"/>
    <s v="100-200"/>
    <x v="0"/>
  </r>
  <r>
    <x v="457"/>
    <x v="34"/>
    <x v="169"/>
    <x v="2"/>
    <s v="Automatic"/>
    <n v="150"/>
    <n v="41.5"/>
    <n v="11"/>
    <n v="22"/>
    <s v="Blue"/>
    <x v="0"/>
    <s v="Date"/>
    <n v="60"/>
    <n v="21000"/>
    <s v="100-200"/>
    <x v="0"/>
  </r>
  <r>
    <x v="458"/>
    <x v="34"/>
    <x v="167"/>
    <x v="2"/>
    <s v="Automatic"/>
    <n v="150"/>
    <n v="41"/>
    <n v="11"/>
    <n v="20"/>
    <s v="Black"/>
    <x v="0"/>
    <s v="Date, World Time"/>
    <n v="60"/>
    <n v="20200"/>
    <s v="100-200"/>
    <x v="0"/>
  </r>
  <r>
    <x v="459"/>
    <x v="34"/>
    <x v="169"/>
    <x v="2"/>
    <s v="Automatic"/>
    <n v="150"/>
    <n v="41.5"/>
    <n v="11"/>
    <n v="22"/>
    <s v="Silver"/>
    <x v="0"/>
    <s v="Date"/>
    <n v="60"/>
    <n v="20000"/>
    <s v="100-200"/>
    <x v="1"/>
  </r>
  <r>
    <x v="460"/>
    <x v="34"/>
    <x v="170"/>
    <x v="3"/>
    <s v="Automatic"/>
    <n v="150"/>
    <n v="42.5"/>
    <n v="13.7"/>
    <n v="22"/>
    <s v="Blue"/>
    <x v="0"/>
    <s v="Date"/>
    <n v="40"/>
    <n v="20000"/>
    <s v="100-200"/>
    <x v="1"/>
  </r>
  <r>
    <x v="461"/>
    <x v="34"/>
    <x v="167"/>
    <x v="3"/>
    <s v="Automatic"/>
    <n v="150"/>
    <n v="41"/>
    <n v="11"/>
    <n v="22"/>
    <s v="Blue"/>
    <x v="0"/>
    <s v="Date"/>
    <n v="40"/>
    <n v="19800"/>
    <s v="100-200"/>
    <x v="1"/>
  </r>
  <r>
    <x v="462"/>
    <x v="34"/>
    <x v="169"/>
    <x v="3"/>
    <s v="Automatic"/>
    <n v="150"/>
    <n v="41.5"/>
    <n v="11"/>
    <n v="21"/>
    <s v="Silver"/>
    <x v="0"/>
    <s v="Date"/>
    <n v="40"/>
    <n v="19500"/>
    <s v="100-200"/>
    <x v="1"/>
  </r>
  <r>
    <x v="463"/>
    <x v="34"/>
    <x v="167"/>
    <x v="2"/>
    <s v="Automatic"/>
    <n v="150"/>
    <n v="41"/>
    <n v="11"/>
    <n v="20"/>
    <s v="Black"/>
    <x v="0"/>
    <s v="Date"/>
    <n v="60"/>
    <n v="19200"/>
    <s v="100-200"/>
    <x v="1"/>
  </r>
  <r>
    <x v="464"/>
    <x v="34"/>
    <x v="167"/>
    <x v="3"/>
    <s v="Automatic"/>
    <n v="150"/>
    <n v="41"/>
    <n v="11"/>
    <n v="22"/>
    <s v="Blue"/>
    <x v="0"/>
    <s v="Date"/>
    <n v="40"/>
    <n v="19000"/>
    <s v="100-200"/>
    <x v="1"/>
  </r>
  <r>
    <x v="465"/>
    <x v="34"/>
    <x v="169"/>
    <x v="2"/>
    <s v="Automatic"/>
    <n v="150"/>
    <n v="41.5"/>
    <n v="11"/>
    <n v="22"/>
    <s v="Blue"/>
    <x v="0"/>
    <s v="Date"/>
    <n v="40"/>
    <n v="19000"/>
    <s v="100-200"/>
    <x v="1"/>
  </r>
  <r>
    <x v="466"/>
    <x v="34"/>
    <x v="169"/>
    <x v="3"/>
    <s v="Automatic"/>
    <n v="150"/>
    <n v="41.5"/>
    <n v="11"/>
    <n v="22"/>
    <s v="Blue"/>
    <x v="0"/>
    <s v="Date"/>
    <n v="40"/>
    <n v="18900"/>
    <s v="100-200"/>
    <x v="1"/>
  </r>
  <r>
    <x v="467"/>
    <x v="34"/>
    <x v="171"/>
    <x v="0"/>
    <s v="Manual"/>
    <n v="30"/>
    <n v="40"/>
    <n v="6.79"/>
    <n v="20"/>
    <s v="Silver"/>
    <x v="0"/>
    <s v="None"/>
    <n v="65"/>
    <n v="18500"/>
    <s v="&lt;=100"/>
    <x v="1"/>
  </r>
  <r>
    <x v="468"/>
    <x v="34"/>
    <x v="167"/>
    <x v="2"/>
    <s v="Automatic"/>
    <n v="50"/>
    <n v="41"/>
    <n v="11"/>
    <n v="22"/>
    <s v="Blue"/>
    <x v="0"/>
    <s v="Date"/>
    <n v="40"/>
    <n v="18000"/>
    <s v="&lt;=100"/>
    <x v="1"/>
  </r>
  <r>
    <x v="469"/>
    <x v="34"/>
    <x v="167"/>
    <x v="3"/>
    <s v="Automatic"/>
    <n v="150"/>
    <n v="41"/>
    <n v="11"/>
    <n v="21"/>
    <s v="Blue"/>
    <x v="0"/>
    <s v="Date"/>
    <n v="60"/>
    <n v="17500"/>
    <s v="100-200"/>
    <x v="1"/>
  </r>
  <r>
    <x v="470"/>
    <x v="34"/>
    <x v="167"/>
    <x v="2"/>
    <s v="Automatic"/>
    <n v="150"/>
    <n v="41"/>
    <n v="11"/>
    <n v="22"/>
    <s v="Blue"/>
    <x v="0"/>
    <s v="Date"/>
    <n v="60"/>
    <n v="16300"/>
    <s v="100-200"/>
    <x v="1"/>
  </r>
  <r>
    <x v="471"/>
    <x v="34"/>
    <x v="167"/>
    <x v="2"/>
    <s v="Automatic"/>
    <n v="50"/>
    <n v="41"/>
    <n v="11"/>
    <n v="20"/>
    <s v="Blue"/>
    <x v="0"/>
    <s v="Date, Second Time Zone"/>
    <n v="60"/>
    <n v="15500"/>
    <s v="&lt;=100"/>
    <x v="1"/>
  </r>
  <r>
    <x v="472"/>
    <x v="34"/>
    <x v="167"/>
    <x v="2"/>
    <s v="Automatic"/>
    <n v="150"/>
    <n v="41"/>
    <n v="11"/>
    <n v="22"/>
    <s v="Blue"/>
    <x v="0"/>
    <s v="Date"/>
    <n v="60"/>
    <n v="15000"/>
    <s v="100-200"/>
    <x v="1"/>
  </r>
  <r>
    <x v="473"/>
    <x v="34"/>
    <x v="172"/>
    <x v="0"/>
    <s v="Automatic"/>
    <n v="30"/>
    <n v="40"/>
    <n v="6.79"/>
    <n v="20"/>
    <s v="White"/>
    <x v="0"/>
    <s v="None"/>
    <n v="40"/>
    <n v="15000"/>
    <s v="&lt;=100"/>
    <x v="1"/>
  </r>
  <r>
    <x v="474"/>
    <x v="34"/>
    <x v="167"/>
    <x v="3"/>
    <s v="Automatic"/>
    <n v="150"/>
    <n v="41"/>
    <n v="11"/>
    <n v="22"/>
    <s v="Blue"/>
    <x v="0"/>
    <s v="Date"/>
    <n v="40"/>
    <n v="12000"/>
    <s v="100-200"/>
    <x v="1"/>
  </r>
  <r>
    <x v="475"/>
    <x v="35"/>
    <x v="173"/>
    <x v="3"/>
    <s v="Automatic"/>
    <n v="100"/>
    <n v="41"/>
    <n v="10.75"/>
    <n v="22"/>
    <s v="Blue"/>
    <x v="0"/>
    <s v="Chronograph"/>
    <n v="50"/>
    <n v="9500"/>
    <s v="&lt;=100"/>
    <x v="4"/>
  </r>
  <r>
    <x v="476"/>
    <x v="35"/>
    <x v="174"/>
    <x v="0"/>
    <s v="Automatic"/>
    <n v="100"/>
    <n v="42"/>
    <n v="13.1"/>
    <n v="22"/>
    <s v="Silver"/>
    <x v="0"/>
    <s v="Chronograph"/>
    <n v="50"/>
    <n v="9400"/>
    <s v="&lt;=100"/>
    <x v="4"/>
  </r>
  <r>
    <x v="477"/>
    <x v="35"/>
    <x v="175"/>
    <x v="0"/>
    <s v="Automatic"/>
    <n v="100"/>
    <n v="42"/>
    <n v="12.75"/>
    <n v="20"/>
    <s v="White"/>
    <x v="0"/>
    <s v="Chronograph, Date"/>
    <n v="50"/>
    <n v="7900"/>
    <s v="&lt;=100"/>
    <x v="4"/>
  </r>
  <r>
    <x v="478"/>
    <x v="35"/>
    <x v="176"/>
    <x v="0"/>
    <s v="Automatic"/>
    <n v="100"/>
    <n v="38"/>
    <n v="12.15"/>
    <n v="19"/>
    <s v="Silver"/>
    <x v="0"/>
    <s v="Chronograph"/>
    <n v="50"/>
    <n v="7500"/>
    <s v="&lt;=100"/>
    <x v="4"/>
  </r>
  <r>
    <x v="479"/>
    <x v="35"/>
    <x v="177"/>
    <x v="0"/>
    <s v="Automatic"/>
    <n v="50"/>
    <n v="38"/>
    <n v="12.6"/>
    <n v="20"/>
    <s v="Silver"/>
    <x v="0"/>
    <s v="Chronograph"/>
    <n v="50"/>
    <n v="7500"/>
    <s v="&lt;=100"/>
    <x v="4"/>
  </r>
  <r>
    <x v="480"/>
    <x v="35"/>
    <x v="175"/>
    <x v="0"/>
    <s v="Automatic"/>
    <n v="100"/>
    <n v="42"/>
    <n v="12.75"/>
    <n v="20"/>
    <s v="Black"/>
    <x v="0"/>
    <s v="Chronograph"/>
    <n v="50"/>
    <n v="7500"/>
    <s v="&lt;=100"/>
    <x v="4"/>
  </r>
  <r>
    <x v="481"/>
    <x v="35"/>
    <x v="175"/>
    <x v="0"/>
    <s v="Automatic"/>
    <n v="100"/>
    <n v="42"/>
    <n v="12.75"/>
    <n v="20"/>
    <s v="White"/>
    <x v="0"/>
    <s v="Date, Chronograph, Moon Phase"/>
    <n v="50"/>
    <n v="7500"/>
    <s v="&lt;=100"/>
    <x v="4"/>
  </r>
  <r>
    <x v="482"/>
    <x v="35"/>
    <x v="175"/>
    <x v="0"/>
    <s v="Automatic"/>
    <n v="100"/>
    <n v="42"/>
    <n v="12.75"/>
    <n v="22"/>
    <s v="Silver"/>
    <x v="0"/>
    <s v="Chronograph"/>
    <n v="50"/>
    <n v="7500"/>
    <s v="&lt;=100"/>
    <x v="4"/>
  </r>
  <r>
    <x v="483"/>
    <x v="35"/>
    <x v="174"/>
    <x v="0"/>
    <s v="Automatic"/>
    <n v="50"/>
    <n v="42"/>
    <n v="14.05"/>
    <n v="22"/>
    <s v="Silver"/>
    <x v="0"/>
    <s v="Chronograph"/>
    <n v="50"/>
    <n v="7400"/>
    <s v="&lt;=100"/>
    <x v="4"/>
  </r>
  <r>
    <x v="484"/>
    <x v="35"/>
    <x v="175"/>
    <x v="2"/>
    <s v="Automatic"/>
    <n v="100"/>
    <n v="42"/>
    <n v="12.75"/>
    <n v="20"/>
    <s v="Blue"/>
    <x v="0"/>
    <s v="Chronograph"/>
    <n v="50"/>
    <n v="7000"/>
    <s v="&lt;=100"/>
    <x v="4"/>
  </r>
  <r>
    <x v="485"/>
    <x v="35"/>
    <x v="176"/>
    <x v="0"/>
    <s v="Automatic"/>
    <n v="100"/>
    <n v="38"/>
    <n v="12.5"/>
    <n v="20"/>
    <s v="Silver"/>
    <x v="0"/>
    <s v="Chronograph"/>
    <n v="50"/>
    <n v="7000"/>
    <s v="&lt;=100"/>
    <x v="4"/>
  </r>
  <r>
    <x v="486"/>
    <x v="35"/>
    <x v="174"/>
    <x v="0"/>
    <s v="Automatic"/>
    <n v="50"/>
    <n v="42"/>
    <n v="14.05"/>
    <n v="22"/>
    <s v="Silver"/>
    <x v="0"/>
    <s v="Chronograph, Date"/>
    <n v="50"/>
    <n v="6900"/>
    <s v="&lt;=100"/>
    <x v="4"/>
  </r>
  <r>
    <x v="487"/>
    <x v="35"/>
    <x v="176"/>
    <x v="0"/>
    <s v="Automatic"/>
    <n v="100"/>
    <n v="38"/>
    <n v="12.45"/>
    <n v="19"/>
    <s v="White"/>
    <x v="0"/>
    <s v="Chronograph"/>
    <n v="50"/>
    <n v="6900"/>
    <s v="&lt;=100"/>
    <x v="4"/>
  </r>
  <r>
    <x v="488"/>
    <x v="35"/>
    <x v="175"/>
    <x v="2"/>
    <s v="Automatic"/>
    <n v="100"/>
    <n v="42"/>
    <n v="12.75"/>
    <n v="20"/>
    <s v="Blue"/>
    <x v="0"/>
    <s v="Chronograph"/>
    <n v="50"/>
    <n v="6900"/>
    <s v="&lt;=100"/>
    <x v="4"/>
  </r>
  <r>
    <x v="489"/>
    <x v="35"/>
    <x v="175"/>
    <x v="8"/>
    <s v="Automatic"/>
    <n v="100"/>
    <n v="42"/>
    <n v="12.75"/>
    <n v="20"/>
    <s v="Silver"/>
    <x v="0"/>
    <s v="Chronograph"/>
    <n v="50"/>
    <n v="6500"/>
    <s v="&lt;=100"/>
    <x v="4"/>
  </r>
  <r>
    <x v="490"/>
    <x v="35"/>
    <x v="175"/>
    <x v="0"/>
    <s v="Automatic"/>
    <n v="100"/>
    <n v="42"/>
    <n v="12.75"/>
    <n v="22"/>
    <s v="Black"/>
    <x v="0"/>
    <s v="Chronograph"/>
    <n v="50"/>
    <n v="6500"/>
    <s v="&lt;=100"/>
    <x v="4"/>
  </r>
  <r>
    <x v="491"/>
    <x v="35"/>
    <x v="175"/>
    <x v="0"/>
    <s v="Automatic"/>
    <n v="100"/>
    <n v="42"/>
    <n v="12.75"/>
    <n v="20"/>
    <s v="Black"/>
    <x v="0"/>
    <s v="Chronograph"/>
    <n v="50"/>
    <n v="6500"/>
    <s v="&lt;=100"/>
    <x v="4"/>
  </r>
  <r>
    <x v="492"/>
    <x v="35"/>
    <x v="175"/>
    <x v="0"/>
    <s v="Automatic"/>
    <n v="100"/>
    <n v="42"/>
    <n v="12.75"/>
    <n v="20"/>
    <s v="Black"/>
    <x v="0"/>
    <s v="Chronograph"/>
    <n v="50"/>
    <n v="6500"/>
    <s v="&lt;=100"/>
    <x v="4"/>
  </r>
  <r>
    <x v="493"/>
    <x v="35"/>
    <x v="174"/>
    <x v="0"/>
    <s v="Automatic"/>
    <n v="50"/>
    <n v="42"/>
    <n v="13.5"/>
    <n v="22"/>
    <s v="Blue"/>
    <x v="0"/>
    <s v="Chronograph"/>
    <n v="50"/>
    <n v="6500"/>
    <s v="&lt;=100"/>
    <x v="4"/>
  </r>
  <r>
    <x v="494"/>
    <x v="35"/>
    <x v="176"/>
    <x v="0"/>
    <s v="Automatic"/>
    <n v="100"/>
    <n v="38"/>
    <n v="12.45"/>
    <n v="20"/>
    <s v="Silver"/>
    <x v="0"/>
    <s v="Chronograph"/>
    <n v="50"/>
    <n v="6200"/>
    <s v="&lt;=100"/>
    <x v="4"/>
  </r>
  <r>
    <x v="495"/>
    <x v="35"/>
    <x v="175"/>
    <x v="0"/>
    <s v="Automatic"/>
    <n v="100"/>
    <n v="42"/>
    <n v="12.75"/>
    <n v="20"/>
    <s v="Silver"/>
    <x v="0"/>
    <s v="Chronograph"/>
    <n v="50"/>
    <n v="6000"/>
    <s v="&lt;=100"/>
    <x v="4"/>
  </r>
  <r>
    <x v="496"/>
    <x v="35"/>
    <x v="176"/>
    <x v="0"/>
    <s v="Automatic"/>
    <n v="100"/>
    <n v="38"/>
    <n v="12.4"/>
    <n v="19"/>
    <s v="White"/>
    <x v="0"/>
    <s v="Chronograph"/>
    <n v="50"/>
    <n v="6000"/>
    <s v="&lt;=100"/>
    <x v="4"/>
  </r>
  <r>
    <x v="497"/>
    <x v="35"/>
    <x v="174"/>
    <x v="0"/>
    <s v="Automatic"/>
    <n v="100"/>
    <n v="42"/>
    <n v="14.05"/>
    <n v="20"/>
    <s v="Silver"/>
    <x v="0"/>
    <s v="Date, Chronograph"/>
    <n v="50"/>
    <n v="6000"/>
    <s v="&lt;=100"/>
    <x v="4"/>
  </r>
  <r>
    <x v="498"/>
    <x v="35"/>
    <x v="178"/>
    <x v="0"/>
    <s v="Automatic"/>
    <n v="100"/>
    <n v="38"/>
    <n v="12.45"/>
    <n v="20"/>
    <s v="Silver"/>
    <x v="0"/>
    <s v="Chronograph"/>
    <n v="50"/>
    <n v="6000"/>
    <s v="&lt;=100"/>
    <x v="4"/>
  </r>
  <r>
    <x v="499"/>
    <x v="35"/>
    <x v="176"/>
    <x v="0"/>
    <s v="Automatic"/>
    <n v="100"/>
    <n v="38"/>
    <n v="12.45"/>
    <n v="20"/>
    <s v="White"/>
    <x v="0"/>
    <s v="Date, Chronograph"/>
    <n v="50"/>
    <n v="5600"/>
    <s v="&lt;=100"/>
    <x v="4"/>
  </r>
  <r>
    <x v="500"/>
    <x v="35"/>
    <x v="176"/>
    <x v="0"/>
    <s v="Automatic"/>
    <n v="100"/>
    <n v="38"/>
    <n v="12.75"/>
    <n v="20"/>
    <s v="White"/>
    <x v="0"/>
    <s v="Chronograph"/>
    <n v="50"/>
    <n v="5500"/>
    <s v="&lt;=100"/>
    <x v="4"/>
  </r>
  <r>
    <x v="501"/>
    <x v="35"/>
    <x v="179"/>
    <x v="0"/>
    <s v="Automatic"/>
    <n v="50"/>
    <n v="40.5"/>
    <n v="8.15"/>
    <n v="22"/>
    <s v="White"/>
    <x v="0"/>
    <s v="Date"/>
    <n v="50"/>
    <n v="5500"/>
    <s v="&lt;=100"/>
    <x v="4"/>
  </r>
  <r>
    <x v="502"/>
    <x v="35"/>
    <x v="175"/>
    <x v="0"/>
    <s v="Automatic"/>
    <n v="100"/>
    <n v="42"/>
    <n v="12.75"/>
    <n v="22"/>
    <s v="Black"/>
    <x v="0"/>
    <s v="Chronograph"/>
    <n v="50"/>
    <n v="5500"/>
    <s v="&lt;=100"/>
    <x v="4"/>
  </r>
  <r>
    <x v="503"/>
    <x v="35"/>
    <x v="180"/>
    <x v="0"/>
    <s v="Automatic"/>
    <n v="50"/>
    <n v="39"/>
    <n v="8.15"/>
    <n v="20"/>
    <s v="Silver"/>
    <x v="0"/>
    <s v="Date"/>
    <n v="50"/>
    <n v="4900"/>
    <s v="&lt;=100"/>
    <x v="3"/>
  </r>
  <r>
    <x v="504"/>
    <x v="35"/>
    <x v="179"/>
    <x v="0"/>
    <s v="Automatic"/>
    <n v="50"/>
    <n v="40.5"/>
    <n v="9.15"/>
    <n v="20"/>
    <s v="Silver"/>
    <x v="0"/>
    <s v="None"/>
    <n v="50"/>
    <n v="4500"/>
    <s v="&lt;=100"/>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F9412C-5B5A-406A-A7FC-6C140A9DC51E}"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Brands">
  <location ref="A3:B39" firstHeaderRow="1" firstDataRow="1" firstDataCol="1"/>
  <pivotFields count="16">
    <pivotField showAll="0"/>
    <pivotField axis="axisRow" showAll="0" sortType="ascending">
      <items count="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h="1" x="3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9">
        <item x="6"/>
        <item x="5"/>
        <item x="4"/>
        <item x="1"/>
        <item x="0"/>
        <item x="3"/>
        <item x="2"/>
        <item x="7"/>
        <item t="default"/>
      </items>
    </pivotField>
  </pivotFields>
  <rowFields count="1">
    <field x="1"/>
  </rowFields>
  <rowItems count="36">
    <i>
      <x v="31"/>
    </i>
    <i>
      <x v="8"/>
    </i>
    <i>
      <x v="14"/>
    </i>
    <i>
      <x v="28"/>
    </i>
    <i>
      <x v="11"/>
    </i>
    <i>
      <x v="26"/>
    </i>
    <i>
      <x v="22"/>
    </i>
    <i>
      <x v="19"/>
    </i>
    <i>
      <x v="29"/>
    </i>
    <i>
      <x v="2"/>
    </i>
    <i>
      <x v="3"/>
    </i>
    <i>
      <x v="30"/>
    </i>
    <i>
      <x v="32"/>
    </i>
    <i>
      <x v="20"/>
    </i>
    <i>
      <x v="6"/>
    </i>
    <i>
      <x v="21"/>
    </i>
    <i>
      <x v="10"/>
    </i>
    <i>
      <x v="35"/>
    </i>
    <i>
      <x v="9"/>
    </i>
    <i>
      <x v="17"/>
    </i>
    <i>
      <x v="16"/>
    </i>
    <i>
      <x v="23"/>
    </i>
    <i>
      <x v="33"/>
    </i>
    <i>
      <x v="18"/>
    </i>
    <i>
      <x v="13"/>
    </i>
    <i>
      <x v="12"/>
    </i>
    <i>
      <x v="7"/>
    </i>
    <i>
      <x v="27"/>
    </i>
    <i>
      <x v="4"/>
    </i>
    <i>
      <x v="15"/>
    </i>
    <i>
      <x v="25"/>
    </i>
    <i>
      <x v="34"/>
    </i>
    <i>
      <x v="5"/>
    </i>
    <i>
      <x/>
    </i>
    <i>
      <x v="1"/>
    </i>
    <i>
      <x v="24"/>
    </i>
  </rowItems>
  <colItems count="1">
    <i/>
  </colItems>
  <dataFields count="1">
    <dataField name="Average of Price (USD)" fld="13" subtotal="average" baseField="1" baseItem="18" numFmtId="165"/>
  </dataFields>
  <formats count="1">
    <format dxfId="0">
      <pivotArea outline="0" collapsedLevelsAreSubtotals="1" fieldPosition="0"/>
    </format>
  </formats>
  <chartFormats count="1">
    <chartFormat chart="1" format="0" series="1">
      <pivotArea type="data" outline="0" fieldPosition="0">
        <references count="1">
          <reference field="4294967294" count="1" selected="0">
            <x v="0"/>
          </reference>
        </references>
      </pivotArea>
    </chartFormat>
  </chartFormats>
  <pivotTableStyleInfo name="PivotStyleDark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9A94650-EA6D-4301-98A6-913E69A94E03}" name="PivotTable3" cacheId="2" dataPosition="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rowHeaderCaption="Brands">
  <location ref="A53:C73" firstHeaderRow="0" firstDataRow="1" firstDataCol="1"/>
  <pivotFields count="16">
    <pivotField showAll="0">
      <items count="5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t="default"/>
      </items>
    </pivotField>
    <pivotField axis="axisRow" multipleItemSelectionAllowed="1"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showAll="0">
      <items count="182">
        <item x="151"/>
        <item x="102"/>
        <item x="101"/>
        <item x="100"/>
        <item x="104"/>
        <item x="105"/>
        <item x="133"/>
        <item x="134"/>
        <item x="135"/>
        <item x="132"/>
        <item x="112"/>
        <item x="156"/>
        <item x="155"/>
        <item x="154"/>
        <item x="33"/>
        <item x="9"/>
        <item x="41"/>
        <item x="44"/>
        <item x="48"/>
        <item x="43"/>
        <item x="64"/>
        <item x="67"/>
        <item x="68"/>
        <item x="66"/>
        <item x="69"/>
        <item x="71"/>
        <item x="65"/>
        <item x="113"/>
        <item x="159"/>
        <item x="158"/>
        <item x="10"/>
        <item x="11"/>
        <item x="129"/>
        <item x="128"/>
        <item x="130"/>
        <item x="131"/>
        <item x="127"/>
        <item x="126"/>
        <item x="153"/>
        <item x="178"/>
        <item x="177"/>
        <item x="174"/>
        <item x="31"/>
        <item x="63"/>
        <item x="72"/>
        <item x="70"/>
        <item x="55"/>
        <item x="24"/>
        <item x="16"/>
        <item x="27"/>
        <item x="23"/>
        <item x="20"/>
        <item x="21"/>
        <item x="17"/>
        <item x="26"/>
        <item x="22"/>
        <item x="19"/>
        <item x="18"/>
        <item x="25"/>
        <item x="8"/>
        <item x="95"/>
        <item x="94"/>
        <item x="98"/>
        <item x="111"/>
        <item x="145"/>
        <item x="144"/>
        <item x="140"/>
        <item x="142"/>
        <item x="139"/>
        <item x="173"/>
        <item x="114"/>
        <item x="176"/>
        <item x="175"/>
        <item x="180"/>
        <item x="179"/>
        <item x="14"/>
        <item x="15"/>
        <item x="13"/>
        <item x="12"/>
        <item x="141"/>
        <item x="92"/>
        <item x="54"/>
        <item x="107"/>
        <item x="96"/>
        <item x="99"/>
        <item x="60"/>
        <item x="62"/>
        <item x="61"/>
        <item x="58"/>
        <item x="57"/>
        <item x="56"/>
        <item x="157"/>
        <item x="122"/>
        <item x="121"/>
        <item x="120"/>
        <item x="119"/>
        <item x="117"/>
        <item x="116"/>
        <item x="118"/>
        <item x="115"/>
        <item x="163"/>
        <item x="162"/>
        <item x="165"/>
        <item x="160"/>
        <item x="161"/>
        <item x="164"/>
        <item x="97"/>
        <item x="93"/>
        <item x="88"/>
        <item x="87"/>
        <item x="91"/>
        <item x="86"/>
        <item x="89"/>
        <item x="52"/>
        <item x="53"/>
        <item x="152"/>
        <item x="125"/>
        <item x="123"/>
        <item x="124"/>
        <item x="30"/>
        <item x="38"/>
        <item x="167"/>
        <item x="169"/>
        <item x="170"/>
        <item x="168"/>
        <item x="171"/>
        <item x="172"/>
        <item x="166"/>
        <item x="81"/>
        <item x="85"/>
        <item x="84"/>
        <item x="82"/>
        <item x="83"/>
        <item x="79"/>
        <item x="137"/>
        <item x="136"/>
        <item x="78"/>
        <item x="75"/>
        <item x="80"/>
        <item x="73"/>
        <item x="77"/>
        <item x="74"/>
        <item x="76"/>
        <item x="39"/>
        <item x="148"/>
        <item x="147"/>
        <item x="146"/>
        <item x="90"/>
        <item x="4"/>
        <item x="3"/>
        <item x="6"/>
        <item x="7"/>
        <item x="5"/>
        <item x="45"/>
        <item x="46"/>
        <item x="42"/>
        <item x="40"/>
        <item x="49"/>
        <item x="50"/>
        <item x="47"/>
        <item x="2"/>
        <item x="1"/>
        <item x="0"/>
        <item x="109"/>
        <item x="59"/>
        <item x="110"/>
        <item x="108"/>
        <item x="106"/>
        <item x="103"/>
        <item x="143"/>
        <item x="35"/>
        <item x="32"/>
        <item x="37"/>
        <item x="36"/>
        <item x="34"/>
        <item x="51"/>
        <item x="138"/>
        <item x="29"/>
        <item x="28"/>
        <item x="150"/>
        <item x="149"/>
        <item t="default"/>
      </items>
    </pivotField>
    <pivotField showAll="0">
      <items count="14">
        <item x="8"/>
        <item x="4"/>
        <item x="5"/>
        <item x="11"/>
        <item x="10"/>
        <item x="0"/>
        <item x="6"/>
        <item x="1"/>
        <item x="3"/>
        <item x="12"/>
        <item x="2"/>
        <item x="9"/>
        <item x="7"/>
        <item t="default"/>
      </items>
    </pivotField>
    <pivotField showAll="0"/>
    <pivotField dataField="1" numFmtId="1" showAll="0"/>
    <pivotField showAll="0"/>
    <pivotField showAll="0"/>
    <pivotField showAll="0"/>
    <pivotField showAll="0"/>
    <pivotField showAll="0"/>
    <pivotField showAll="0"/>
    <pivotField dataField="1" showAll="0"/>
    <pivotField numFmtId="164" showAll="0"/>
    <pivotField showAll="0"/>
    <pivotField showAll="0">
      <items count="8">
        <item h="1" x="6"/>
        <item h="1" x="5"/>
        <item x="4"/>
        <item h="1" x="1"/>
        <item h="1" x="0"/>
        <item h="1" x="3"/>
        <item h="1" x="2"/>
        <item t="default"/>
      </items>
    </pivotField>
  </pivotFields>
  <rowFields count="1">
    <field x="1"/>
  </rowFields>
  <rowItems count="20">
    <i>
      <x v="4"/>
    </i>
    <i>
      <x v="5"/>
    </i>
    <i>
      <x v="6"/>
    </i>
    <i>
      <x v="7"/>
    </i>
    <i>
      <x v="9"/>
    </i>
    <i>
      <x v="10"/>
    </i>
    <i>
      <x v="12"/>
    </i>
    <i>
      <x v="13"/>
    </i>
    <i>
      <x v="15"/>
    </i>
    <i>
      <x v="16"/>
    </i>
    <i>
      <x v="17"/>
    </i>
    <i>
      <x v="18"/>
    </i>
    <i>
      <x v="20"/>
    </i>
    <i>
      <x v="21"/>
    </i>
    <i>
      <x v="23"/>
    </i>
    <i>
      <x v="25"/>
    </i>
    <i>
      <x v="27"/>
    </i>
    <i>
      <x v="30"/>
    </i>
    <i>
      <x v="33"/>
    </i>
    <i>
      <x v="35"/>
    </i>
  </rowItems>
  <colFields count="1">
    <field x="-2"/>
  </colFields>
  <colItems count="2">
    <i>
      <x/>
    </i>
    <i i="1">
      <x v="1"/>
    </i>
  </colItems>
  <dataFields count="2">
    <dataField name="Average of Power Reserve" fld="12" subtotal="average" baseField="1" baseItem="2" numFmtId="2"/>
    <dataField name="Average of Water Resistance" fld="5" subtotal="average" baseField="1" baseItem="2" numFmtId="2"/>
  </dataFields>
  <chartFormats count="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name="PivotStyleMedium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551AEAE-CFE7-4509-BB3F-9A7CEA26ED2A}"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rowHeaderCaption="Watch Model">
  <location ref="A3:C307" firstHeaderRow="0" firstDataRow="1" firstDataCol="1"/>
  <pivotFields count="16">
    <pivotField showAll="0" defaultSubtotal="0"/>
    <pivotField showAll="0" defaultSubtotal="0">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axis="axisRow" showAll="0" defaultSubtotal="0">
      <items count="181">
        <item x="151"/>
        <item x="102"/>
        <item x="101"/>
        <item x="100"/>
        <item x="104"/>
        <item x="105"/>
        <item x="133"/>
        <item x="134"/>
        <item x="135"/>
        <item x="132"/>
        <item x="112"/>
        <item x="156"/>
        <item x="155"/>
        <item x="154"/>
        <item x="33"/>
        <item x="9"/>
        <item x="41"/>
        <item x="44"/>
        <item x="48"/>
        <item x="43"/>
        <item x="64"/>
        <item x="67"/>
        <item x="68"/>
        <item x="66"/>
        <item x="69"/>
        <item x="71"/>
        <item x="65"/>
        <item x="113"/>
        <item x="159"/>
        <item x="158"/>
        <item x="10"/>
        <item x="11"/>
        <item x="129"/>
        <item x="128"/>
        <item x="130"/>
        <item x="131"/>
        <item x="127"/>
        <item x="126"/>
        <item x="153"/>
        <item x="178"/>
        <item x="177"/>
        <item x="174"/>
        <item x="31"/>
        <item x="63"/>
        <item x="72"/>
        <item x="70"/>
        <item x="55"/>
        <item x="24"/>
        <item x="16"/>
        <item x="27"/>
        <item x="23"/>
        <item x="20"/>
        <item x="21"/>
        <item x="17"/>
        <item x="26"/>
        <item x="22"/>
        <item x="19"/>
        <item x="18"/>
        <item x="25"/>
        <item x="8"/>
        <item x="95"/>
        <item x="94"/>
        <item x="98"/>
        <item x="111"/>
        <item x="145"/>
        <item x="144"/>
        <item x="140"/>
        <item x="142"/>
        <item x="139"/>
        <item x="173"/>
        <item x="114"/>
        <item x="176"/>
        <item x="175"/>
        <item x="180"/>
        <item x="179"/>
        <item x="14"/>
        <item x="15"/>
        <item x="13"/>
        <item x="12"/>
        <item x="141"/>
        <item x="92"/>
        <item x="54"/>
        <item x="107"/>
        <item x="96"/>
        <item x="99"/>
        <item x="60"/>
        <item x="62"/>
        <item x="61"/>
        <item x="58"/>
        <item x="57"/>
        <item x="56"/>
        <item x="157"/>
        <item x="122"/>
        <item x="121"/>
        <item x="120"/>
        <item x="119"/>
        <item x="117"/>
        <item x="116"/>
        <item x="118"/>
        <item x="115"/>
        <item x="163"/>
        <item x="162"/>
        <item x="165"/>
        <item x="160"/>
        <item x="161"/>
        <item x="164"/>
        <item x="97"/>
        <item x="93"/>
        <item x="88"/>
        <item x="87"/>
        <item x="91"/>
        <item x="86"/>
        <item x="89"/>
        <item x="52"/>
        <item x="53"/>
        <item x="152"/>
        <item x="125"/>
        <item x="123"/>
        <item x="124"/>
        <item x="30"/>
        <item x="38"/>
        <item x="167"/>
        <item x="169"/>
        <item x="170"/>
        <item x="168"/>
        <item x="171"/>
        <item x="172"/>
        <item x="166"/>
        <item x="81"/>
        <item x="85"/>
        <item x="84"/>
        <item x="82"/>
        <item x="83"/>
        <item x="79"/>
        <item x="137"/>
        <item x="136"/>
        <item x="78"/>
        <item x="75"/>
        <item x="80"/>
        <item x="73"/>
        <item x="77"/>
        <item x="74"/>
        <item x="76"/>
        <item x="39"/>
        <item x="148"/>
        <item x="147"/>
        <item x="146"/>
        <item x="90"/>
        <item x="4"/>
        <item x="3"/>
        <item x="6"/>
        <item x="7"/>
        <item x="5"/>
        <item x="45"/>
        <item x="46"/>
        <item x="42"/>
        <item x="40"/>
        <item x="49"/>
        <item x="50"/>
        <item x="47"/>
        <item x="2"/>
        <item x="1"/>
        <item x="0"/>
        <item x="109"/>
        <item x="59"/>
        <item x="110"/>
        <item x="108"/>
        <item x="106"/>
        <item x="103"/>
        <item x="143"/>
        <item x="35"/>
        <item x="32"/>
        <item x="37"/>
        <item x="36"/>
        <item x="34"/>
        <item x="51"/>
        <item x="138"/>
        <item x="29"/>
        <item x="28"/>
        <item x="150"/>
        <item x="149"/>
      </items>
    </pivotField>
    <pivotField showAll="0" defaultSubtotal="0"/>
    <pivotField showAll="0" defaultSubtotal="0">
      <items count="3">
        <item x="1"/>
        <item x="0"/>
        <item x="2"/>
      </items>
    </pivotField>
    <pivotField dataField="1" numFmtId="1" showAll="0" defaultSubtotal="0">
      <items count="12">
        <item x="0"/>
        <item x="1"/>
        <item x="8"/>
        <item x="2"/>
        <item x="11"/>
        <item x="10"/>
        <item x="4"/>
        <item x="3"/>
        <item x="6"/>
        <item x="9"/>
        <item x="5"/>
        <item x="7"/>
      </items>
    </pivotField>
    <pivotField showAll="0" defaultSubtotal="0"/>
    <pivotField showAll="0" defaultSubtotal="0"/>
    <pivotField showAll="0" defaultSubtotal="0"/>
    <pivotField showAll="0" defaultSubtotal="0"/>
    <pivotField showAll="0" defaultSubtotal="0">
      <items count="4">
        <item x="3"/>
        <item x="2"/>
        <item x="1"/>
        <item x="0"/>
      </items>
    </pivotField>
    <pivotField showAll="0" defaultSubtotal="0"/>
    <pivotField dataField="1" showAll="0" defaultSubtotal="0">
      <items count="23">
        <item x="8"/>
        <item x="4"/>
        <item x="22"/>
        <item x="6"/>
        <item x="19"/>
        <item x="17"/>
        <item x="0"/>
        <item x="14"/>
        <item x="10"/>
        <item x="3"/>
        <item x="13"/>
        <item x="9"/>
        <item x="21"/>
        <item x="2"/>
        <item x="20"/>
        <item x="7"/>
        <item x="18"/>
        <item x="11"/>
        <item x="1"/>
        <item x="15"/>
        <item x="5"/>
        <item x="16"/>
        <item x="12"/>
      </items>
    </pivotField>
    <pivotField axis="axisRow" numFmtId="164" showAll="0" defaultSubtota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s>
    </pivotField>
    <pivotField showAll="0" defaultSubtotal="0">
      <items count="6">
        <item x="0"/>
        <item x="3"/>
        <item x="2"/>
        <item x="1"/>
        <item x="4"/>
        <item x="5"/>
      </items>
    </pivotField>
    <pivotField showAll="0" defaultSubtotal="0">
      <items count="7">
        <item x="6"/>
        <item x="5"/>
        <item x="4"/>
        <item x="1"/>
        <item x="0"/>
        <item x="3"/>
        <item x="2"/>
      </items>
    </pivotField>
  </pivotFields>
  <rowFields count="2">
    <field x="13"/>
    <field x="2"/>
  </rowFields>
  <rowItems count="304">
    <i>
      <x v="1"/>
    </i>
    <i r="1">
      <x/>
    </i>
    <i r="1">
      <x v="11"/>
    </i>
    <i r="1">
      <x v="13"/>
    </i>
    <i r="1">
      <x v="27"/>
    </i>
    <i r="1">
      <x v="46"/>
    </i>
    <i r="1">
      <x v="60"/>
    </i>
    <i r="1">
      <x v="62"/>
    </i>
    <i r="1">
      <x v="70"/>
    </i>
    <i r="1">
      <x v="83"/>
    </i>
    <i r="1">
      <x v="84"/>
    </i>
    <i r="1">
      <x v="85"/>
    </i>
    <i r="1">
      <x v="86"/>
    </i>
    <i r="1">
      <x v="87"/>
    </i>
    <i r="1">
      <x v="91"/>
    </i>
    <i r="1">
      <x v="106"/>
    </i>
    <i r="1">
      <x v="107"/>
    </i>
    <i r="1">
      <x v="143"/>
    </i>
    <i r="1">
      <x v="144"/>
    </i>
    <i r="1">
      <x v="145"/>
    </i>
    <i r="1">
      <x v="146"/>
    </i>
    <i r="1">
      <x v="176"/>
    </i>
    <i>
      <x v="2"/>
    </i>
    <i r="1">
      <x v="4"/>
    </i>
    <i r="1">
      <x v="5"/>
    </i>
    <i r="1">
      <x v="12"/>
    </i>
    <i r="1">
      <x v="13"/>
    </i>
    <i r="1">
      <x v="29"/>
    </i>
    <i r="1">
      <x v="30"/>
    </i>
    <i r="1">
      <x v="31"/>
    </i>
    <i r="1">
      <x v="59"/>
    </i>
    <i r="1">
      <x v="61"/>
    </i>
    <i r="1">
      <x v="82"/>
    </i>
    <i r="1">
      <x v="92"/>
    </i>
    <i r="1">
      <x v="107"/>
    </i>
    <i r="1">
      <x v="129"/>
    </i>
    <i r="1">
      <x v="131"/>
    </i>
    <i r="1">
      <x v="158"/>
    </i>
    <i r="1">
      <x v="167"/>
    </i>
    <i r="1">
      <x v="168"/>
    </i>
    <i r="1">
      <x v="172"/>
    </i>
    <i r="1">
      <x v="173"/>
    </i>
    <i r="1">
      <x v="174"/>
    </i>
    <i r="1">
      <x v="175"/>
    </i>
    <i r="1">
      <x v="179"/>
    </i>
    <i r="1">
      <x v="180"/>
    </i>
    <i>
      <x v="3"/>
    </i>
    <i r="1">
      <x v="1"/>
    </i>
    <i r="1">
      <x v="10"/>
    </i>
    <i r="1">
      <x v="14"/>
    </i>
    <i r="1">
      <x v="15"/>
    </i>
    <i r="1">
      <x v="17"/>
    </i>
    <i r="1">
      <x v="18"/>
    </i>
    <i r="1">
      <x v="28"/>
    </i>
    <i r="1">
      <x v="29"/>
    </i>
    <i r="1">
      <x v="38"/>
    </i>
    <i r="1">
      <x v="63"/>
    </i>
    <i r="1">
      <x v="71"/>
    </i>
    <i r="1">
      <x v="72"/>
    </i>
    <i r="1">
      <x v="73"/>
    </i>
    <i r="1">
      <x v="74"/>
    </i>
    <i r="1">
      <x v="81"/>
    </i>
    <i r="1">
      <x v="93"/>
    </i>
    <i r="1">
      <x v="96"/>
    </i>
    <i r="1">
      <x v="97"/>
    </i>
    <i r="1">
      <x v="110"/>
    </i>
    <i r="1">
      <x v="113"/>
    </i>
    <i r="1">
      <x v="114"/>
    </i>
    <i r="1">
      <x v="115"/>
    </i>
    <i r="1">
      <x v="129"/>
    </i>
    <i r="1">
      <x v="130"/>
    </i>
    <i r="1">
      <x v="131"/>
    </i>
    <i r="1">
      <x v="132"/>
    </i>
    <i r="1">
      <x v="147"/>
    </i>
    <i r="1">
      <x v="154"/>
    </i>
    <i r="1">
      <x v="157"/>
    </i>
    <i r="1">
      <x v="159"/>
    </i>
    <i r="1">
      <x v="163"/>
    </i>
    <i r="1">
      <x v="165"/>
    </i>
    <i r="1">
      <x v="166"/>
    </i>
    <i r="1">
      <x v="170"/>
    </i>
    <i r="1">
      <x v="171"/>
    </i>
    <i r="1">
      <x v="173"/>
    </i>
    <i r="1">
      <x v="174"/>
    </i>
    <i>
      <x v="4"/>
    </i>
    <i r="1">
      <x v="2"/>
    </i>
    <i r="1">
      <x v="3"/>
    </i>
    <i r="1">
      <x v="17"/>
    </i>
    <i r="1">
      <x v="19"/>
    </i>
    <i r="1">
      <x v="39"/>
    </i>
    <i r="1">
      <x v="40"/>
    </i>
    <i r="1">
      <x v="41"/>
    </i>
    <i r="1">
      <x v="42"/>
    </i>
    <i r="1">
      <x v="44"/>
    </i>
    <i r="1">
      <x v="45"/>
    </i>
    <i r="1">
      <x v="64"/>
    </i>
    <i r="1">
      <x v="65"/>
    </i>
    <i r="1">
      <x v="71"/>
    </i>
    <i r="1">
      <x v="72"/>
    </i>
    <i r="1">
      <x v="80"/>
    </i>
    <i r="1">
      <x v="88"/>
    </i>
    <i r="1">
      <x v="90"/>
    </i>
    <i r="1">
      <x v="94"/>
    </i>
    <i r="1">
      <x v="95"/>
    </i>
    <i r="1">
      <x v="96"/>
    </i>
    <i r="1">
      <x v="98"/>
    </i>
    <i r="1">
      <x v="99"/>
    </i>
    <i r="1">
      <x v="101"/>
    </i>
    <i r="1">
      <x v="102"/>
    </i>
    <i r="1">
      <x v="103"/>
    </i>
    <i r="1">
      <x v="105"/>
    </i>
    <i r="1">
      <x v="108"/>
    </i>
    <i r="1">
      <x v="109"/>
    </i>
    <i r="1">
      <x v="111"/>
    </i>
    <i r="1">
      <x v="112"/>
    </i>
    <i r="1">
      <x v="113"/>
    </i>
    <i r="1">
      <x v="114"/>
    </i>
    <i r="1">
      <x v="115"/>
    </i>
    <i r="1">
      <x v="119"/>
    </i>
    <i r="1">
      <x v="128"/>
    </i>
    <i r="1">
      <x v="133"/>
    </i>
    <i r="1">
      <x v="136"/>
    </i>
    <i r="1">
      <x v="137"/>
    </i>
    <i r="1">
      <x v="138"/>
    </i>
    <i r="1">
      <x v="139"/>
    </i>
    <i r="1">
      <x v="140"/>
    </i>
    <i r="1">
      <x v="141"/>
    </i>
    <i r="1">
      <x v="153"/>
    </i>
    <i r="1">
      <x v="155"/>
    </i>
    <i r="1">
      <x v="166"/>
    </i>
    <i>
      <x v="5"/>
    </i>
    <i r="1">
      <x v="25"/>
    </i>
    <i r="1">
      <x v="41"/>
    </i>
    <i r="1">
      <x v="44"/>
    </i>
    <i r="1">
      <x v="45"/>
    </i>
    <i r="1">
      <x v="64"/>
    </i>
    <i r="1">
      <x v="65"/>
    </i>
    <i r="1">
      <x v="69"/>
    </i>
    <i r="1">
      <x v="79"/>
    </i>
    <i r="1">
      <x v="80"/>
    </i>
    <i r="1">
      <x v="88"/>
    </i>
    <i r="1">
      <x v="89"/>
    </i>
    <i r="1">
      <x v="90"/>
    </i>
    <i r="1">
      <x v="96"/>
    </i>
    <i r="1">
      <x v="97"/>
    </i>
    <i r="1">
      <x v="99"/>
    </i>
    <i r="1">
      <x v="100"/>
    </i>
    <i r="1">
      <x v="101"/>
    </i>
    <i r="1">
      <x v="103"/>
    </i>
    <i r="1">
      <x v="104"/>
    </i>
    <i r="1">
      <x v="108"/>
    </i>
    <i r="1">
      <x v="109"/>
    </i>
    <i r="1">
      <x v="111"/>
    </i>
    <i r="1">
      <x v="137"/>
    </i>
    <i r="1">
      <x v="139"/>
    </i>
    <i r="1">
      <x v="141"/>
    </i>
    <i r="1">
      <x v="142"/>
    </i>
    <i r="1">
      <x v="164"/>
    </i>
    <i r="1">
      <x v="169"/>
    </i>
    <i r="1">
      <x v="177"/>
    </i>
    <i r="1">
      <x v="178"/>
    </i>
    <i>
      <x v="6"/>
    </i>
    <i r="1">
      <x v="77"/>
    </i>
    <i r="1">
      <x v="80"/>
    </i>
    <i r="1">
      <x v="89"/>
    </i>
    <i r="1">
      <x v="90"/>
    </i>
    <i r="1">
      <x v="120"/>
    </i>
    <i r="1">
      <x v="134"/>
    </i>
    <i r="1">
      <x v="135"/>
    </i>
    <i>
      <x v="7"/>
    </i>
    <i r="1">
      <x v="16"/>
    </i>
    <i r="1">
      <x v="20"/>
    </i>
    <i r="1">
      <x v="22"/>
    </i>
    <i r="1">
      <x v="26"/>
    </i>
    <i r="1">
      <x v="67"/>
    </i>
    <i r="1">
      <x v="76"/>
    </i>
    <i r="1">
      <x v="77"/>
    </i>
    <i r="1">
      <x v="78"/>
    </i>
    <i r="1">
      <x v="88"/>
    </i>
    <i r="1">
      <x v="89"/>
    </i>
    <i r="1">
      <x v="90"/>
    </i>
    <i r="1">
      <x v="120"/>
    </i>
    <i r="1">
      <x v="121"/>
    </i>
    <i>
      <x v="8"/>
    </i>
    <i r="1">
      <x v="20"/>
    </i>
    <i r="1">
      <x v="21"/>
    </i>
    <i r="1">
      <x v="23"/>
    </i>
    <i r="1">
      <x v="24"/>
    </i>
    <i r="1">
      <x v="26"/>
    </i>
    <i r="1">
      <x v="48"/>
    </i>
    <i r="1">
      <x v="75"/>
    </i>
    <i r="1">
      <x v="77"/>
    </i>
    <i r="1">
      <x v="78"/>
    </i>
    <i r="1">
      <x v="79"/>
    </i>
    <i r="1">
      <x v="121"/>
    </i>
    <i r="1">
      <x v="126"/>
    </i>
    <i r="1">
      <x v="156"/>
    </i>
    <i>
      <x v="9"/>
    </i>
    <i r="1">
      <x v="8"/>
    </i>
    <i r="1">
      <x v="21"/>
    </i>
    <i r="1">
      <x v="22"/>
    </i>
    <i r="1">
      <x v="23"/>
    </i>
    <i r="1">
      <x v="26"/>
    </i>
    <i r="1">
      <x v="50"/>
    </i>
    <i r="1">
      <x v="52"/>
    </i>
    <i r="1">
      <x v="78"/>
    </i>
    <i r="1">
      <x v="121"/>
    </i>
    <i r="1">
      <x v="152"/>
    </i>
    <i r="1">
      <x v="160"/>
    </i>
    <i>
      <x v="10"/>
    </i>
    <i r="1">
      <x v="7"/>
    </i>
    <i r="1">
      <x v="20"/>
    </i>
    <i r="1">
      <x v="26"/>
    </i>
    <i r="1">
      <x v="35"/>
    </i>
    <i r="1">
      <x v="48"/>
    </i>
    <i r="1">
      <x v="49"/>
    </i>
    <i r="1">
      <x v="51"/>
    </i>
    <i r="1">
      <x v="58"/>
    </i>
    <i r="1">
      <x v="121"/>
    </i>
    <i r="1">
      <x v="122"/>
    </i>
    <i r="1">
      <x v="125"/>
    </i>
    <i r="1">
      <x v="150"/>
    </i>
    <i r="1">
      <x v="151"/>
    </i>
    <i r="1">
      <x v="152"/>
    </i>
    <i>
      <x v="11"/>
    </i>
    <i r="1">
      <x v="6"/>
    </i>
    <i r="1">
      <x v="43"/>
    </i>
    <i r="1">
      <x v="47"/>
    </i>
    <i r="1">
      <x v="54"/>
    </i>
    <i r="1">
      <x v="57"/>
    </i>
    <i r="1">
      <x v="58"/>
    </i>
    <i r="1">
      <x v="121"/>
    </i>
    <i r="1">
      <x v="122"/>
    </i>
    <i r="1">
      <x v="123"/>
    </i>
    <i r="1">
      <x v="152"/>
    </i>
    <i>
      <x v="12"/>
    </i>
    <i r="1">
      <x v="9"/>
    </i>
    <i r="1">
      <x v="32"/>
    </i>
    <i r="1">
      <x v="34"/>
    </i>
    <i r="1">
      <x v="48"/>
    </i>
    <i r="1">
      <x v="50"/>
    </i>
    <i r="1">
      <x v="52"/>
    </i>
    <i r="1">
      <x v="55"/>
    </i>
    <i r="1">
      <x v="56"/>
    </i>
    <i r="1">
      <x v="121"/>
    </i>
    <i r="1">
      <x v="124"/>
    </i>
    <i r="1">
      <x v="152"/>
    </i>
    <i r="1">
      <x v="161"/>
    </i>
    <i r="1">
      <x v="162"/>
    </i>
    <i>
      <x v="13"/>
    </i>
    <i r="1">
      <x v="33"/>
    </i>
    <i r="1">
      <x v="36"/>
    </i>
    <i r="1">
      <x v="37"/>
    </i>
    <i r="1">
      <x v="51"/>
    </i>
    <i r="1">
      <x v="52"/>
    </i>
    <i r="1">
      <x v="56"/>
    </i>
    <i r="1">
      <x v="57"/>
    </i>
    <i r="1">
      <x v="152"/>
    </i>
    <i>
      <x v="14"/>
    </i>
    <i r="1">
      <x v="48"/>
    </i>
    <i r="1">
      <x v="53"/>
    </i>
    <i r="1">
      <x v="116"/>
    </i>
    <i r="1">
      <x v="152"/>
    </i>
    <i>
      <x v="15"/>
    </i>
    <i r="1">
      <x v="66"/>
    </i>
    <i r="1">
      <x v="117"/>
    </i>
    <i r="1">
      <x v="118"/>
    </i>
    <i r="1">
      <x v="127"/>
    </i>
    <i r="1">
      <x v="152"/>
    </i>
    <i>
      <x v="18"/>
    </i>
    <i r="1">
      <x v="117"/>
    </i>
    <i>
      <x v="19"/>
    </i>
    <i r="1">
      <x v="116"/>
    </i>
    <i r="1">
      <x v="148"/>
    </i>
    <i>
      <x v="20"/>
    </i>
    <i r="1">
      <x v="68"/>
    </i>
    <i r="1">
      <x v="117"/>
    </i>
    <i r="1">
      <x v="118"/>
    </i>
    <i r="1">
      <x v="148"/>
    </i>
    <i>
      <x v="21"/>
    </i>
    <i r="1">
      <x v="117"/>
    </i>
    <i>
      <x v="23"/>
    </i>
    <i r="1">
      <x v="117"/>
    </i>
    <i r="1">
      <x v="118"/>
    </i>
    <i>
      <x v="24"/>
    </i>
    <i r="1">
      <x v="118"/>
    </i>
    <i>
      <x v="25"/>
    </i>
    <i r="1">
      <x v="117"/>
    </i>
    <i>
      <x v="26"/>
    </i>
    <i r="1">
      <x v="117"/>
    </i>
    <i r="1">
      <x v="118"/>
    </i>
    <i>
      <x v="27"/>
    </i>
    <i r="1">
      <x v="118"/>
    </i>
    <i>
      <x v="28"/>
    </i>
    <i r="1">
      <x v="149"/>
    </i>
    <i>
      <x v="29"/>
    </i>
    <i r="1">
      <x v="118"/>
    </i>
    <i>
      <x v="32"/>
    </i>
    <i r="1">
      <x v="118"/>
    </i>
    <i>
      <x v="34"/>
    </i>
    <i r="1">
      <x v="117"/>
    </i>
    <i>
      <x v="35"/>
    </i>
    <i r="1">
      <x v="117"/>
    </i>
    <i t="grand">
      <x/>
    </i>
  </rowItems>
  <colFields count="1">
    <field x="-2"/>
  </colFields>
  <colItems count="2">
    <i>
      <x/>
    </i>
    <i i="1">
      <x v="1"/>
    </i>
  </colItems>
  <dataFields count="2">
    <dataField name="Power Reserve (hr)" fld="12" baseField="2" baseItem="85"/>
    <dataField name="Water Resistance (m)" fld="5"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Dark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rystal_Material" xr10:uid="{BF867F87-F8CA-4C09-900B-9873167CF372}" sourceName="Crystal Material">
  <pivotTables>
    <pivotTable tabId="10" name="PivotTable2"/>
  </pivotTables>
  <data>
    <tabular pivotCacheId="516341064">
      <items count="4">
        <i x="3" s="1"/>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 xr10:uid="{820A7922-B82C-4394-86D4-589BD3C112A7}" sourceName="Price Range">
  <pivotTables>
    <pivotTable tabId="9" name="PivotTable3"/>
  </pivotTables>
  <data>
    <tabular pivotCacheId="387067008">
      <items count="7">
        <i x="6"/>
        <i x="5"/>
        <i x="4" s="1"/>
        <i x="1"/>
        <i x="0"/>
        <i x="3"/>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1" xr10:uid="{1CF9E782-5491-4E39-A8CF-D04563F28CD3}" sourceName="Price Range">
  <pivotTables>
    <pivotTable tabId="10" name="PivotTable2"/>
  </pivotTables>
  <data>
    <tabular pivotCacheId="516341064">
      <items count="7">
        <i x="6" s="1"/>
        <i x="5" s="1"/>
        <i x="4" s="1"/>
        <i x="1" s="1"/>
        <i x="0" s="1"/>
        <i x="3"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R_Range" xr10:uid="{A0772005-902C-4150-A21A-DECB84B01F73}" sourceName="WR Range">
  <pivotTables>
    <pivotTable tabId="10" name="PivotTable2"/>
  </pivotTables>
  <data>
    <tabular pivotCacheId="516341064">
      <items count="6">
        <i x="0" s="1"/>
        <i x="3" s="1"/>
        <i x="2" s="1"/>
        <i x="1" s="1"/>
        <i x="4" s="1"/>
        <i x="5"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vement_Type" xr10:uid="{7461470D-5288-4A35-B143-386D3DC34667}" sourceName="Movement Type">
  <pivotTables>
    <pivotTable tabId="10" name="PivotTable2"/>
  </pivotTables>
  <data>
    <tabular pivotCacheId="516341064">
      <items count="3">
        <i x="1" s="1"/>
        <i x="0"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2" xr10:uid="{579D5470-D3E7-40A2-91C6-5D68838A0FB4}" sourceName="Price Range">
  <pivotTables>
    <pivotTable tabId="9" name="PivotTable1"/>
  </pivotTables>
  <data>
    <tabular pivotCacheId="197279011">
      <items count="8">
        <i x="6" s="1"/>
        <i x="5" s="1"/>
        <i x="4" s="1"/>
        <i x="1" s="1"/>
        <i x="0" s="1"/>
        <i x="3" s="1"/>
        <i x="2" s="1"/>
        <i x="7"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 xr10:uid="{0811C9E9-E230-4D0F-B4DE-09E2F2E6541F}" cache="Slicer_Price_Range" caption="Price Range" rowHeight="241300"/>
  <slicer name="Price Range 2" xr10:uid="{029A8944-CCF0-44B5-BB41-D92D9A4AA906}" cache="Slicer_Price_Range2" caption="Price Rang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rystal Material" xr10:uid="{1EDA79C2-6A94-40C8-9552-FBE6BB78B423}" cache="Slicer_Crystal_Material" caption="Crystal Material" rowHeight="241300"/>
  <slicer name="Price Range 1" xr10:uid="{66B39C85-1310-4F93-969C-1C7704AAD095}" cache="Slicer_Price_Range1" caption="Price Range" rowHeight="241300"/>
  <slicer name="WR Range" xr10:uid="{58E8FA78-7BFC-4835-AB54-E6628C4CFCB0}" cache="Slicer_WR_Range" caption="WR Range" rowHeight="241300"/>
  <slicer name="Movement Type" xr10:uid="{4CA039BD-B4C8-420D-B22A-7AC6685DA06B}" cache="Slicer_Movement_Type" caption="Movement 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96E17B5-F65C-420B-9C8A-E2E2BFB10BEE}" name="Table2" displayName="Table2" ref="G4:H9" totalsRowShown="0">
  <autoFilter ref="G4:H9" xr:uid="{D96E17B5-F65C-420B-9C8A-E2E2BFB10BEE}"/>
  <tableColumns count="2">
    <tableColumn id="1" xr3:uid="{3A4DDE40-BD13-4CE0-A1F3-3210D4647A6B}" name="Income"/>
    <tableColumn id="2" xr3:uid="{59A53C50-C53E-4B45-A0C5-003DFD23A3A8}" name="Amount" dataDxfId="5"/>
  </tableColumns>
  <tableStyleInfo name="TableStyleMedium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D33B9FE-8F26-4832-A07C-B29AC1A7BA63}" name="Table3" displayName="Table3" ref="G11:H16" totalsRowShown="0">
  <autoFilter ref="G11:H16" xr:uid="{7D33B9FE-8F26-4832-A07C-B29AC1A7BA63}"/>
  <tableColumns count="2">
    <tableColumn id="1" xr3:uid="{6EFC69E2-4C7E-4281-BD69-8F65839F8712}" name="Expenses Monthly"/>
    <tableColumn id="2" xr3:uid="{05543AD7-D68E-41D8-ADDA-5FB7AB815550}" name="Amount" dataDxfId="4"/>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FEB8D05-6812-4D2B-834B-D86A7B546909}" name="Table4" displayName="Table4" ref="G19:H24" totalsRowShown="0">
  <autoFilter ref="G19:H24" xr:uid="{EFEB8D05-6812-4D2B-834B-D86A7B546909}"/>
  <tableColumns count="2">
    <tableColumn id="1" xr3:uid="{CC94190B-3A5D-4C1B-811F-F9EF20BEC39B}" name="Calculation"/>
    <tableColumn id="2" xr3:uid="{CBA43558-AE26-4F2F-AACD-9E3A9A72DDBD}" name="Amount"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kaggle.com/datasets/rkiattisak/luxury-watches-price-dataset/"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3.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4.xml"/><Relationship Id="rId4"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11.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8.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1B9CBE-DDBE-4BE0-9BAC-B2378C0203C1}">
  <sheetPr codeName="Sheet11"/>
  <dimension ref="B3:D18"/>
  <sheetViews>
    <sheetView workbookViewId="0">
      <selection sqref="A1:XFD1048576"/>
    </sheetView>
  </sheetViews>
  <sheetFormatPr defaultRowHeight="15" x14ac:dyDescent="0.25"/>
  <cols>
    <col min="2" max="2" width="54" bestFit="1" customWidth="1"/>
    <col min="3" max="3" width="141" customWidth="1"/>
    <col min="4" max="4" width="34.7109375" customWidth="1"/>
  </cols>
  <sheetData>
    <row r="3" spans="2:4" ht="15.75" thickBot="1" x14ac:dyDescent="0.3"/>
    <row r="4" spans="2:4" x14ac:dyDescent="0.25">
      <c r="B4" s="70" t="s">
        <v>514</v>
      </c>
      <c r="C4" s="5" t="s">
        <v>515</v>
      </c>
    </row>
    <row r="5" spans="2:4" x14ac:dyDescent="0.25">
      <c r="B5" s="71" t="s">
        <v>516</v>
      </c>
      <c r="C5" s="56" t="s">
        <v>517</v>
      </c>
    </row>
    <row r="6" spans="2:4" ht="60" x14ac:dyDescent="0.25">
      <c r="B6" s="71" t="s">
        <v>518</v>
      </c>
      <c r="C6" s="57" t="s">
        <v>519</v>
      </c>
    </row>
    <row r="7" spans="2:4" ht="57.75" customHeight="1" thickBot="1" x14ac:dyDescent="0.3">
      <c r="B7" s="72" t="s">
        <v>520</v>
      </c>
      <c r="C7" s="58" t="s">
        <v>521</v>
      </c>
    </row>
    <row r="9" spans="2:4" ht="15.75" thickBot="1" x14ac:dyDescent="0.3"/>
    <row r="10" spans="2:4" x14ac:dyDescent="0.25">
      <c r="B10" s="73" t="s">
        <v>522</v>
      </c>
      <c r="C10" s="68" t="s">
        <v>518</v>
      </c>
      <c r="D10" s="69" t="s">
        <v>523</v>
      </c>
    </row>
    <row r="11" spans="2:4" ht="42" customHeight="1" x14ac:dyDescent="0.25">
      <c r="B11" s="62" t="s">
        <v>524</v>
      </c>
      <c r="C11" s="60" t="s">
        <v>540</v>
      </c>
      <c r="D11" s="61" t="s">
        <v>541</v>
      </c>
    </row>
    <row r="12" spans="2:4" ht="60" x14ac:dyDescent="0.25">
      <c r="B12" s="62" t="s">
        <v>525</v>
      </c>
      <c r="C12" s="64" t="s">
        <v>532</v>
      </c>
      <c r="D12" s="61" t="s">
        <v>533</v>
      </c>
    </row>
    <row r="13" spans="2:4" ht="66" customHeight="1" x14ac:dyDescent="0.25">
      <c r="B13" s="62" t="s">
        <v>526</v>
      </c>
      <c r="C13" s="64" t="s">
        <v>534</v>
      </c>
      <c r="D13" s="61" t="s">
        <v>535</v>
      </c>
    </row>
    <row r="14" spans="2:4" ht="28.5" customHeight="1" x14ac:dyDescent="0.25">
      <c r="B14" s="62" t="s">
        <v>527</v>
      </c>
      <c r="C14" s="67" t="s">
        <v>536</v>
      </c>
      <c r="D14" s="59" t="s">
        <v>537</v>
      </c>
    </row>
    <row r="15" spans="2:4" ht="25.5" customHeight="1" x14ac:dyDescent="0.25">
      <c r="B15" s="62" t="s">
        <v>528</v>
      </c>
      <c r="C15" s="67" t="s">
        <v>538</v>
      </c>
      <c r="D15" s="7" t="s">
        <v>539</v>
      </c>
    </row>
    <row r="16" spans="2:4" ht="33" customHeight="1" x14ac:dyDescent="0.25">
      <c r="B16" s="62" t="s">
        <v>529</v>
      </c>
      <c r="C16" s="67" t="s">
        <v>542</v>
      </c>
      <c r="D16" s="7" t="s">
        <v>543</v>
      </c>
    </row>
    <row r="17" spans="2:4" ht="30" x14ac:dyDescent="0.25">
      <c r="B17" s="62" t="s">
        <v>530</v>
      </c>
      <c r="C17" s="67" t="s">
        <v>544</v>
      </c>
      <c r="D17" s="59" t="s">
        <v>545</v>
      </c>
    </row>
    <row r="18" spans="2:4" ht="170.25" customHeight="1" thickBot="1" x14ac:dyDescent="0.3">
      <c r="B18" s="63" t="s">
        <v>531</v>
      </c>
      <c r="C18" s="66" t="s">
        <v>547</v>
      </c>
      <c r="D18" s="65" t="s">
        <v>546</v>
      </c>
    </row>
  </sheetData>
  <hyperlinks>
    <hyperlink ref="C5" r:id="rId1" display="https://www.kaggle.com/datasets/rkiattisak/luxury-watches-price-dataset/" xr:uid="{E5EF34FC-2E1F-41E9-896D-B07921906E7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N506"/>
  <sheetViews>
    <sheetView workbookViewId="0">
      <selection sqref="A1:XFD1048576"/>
    </sheetView>
  </sheetViews>
  <sheetFormatPr defaultRowHeight="15" x14ac:dyDescent="0.25"/>
  <cols>
    <col min="1" max="1" width="19.7109375" bestFit="1" customWidth="1"/>
    <col min="2" max="2" width="24" bestFit="1" customWidth="1"/>
    <col min="3" max="3" width="23.42578125" bestFit="1" customWidth="1"/>
    <col min="4" max="4" width="15.28515625" bestFit="1" customWidth="1"/>
    <col min="5" max="5" width="15.5703125" bestFit="1" customWidth="1"/>
    <col min="6" max="6" width="16.42578125" bestFit="1" customWidth="1"/>
    <col min="7" max="7" width="19.42578125" bestFit="1" customWidth="1"/>
    <col min="8" max="8" width="19.7109375" bestFit="1" customWidth="1"/>
    <col min="9" max="9" width="16.7109375" bestFit="1" customWidth="1"/>
    <col min="10" max="10" width="11.42578125" bestFit="1" customWidth="1"/>
    <col min="11" max="11" width="15" bestFit="1" customWidth="1"/>
    <col min="12" max="12" width="32" bestFit="1" customWidth="1"/>
    <col min="13" max="13" width="14.42578125" bestFit="1" customWidth="1"/>
    <col min="14" max="14" width="10.85546875" style="2" bestFit="1" customWidth="1"/>
  </cols>
  <sheetData>
    <row r="1" spans="1:14" x14ac:dyDescent="0.25">
      <c r="A1" t="s">
        <v>0</v>
      </c>
      <c r="B1" t="s">
        <v>1</v>
      </c>
      <c r="C1" t="s">
        <v>2</v>
      </c>
      <c r="D1" t="s">
        <v>3</v>
      </c>
      <c r="E1" t="s">
        <v>4</v>
      </c>
      <c r="F1" t="s">
        <v>5</v>
      </c>
      <c r="G1" t="s">
        <v>6</v>
      </c>
      <c r="H1" t="s">
        <v>7</v>
      </c>
      <c r="I1" t="s">
        <v>8</v>
      </c>
      <c r="J1" t="s">
        <v>9</v>
      </c>
      <c r="K1" t="s">
        <v>10</v>
      </c>
      <c r="L1" t="s">
        <v>11</v>
      </c>
      <c r="M1" t="s">
        <v>12</v>
      </c>
      <c r="N1" s="2" t="s">
        <v>13</v>
      </c>
    </row>
    <row r="2" spans="1:14" x14ac:dyDescent="0.25">
      <c r="A2" t="s">
        <v>14</v>
      </c>
      <c r="B2" t="s">
        <v>15</v>
      </c>
      <c r="C2" t="s">
        <v>16</v>
      </c>
      <c r="D2" t="s">
        <v>16</v>
      </c>
      <c r="E2" t="s">
        <v>17</v>
      </c>
      <c r="F2" t="s">
        <v>18</v>
      </c>
      <c r="G2">
        <v>40</v>
      </c>
      <c r="H2">
        <v>13</v>
      </c>
      <c r="I2">
        <v>20</v>
      </c>
      <c r="J2" t="s">
        <v>19</v>
      </c>
      <c r="K2" t="s">
        <v>20</v>
      </c>
      <c r="L2" t="s">
        <v>21</v>
      </c>
      <c r="M2" t="s">
        <v>22</v>
      </c>
      <c r="N2" s="2">
        <v>9500</v>
      </c>
    </row>
    <row r="3" spans="1:14" x14ac:dyDescent="0.25">
      <c r="A3" t="s">
        <v>23</v>
      </c>
      <c r="B3" t="s">
        <v>24</v>
      </c>
      <c r="C3" t="s">
        <v>25</v>
      </c>
      <c r="D3" t="s">
        <v>26</v>
      </c>
      <c r="E3" t="s">
        <v>17</v>
      </c>
      <c r="F3" t="s">
        <v>27</v>
      </c>
      <c r="G3">
        <v>43.5</v>
      </c>
      <c r="H3">
        <v>14.47</v>
      </c>
      <c r="I3">
        <v>21</v>
      </c>
      <c r="J3" t="s">
        <v>28</v>
      </c>
      <c r="K3" t="s">
        <v>20</v>
      </c>
      <c r="L3" t="s">
        <v>21</v>
      </c>
      <c r="M3" t="s">
        <v>29</v>
      </c>
      <c r="N3" s="2">
        <v>5800</v>
      </c>
    </row>
    <row r="4" spans="1:14" x14ac:dyDescent="0.25">
      <c r="A4" t="s">
        <v>30</v>
      </c>
      <c r="B4" t="s">
        <v>31</v>
      </c>
      <c r="C4" t="s">
        <v>16</v>
      </c>
      <c r="D4" t="s">
        <v>32</v>
      </c>
      <c r="E4" t="s">
        <v>17</v>
      </c>
      <c r="F4" t="s">
        <v>33</v>
      </c>
      <c r="G4">
        <v>41</v>
      </c>
      <c r="H4">
        <v>13</v>
      </c>
      <c r="I4">
        <v>20</v>
      </c>
      <c r="J4" t="s">
        <v>34</v>
      </c>
      <c r="K4" t="s">
        <v>20</v>
      </c>
      <c r="L4" t="s">
        <v>35</v>
      </c>
      <c r="M4" t="s">
        <v>36</v>
      </c>
      <c r="N4" s="2">
        <v>4200</v>
      </c>
    </row>
    <row r="5" spans="1:14" x14ac:dyDescent="0.25">
      <c r="A5" t="s">
        <v>37</v>
      </c>
      <c r="B5" t="s">
        <v>38</v>
      </c>
      <c r="C5" t="s">
        <v>16</v>
      </c>
      <c r="D5" t="s">
        <v>16</v>
      </c>
      <c r="E5" t="s">
        <v>17</v>
      </c>
      <c r="F5" t="s">
        <v>39</v>
      </c>
      <c r="G5">
        <v>43</v>
      </c>
      <c r="H5">
        <v>14.25</v>
      </c>
      <c r="I5">
        <v>22</v>
      </c>
      <c r="J5" t="s">
        <v>19</v>
      </c>
      <c r="K5" t="s">
        <v>20</v>
      </c>
      <c r="L5" t="s">
        <v>35</v>
      </c>
      <c r="M5" t="s">
        <v>40</v>
      </c>
      <c r="N5" s="2">
        <v>7900</v>
      </c>
    </row>
    <row r="6" spans="1:14" x14ac:dyDescent="0.25">
      <c r="A6" t="s">
        <v>41</v>
      </c>
      <c r="B6" t="s">
        <v>42</v>
      </c>
      <c r="C6" t="s">
        <v>16</v>
      </c>
      <c r="D6" t="s">
        <v>32</v>
      </c>
      <c r="E6" t="s">
        <v>43</v>
      </c>
      <c r="F6" t="s">
        <v>39</v>
      </c>
      <c r="G6">
        <v>31</v>
      </c>
      <c r="H6">
        <v>6.05</v>
      </c>
      <c r="I6">
        <v>20</v>
      </c>
      <c r="J6" t="s">
        <v>44</v>
      </c>
      <c r="K6" t="s">
        <v>20</v>
      </c>
      <c r="L6" t="s">
        <v>45</v>
      </c>
      <c r="M6" t="s">
        <v>46</v>
      </c>
      <c r="N6" s="2">
        <v>2800</v>
      </c>
    </row>
    <row r="7" spans="1:14" x14ac:dyDescent="0.25">
      <c r="A7" t="s">
        <v>47</v>
      </c>
      <c r="B7" t="s">
        <v>48</v>
      </c>
      <c r="C7" t="s">
        <v>16</v>
      </c>
      <c r="D7" t="s">
        <v>32</v>
      </c>
      <c r="E7" t="s">
        <v>49</v>
      </c>
      <c r="F7" t="s">
        <v>39</v>
      </c>
      <c r="G7">
        <v>42.9</v>
      </c>
      <c r="H7">
        <v>9.1999999999999993</v>
      </c>
      <c r="I7">
        <v>20</v>
      </c>
      <c r="J7" t="s">
        <v>19</v>
      </c>
      <c r="K7" t="s">
        <v>20</v>
      </c>
      <c r="L7" t="s">
        <v>45</v>
      </c>
      <c r="M7" t="s">
        <v>50</v>
      </c>
      <c r="N7" s="2">
        <v>5500</v>
      </c>
    </row>
    <row r="8" spans="1:14" x14ac:dyDescent="0.25">
      <c r="A8" t="s">
        <v>51</v>
      </c>
      <c r="B8" t="s">
        <v>52</v>
      </c>
      <c r="C8" t="s">
        <v>16</v>
      </c>
      <c r="D8" t="s">
        <v>26</v>
      </c>
      <c r="E8" t="s">
        <v>17</v>
      </c>
      <c r="F8" t="s">
        <v>53</v>
      </c>
      <c r="G8">
        <v>44.3</v>
      </c>
      <c r="H8">
        <v>12.9</v>
      </c>
      <c r="I8">
        <v>20</v>
      </c>
      <c r="J8" t="s">
        <v>19</v>
      </c>
      <c r="K8" t="s">
        <v>20</v>
      </c>
      <c r="L8" t="s">
        <v>21</v>
      </c>
      <c r="M8" t="s">
        <v>54</v>
      </c>
      <c r="N8" s="2">
        <v>1400</v>
      </c>
    </row>
    <row r="9" spans="1:14" x14ac:dyDescent="0.25">
      <c r="A9" t="s">
        <v>56</v>
      </c>
      <c r="B9" t="s">
        <v>57</v>
      </c>
      <c r="C9" t="s">
        <v>16</v>
      </c>
      <c r="D9" t="s">
        <v>32</v>
      </c>
      <c r="E9" t="s">
        <v>17</v>
      </c>
      <c r="F9" t="s">
        <v>39</v>
      </c>
      <c r="G9">
        <v>39.299999999999997</v>
      </c>
      <c r="H9">
        <v>9.75</v>
      </c>
      <c r="I9">
        <v>19</v>
      </c>
      <c r="J9" t="s">
        <v>34</v>
      </c>
      <c r="K9" t="s">
        <v>20</v>
      </c>
      <c r="L9" t="s">
        <v>21</v>
      </c>
      <c r="M9" t="s">
        <v>58</v>
      </c>
      <c r="N9" s="2">
        <v>650</v>
      </c>
    </row>
    <row r="10" spans="1:14" x14ac:dyDescent="0.25">
      <c r="A10" t="s">
        <v>59</v>
      </c>
      <c r="B10" t="s">
        <v>60</v>
      </c>
      <c r="C10" t="s">
        <v>16</v>
      </c>
      <c r="D10" t="s">
        <v>32</v>
      </c>
      <c r="E10" t="s">
        <v>17</v>
      </c>
      <c r="F10" t="s">
        <v>33</v>
      </c>
      <c r="G10">
        <v>38</v>
      </c>
      <c r="H10">
        <v>9.8000000000000007</v>
      </c>
      <c r="I10">
        <v>20</v>
      </c>
      <c r="J10" t="s">
        <v>19</v>
      </c>
      <c r="K10" t="s">
        <v>20</v>
      </c>
      <c r="L10" t="s">
        <v>45</v>
      </c>
      <c r="M10" t="s">
        <v>61</v>
      </c>
      <c r="N10" s="2">
        <v>495</v>
      </c>
    </row>
    <row r="11" spans="1:14" x14ac:dyDescent="0.25">
      <c r="A11" t="s">
        <v>62</v>
      </c>
      <c r="B11" t="s">
        <v>63</v>
      </c>
      <c r="C11" t="s">
        <v>16</v>
      </c>
      <c r="D11" t="s">
        <v>32</v>
      </c>
      <c r="E11" t="s">
        <v>17</v>
      </c>
      <c r="F11" t="s">
        <v>39</v>
      </c>
      <c r="G11">
        <v>38.5</v>
      </c>
      <c r="H11">
        <v>9.6999999999999993</v>
      </c>
      <c r="I11">
        <v>20</v>
      </c>
      <c r="J11" t="s">
        <v>44</v>
      </c>
      <c r="K11" t="s">
        <v>20</v>
      </c>
      <c r="L11" t="s">
        <v>21</v>
      </c>
      <c r="M11" t="s">
        <v>64</v>
      </c>
      <c r="N11" s="2">
        <v>1150</v>
      </c>
    </row>
    <row r="12" spans="1:14" x14ac:dyDescent="0.25">
      <c r="A12" t="s">
        <v>65</v>
      </c>
      <c r="B12" t="s">
        <v>66</v>
      </c>
      <c r="C12" t="s">
        <v>16</v>
      </c>
      <c r="D12" t="s">
        <v>67</v>
      </c>
      <c r="E12" t="s">
        <v>17</v>
      </c>
      <c r="F12" t="s">
        <v>33</v>
      </c>
      <c r="G12">
        <v>41</v>
      </c>
      <c r="H12">
        <v>12</v>
      </c>
      <c r="I12">
        <v>20</v>
      </c>
      <c r="J12" t="s">
        <v>19</v>
      </c>
      <c r="K12" t="s">
        <v>20</v>
      </c>
      <c r="L12" t="s">
        <v>68</v>
      </c>
      <c r="M12" t="s">
        <v>58</v>
      </c>
      <c r="N12" s="2">
        <v>1800</v>
      </c>
    </row>
    <row r="13" spans="1:14" x14ac:dyDescent="0.25">
      <c r="A13" t="s">
        <v>69</v>
      </c>
      <c r="B13" t="s">
        <v>70</v>
      </c>
      <c r="C13" t="s">
        <v>16</v>
      </c>
      <c r="D13" t="s">
        <v>26</v>
      </c>
      <c r="E13" t="s">
        <v>17</v>
      </c>
      <c r="F13" t="s">
        <v>33</v>
      </c>
      <c r="G13">
        <v>42</v>
      </c>
      <c r="H13">
        <v>11.5</v>
      </c>
      <c r="I13">
        <v>24</v>
      </c>
      <c r="J13" t="s">
        <v>19</v>
      </c>
      <c r="K13" t="s">
        <v>20</v>
      </c>
      <c r="L13" t="s">
        <v>35</v>
      </c>
      <c r="M13" t="s">
        <v>36</v>
      </c>
      <c r="N13" s="2">
        <v>4500</v>
      </c>
    </row>
    <row r="14" spans="1:14" x14ac:dyDescent="0.25">
      <c r="A14" t="s">
        <v>71</v>
      </c>
      <c r="B14">
        <v>104</v>
      </c>
      <c r="C14" t="s">
        <v>16</v>
      </c>
      <c r="D14" t="s">
        <v>32</v>
      </c>
      <c r="E14" t="s">
        <v>17</v>
      </c>
      <c r="F14" t="s">
        <v>53</v>
      </c>
      <c r="G14">
        <v>41</v>
      </c>
      <c r="H14">
        <v>11.5</v>
      </c>
      <c r="I14">
        <v>20</v>
      </c>
      <c r="J14" t="s">
        <v>19</v>
      </c>
      <c r="K14" t="s">
        <v>20</v>
      </c>
      <c r="L14" t="s">
        <v>21</v>
      </c>
      <c r="M14" t="s">
        <v>36</v>
      </c>
      <c r="N14" s="2">
        <v>1400</v>
      </c>
    </row>
    <row r="15" spans="1:14" x14ac:dyDescent="0.25">
      <c r="A15" t="s">
        <v>72</v>
      </c>
      <c r="B15" t="s">
        <v>73</v>
      </c>
      <c r="C15" t="s">
        <v>74</v>
      </c>
      <c r="D15" t="s">
        <v>32</v>
      </c>
      <c r="E15" t="s">
        <v>49</v>
      </c>
      <c r="F15" t="s">
        <v>39</v>
      </c>
      <c r="G15">
        <v>38</v>
      </c>
      <c r="H15">
        <v>8.65</v>
      </c>
      <c r="I15">
        <v>20</v>
      </c>
      <c r="J15" t="s">
        <v>44</v>
      </c>
      <c r="K15" t="s">
        <v>20</v>
      </c>
      <c r="L15" t="s">
        <v>45</v>
      </c>
      <c r="M15" t="s">
        <v>75</v>
      </c>
      <c r="N15" s="2">
        <v>16000</v>
      </c>
    </row>
    <row r="16" spans="1:14" x14ac:dyDescent="0.25">
      <c r="A16" t="s">
        <v>76</v>
      </c>
      <c r="B16" t="s">
        <v>77</v>
      </c>
      <c r="C16" t="s">
        <v>16</v>
      </c>
      <c r="D16" t="s">
        <v>16</v>
      </c>
      <c r="E16" t="s">
        <v>17</v>
      </c>
      <c r="F16" t="s">
        <v>78</v>
      </c>
      <c r="G16">
        <v>41</v>
      </c>
      <c r="H16">
        <v>9.8000000000000007</v>
      </c>
      <c r="I16">
        <v>20</v>
      </c>
      <c r="J16" t="s">
        <v>44</v>
      </c>
      <c r="K16" t="s">
        <v>20</v>
      </c>
      <c r="L16" t="s">
        <v>21</v>
      </c>
      <c r="M16" t="s">
        <v>29</v>
      </c>
      <c r="N16" s="2">
        <v>22000</v>
      </c>
    </row>
    <row r="17" spans="1:14" x14ac:dyDescent="0.25">
      <c r="A17" t="s">
        <v>79</v>
      </c>
      <c r="B17" t="s">
        <v>80</v>
      </c>
      <c r="C17" t="s">
        <v>16</v>
      </c>
      <c r="D17" t="s">
        <v>26</v>
      </c>
      <c r="E17" t="s">
        <v>17</v>
      </c>
      <c r="F17" t="s">
        <v>81</v>
      </c>
      <c r="G17">
        <v>41</v>
      </c>
      <c r="H17">
        <v>11</v>
      </c>
      <c r="I17">
        <v>22</v>
      </c>
      <c r="J17" t="s">
        <v>28</v>
      </c>
      <c r="K17" t="s">
        <v>20</v>
      </c>
      <c r="L17" t="s">
        <v>21</v>
      </c>
      <c r="M17" t="s">
        <v>75</v>
      </c>
      <c r="N17" s="2">
        <v>19000</v>
      </c>
    </row>
    <row r="18" spans="1:14" x14ac:dyDescent="0.25">
      <c r="A18" t="s">
        <v>23</v>
      </c>
      <c r="B18" t="s">
        <v>82</v>
      </c>
      <c r="C18" t="s">
        <v>16</v>
      </c>
      <c r="D18" t="s">
        <v>16</v>
      </c>
      <c r="E18" t="s">
        <v>17</v>
      </c>
      <c r="F18" t="s">
        <v>78</v>
      </c>
      <c r="G18">
        <v>42</v>
      </c>
      <c r="H18">
        <v>14.5</v>
      </c>
      <c r="I18">
        <v>20</v>
      </c>
      <c r="J18" t="s">
        <v>19</v>
      </c>
      <c r="K18" t="s">
        <v>20</v>
      </c>
      <c r="L18" t="s">
        <v>83</v>
      </c>
      <c r="M18" t="s">
        <v>29</v>
      </c>
      <c r="N18" s="2">
        <v>4500</v>
      </c>
    </row>
    <row r="19" spans="1:14" x14ac:dyDescent="0.25">
      <c r="A19" t="s">
        <v>37</v>
      </c>
      <c r="B19" t="s">
        <v>84</v>
      </c>
      <c r="C19" t="s">
        <v>16</v>
      </c>
      <c r="D19" t="s">
        <v>26</v>
      </c>
      <c r="E19" t="s">
        <v>17</v>
      </c>
      <c r="F19" t="s">
        <v>85</v>
      </c>
      <c r="G19">
        <v>42</v>
      </c>
      <c r="H19">
        <v>13.3</v>
      </c>
      <c r="I19">
        <v>20</v>
      </c>
      <c r="J19" t="s">
        <v>28</v>
      </c>
      <c r="K19" t="s">
        <v>20</v>
      </c>
      <c r="L19" t="s">
        <v>21</v>
      </c>
      <c r="M19" t="s">
        <v>58</v>
      </c>
      <c r="N19" s="2">
        <v>3200</v>
      </c>
    </row>
    <row r="20" spans="1:14" x14ac:dyDescent="0.25">
      <c r="A20" t="s">
        <v>86</v>
      </c>
      <c r="B20" t="s">
        <v>87</v>
      </c>
      <c r="C20" t="s">
        <v>16</v>
      </c>
      <c r="D20" t="s">
        <v>32</v>
      </c>
      <c r="E20" t="s">
        <v>49</v>
      </c>
      <c r="F20" t="s">
        <v>33</v>
      </c>
      <c r="G20">
        <v>44</v>
      </c>
      <c r="H20">
        <v>10.5</v>
      </c>
      <c r="I20">
        <v>22</v>
      </c>
      <c r="J20" t="s">
        <v>19</v>
      </c>
      <c r="K20" t="s">
        <v>20</v>
      </c>
      <c r="L20" t="s">
        <v>45</v>
      </c>
      <c r="M20" t="s">
        <v>88</v>
      </c>
      <c r="N20" s="2">
        <v>3900</v>
      </c>
    </row>
    <row r="21" spans="1:14" x14ac:dyDescent="0.25">
      <c r="A21" t="s">
        <v>89</v>
      </c>
      <c r="B21" t="s">
        <v>90</v>
      </c>
      <c r="C21" t="s">
        <v>16</v>
      </c>
      <c r="D21" t="s">
        <v>32</v>
      </c>
      <c r="E21" t="s">
        <v>17</v>
      </c>
      <c r="F21" t="s">
        <v>53</v>
      </c>
      <c r="G21">
        <v>41</v>
      </c>
      <c r="H21">
        <v>11.9</v>
      </c>
      <c r="I21">
        <v>22</v>
      </c>
      <c r="J21" t="s">
        <v>19</v>
      </c>
      <c r="K21" t="s">
        <v>20</v>
      </c>
      <c r="L21" t="s">
        <v>45</v>
      </c>
      <c r="M21" t="s">
        <v>40</v>
      </c>
      <c r="N21" s="2">
        <v>3500</v>
      </c>
    </row>
    <row r="22" spans="1:14" x14ac:dyDescent="0.25">
      <c r="A22" t="s">
        <v>14</v>
      </c>
      <c r="B22" t="s">
        <v>91</v>
      </c>
      <c r="C22" t="s">
        <v>16</v>
      </c>
      <c r="D22" t="s">
        <v>16</v>
      </c>
      <c r="E22" t="s">
        <v>17</v>
      </c>
      <c r="F22" t="s">
        <v>33</v>
      </c>
      <c r="G22">
        <v>40</v>
      </c>
      <c r="H22">
        <v>12.5</v>
      </c>
      <c r="I22">
        <v>20</v>
      </c>
      <c r="J22" t="s">
        <v>19</v>
      </c>
      <c r="K22" t="s">
        <v>20</v>
      </c>
      <c r="L22" t="s">
        <v>92</v>
      </c>
      <c r="M22" t="s">
        <v>22</v>
      </c>
      <c r="N22" s="2">
        <v>14000</v>
      </c>
    </row>
    <row r="23" spans="1:14" x14ac:dyDescent="0.25">
      <c r="A23" t="s">
        <v>93</v>
      </c>
      <c r="B23" t="s">
        <v>94</v>
      </c>
      <c r="C23" t="s">
        <v>16</v>
      </c>
      <c r="D23" t="s">
        <v>32</v>
      </c>
      <c r="E23" t="s">
        <v>17</v>
      </c>
      <c r="F23" t="s">
        <v>95</v>
      </c>
      <c r="G23">
        <v>41</v>
      </c>
      <c r="H23">
        <v>12.5</v>
      </c>
      <c r="I23">
        <v>20</v>
      </c>
      <c r="J23" t="s">
        <v>19</v>
      </c>
      <c r="K23" t="s">
        <v>20</v>
      </c>
      <c r="L23" t="s">
        <v>21</v>
      </c>
      <c r="M23" t="s">
        <v>36</v>
      </c>
      <c r="N23" s="2">
        <v>4800</v>
      </c>
    </row>
    <row r="24" spans="1:14" x14ac:dyDescent="0.25">
      <c r="A24" t="s">
        <v>47</v>
      </c>
      <c r="B24" t="s">
        <v>96</v>
      </c>
      <c r="C24" t="s">
        <v>16</v>
      </c>
      <c r="D24" t="s">
        <v>32</v>
      </c>
      <c r="E24" t="s">
        <v>17</v>
      </c>
      <c r="F24" t="s">
        <v>78</v>
      </c>
      <c r="G24">
        <v>39</v>
      </c>
      <c r="H24">
        <v>7.58</v>
      </c>
      <c r="I24">
        <v>20</v>
      </c>
      <c r="J24" t="s">
        <v>44</v>
      </c>
      <c r="K24" t="s">
        <v>20</v>
      </c>
      <c r="L24" t="s">
        <v>45</v>
      </c>
      <c r="M24" t="s">
        <v>40</v>
      </c>
      <c r="N24" s="2">
        <v>7500</v>
      </c>
    </row>
    <row r="25" spans="1:14" x14ac:dyDescent="0.25">
      <c r="A25" t="s">
        <v>69</v>
      </c>
      <c r="B25" t="s">
        <v>97</v>
      </c>
      <c r="C25" t="s">
        <v>98</v>
      </c>
      <c r="D25" t="s">
        <v>26</v>
      </c>
      <c r="E25" t="s">
        <v>17</v>
      </c>
      <c r="F25" t="s">
        <v>33</v>
      </c>
      <c r="G25">
        <v>42</v>
      </c>
      <c r="H25">
        <v>9.3000000000000007</v>
      </c>
      <c r="I25">
        <v>22</v>
      </c>
      <c r="J25" t="s">
        <v>19</v>
      </c>
      <c r="K25" t="s">
        <v>20</v>
      </c>
      <c r="L25" t="s">
        <v>45</v>
      </c>
      <c r="M25" s="1" t="s">
        <v>36</v>
      </c>
      <c r="N25" s="2">
        <v>2399</v>
      </c>
    </row>
    <row r="26" spans="1:14" x14ac:dyDescent="0.25">
      <c r="A26" t="s">
        <v>99</v>
      </c>
      <c r="B26" t="s">
        <v>100</v>
      </c>
      <c r="C26" t="s">
        <v>16</v>
      </c>
      <c r="D26" t="s">
        <v>32</v>
      </c>
      <c r="E26" t="s">
        <v>17</v>
      </c>
      <c r="F26" t="s">
        <v>33</v>
      </c>
      <c r="G26">
        <v>42</v>
      </c>
      <c r="H26">
        <v>11.2</v>
      </c>
      <c r="I26">
        <v>22</v>
      </c>
      <c r="J26" t="s">
        <v>19</v>
      </c>
      <c r="K26" t="s">
        <v>20</v>
      </c>
      <c r="L26" t="s">
        <v>101</v>
      </c>
      <c r="M26" t="s">
        <v>36</v>
      </c>
      <c r="N26" s="2">
        <v>6200</v>
      </c>
    </row>
    <row r="27" spans="1:14" x14ac:dyDescent="0.25">
      <c r="A27" t="s">
        <v>41</v>
      </c>
      <c r="B27" t="s">
        <v>102</v>
      </c>
      <c r="C27" t="s">
        <v>16</v>
      </c>
      <c r="D27" t="s">
        <v>32</v>
      </c>
      <c r="E27" t="s">
        <v>43</v>
      </c>
      <c r="F27" t="s">
        <v>39</v>
      </c>
      <c r="G27">
        <v>38</v>
      </c>
      <c r="H27">
        <v>7.5</v>
      </c>
      <c r="I27">
        <v>18</v>
      </c>
      <c r="J27" t="s">
        <v>44</v>
      </c>
      <c r="K27" t="s">
        <v>20</v>
      </c>
      <c r="L27" t="s">
        <v>45</v>
      </c>
      <c r="M27" t="s">
        <v>46</v>
      </c>
      <c r="N27" s="2">
        <v>3500</v>
      </c>
    </row>
    <row r="28" spans="1:14" x14ac:dyDescent="0.25">
      <c r="A28" t="s">
        <v>76</v>
      </c>
      <c r="B28" t="s">
        <v>77</v>
      </c>
      <c r="C28" t="s">
        <v>16</v>
      </c>
      <c r="D28" t="s">
        <v>16</v>
      </c>
      <c r="E28" t="s">
        <v>17</v>
      </c>
      <c r="F28" t="s">
        <v>78</v>
      </c>
      <c r="G28">
        <v>41</v>
      </c>
      <c r="H28">
        <v>10.4</v>
      </c>
      <c r="I28">
        <v>20</v>
      </c>
      <c r="J28" t="s">
        <v>19</v>
      </c>
      <c r="K28" t="s">
        <v>20</v>
      </c>
      <c r="L28" t="s">
        <v>21</v>
      </c>
      <c r="M28" t="s">
        <v>29</v>
      </c>
      <c r="N28" s="2">
        <v>21000</v>
      </c>
    </row>
    <row r="29" spans="1:14" x14ac:dyDescent="0.25">
      <c r="A29" t="s">
        <v>14</v>
      </c>
      <c r="B29" t="s">
        <v>103</v>
      </c>
      <c r="C29" t="s">
        <v>16</v>
      </c>
      <c r="D29" t="s">
        <v>104</v>
      </c>
      <c r="E29" t="s">
        <v>17</v>
      </c>
      <c r="F29" t="s">
        <v>33</v>
      </c>
      <c r="G29">
        <v>36</v>
      </c>
      <c r="H29">
        <v>12</v>
      </c>
      <c r="I29">
        <v>20</v>
      </c>
      <c r="J29" t="s">
        <v>44</v>
      </c>
      <c r="K29" t="s">
        <v>20</v>
      </c>
      <c r="L29" t="s">
        <v>21</v>
      </c>
      <c r="M29" t="s">
        <v>40</v>
      </c>
      <c r="N29" s="2">
        <v>9000</v>
      </c>
    </row>
    <row r="30" spans="1:14" x14ac:dyDescent="0.25">
      <c r="A30" t="s">
        <v>23</v>
      </c>
      <c r="B30" t="s">
        <v>105</v>
      </c>
      <c r="C30" t="s">
        <v>16</v>
      </c>
      <c r="D30" t="s">
        <v>16</v>
      </c>
      <c r="E30" t="s">
        <v>49</v>
      </c>
      <c r="F30" t="s">
        <v>78</v>
      </c>
      <c r="G30">
        <v>42</v>
      </c>
      <c r="H30">
        <v>14.3</v>
      </c>
      <c r="I30">
        <v>20</v>
      </c>
      <c r="J30" t="s">
        <v>19</v>
      </c>
      <c r="K30" t="s">
        <v>106</v>
      </c>
      <c r="L30" t="s">
        <v>83</v>
      </c>
      <c r="M30" t="s">
        <v>22</v>
      </c>
      <c r="N30" s="2">
        <v>5250</v>
      </c>
    </row>
    <row r="31" spans="1:14" x14ac:dyDescent="0.25">
      <c r="A31" t="s">
        <v>93</v>
      </c>
      <c r="B31" t="s">
        <v>107</v>
      </c>
      <c r="C31" t="s">
        <v>16</v>
      </c>
      <c r="D31" t="s">
        <v>108</v>
      </c>
      <c r="E31" t="s">
        <v>17</v>
      </c>
      <c r="F31" t="s">
        <v>39</v>
      </c>
      <c r="G31">
        <v>40.4</v>
      </c>
      <c r="H31">
        <v>12.3</v>
      </c>
      <c r="I31">
        <v>20</v>
      </c>
      <c r="J31" t="s">
        <v>44</v>
      </c>
      <c r="K31" t="s">
        <v>20</v>
      </c>
      <c r="L31" t="s">
        <v>21</v>
      </c>
      <c r="M31" t="s">
        <v>29</v>
      </c>
      <c r="N31" s="2">
        <v>8800</v>
      </c>
    </row>
    <row r="32" spans="1:14" x14ac:dyDescent="0.25">
      <c r="A32" t="s">
        <v>76</v>
      </c>
      <c r="B32" t="s">
        <v>77</v>
      </c>
      <c r="C32" t="s">
        <v>16</v>
      </c>
      <c r="D32" t="s">
        <v>16</v>
      </c>
      <c r="E32" t="s">
        <v>17</v>
      </c>
      <c r="F32" t="s">
        <v>78</v>
      </c>
      <c r="G32">
        <v>41</v>
      </c>
      <c r="H32">
        <v>10.4</v>
      </c>
      <c r="I32">
        <v>20</v>
      </c>
      <c r="J32" t="s">
        <v>19</v>
      </c>
      <c r="K32" t="s">
        <v>20</v>
      </c>
      <c r="L32" t="s">
        <v>21</v>
      </c>
      <c r="M32" t="s">
        <v>29</v>
      </c>
      <c r="N32" s="2">
        <v>17800</v>
      </c>
    </row>
    <row r="33" spans="1:14" x14ac:dyDescent="0.25">
      <c r="A33" t="s">
        <v>109</v>
      </c>
      <c r="B33" t="s">
        <v>110</v>
      </c>
      <c r="C33" t="s">
        <v>16</v>
      </c>
      <c r="D33" t="s">
        <v>111</v>
      </c>
      <c r="E33" t="s">
        <v>17</v>
      </c>
      <c r="F33" t="s">
        <v>18</v>
      </c>
      <c r="G33">
        <v>45</v>
      </c>
      <c r="H33">
        <v>15.4</v>
      </c>
      <c r="I33">
        <v>23</v>
      </c>
      <c r="J33" t="s">
        <v>19</v>
      </c>
      <c r="K33" t="s">
        <v>20</v>
      </c>
      <c r="L33" t="s">
        <v>21</v>
      </c>
      <c r="M33" t="s">
        <v>112</v>
      </c>
      <c r="N33" s="2">
        <v>11500</v>
      </c>
    </row>
    <row r="34" spans="1:14" x14ac:dyDescent="0.25">
      <c r="A34" t="s">
        <v>113</v>
      </c>
      <c r="B34" t="s">
        <v>114</v>
      </c>
      <c r="C34" t="s">
        <v>16</v>
      </c>
      <c r="D34" t="s">
        <v>108</v>
      </c>
      <c r="E34" t="s">
        <v>17</v>
      </c>
      <c r="F34" t="s">
        <v>33</v>
      </c>
      <c r="G34">
        <v>42</v>
      </c>
      <c r="H34">
        <v>12.75</v>
      </c>
      <c r="I34">
        <v>20</v>
      </c>
      <c r="J34" t="s">
        <v>44</v>
      </c>
      <c r="K34" t="s">
        <v>20</v>
      </c>
      <c r="L34" t="s">
        <v>35</v>
      </c>
      <c r="M34" t="s">
        <v>54</v>
      </c>
      <c r="N34" s="2">
        <v>6500</v>
      </c>
    </row>
    <row r="35" spans="1:14" x14ac:dyDescent="0.25">
      <c r="A35" t="s">
        <v>72</v>
      </c>
      <c r="B35" t="s">
        <v>73</v>
      </c>
      <c r="C35" t="s">
        <v>115</v>
      </c>
      <c r="D35" t="s">
        <v>32</v>
      </c>
      <c r="E35" t="s">
        <v>17</v>
      </c>
      <c r="F35" t="s">
        <v>39</v>
      </c>
      <c r="G35">
        <v>39</v>
      </c>
      <c r="H35">
        <v>8.65</v>
      </c>
      <c r="I35">
        <v>20</v>
      </c>
      <c r="J35" t="s">
        <v>44</v>
      </c>
      <c r="K35" t="s">
        <v>20</v>
      </c>
      <c r="L35" t="s">
        <v>45</v>
      </c>
      <c r="M35" t="s">
        <v>50</v>
      </c>
      <c r="N35" s="2">
        <v>23500</v>
      </c>
    </row>
    <row r="36" spans="1:14" x14ac:dyDescent="0.25">
      <c r="A36" t="s">
        <v>116</v>
      </c>
      <c r="B36" t="s">
        <v>117</v>
      </c>
      <c r="C36" t="s">
        <v>16</v>
      </c>
      <c r="D36" t="s">
        <v>16</v>
      </c>
      <c r="E36" t="s">
        <v>17</v>
      </c>
      <c r="F36" t="s">
        <v>33</v>
      </c>
      <c r="G36">
        <v>42</v>
      </c>
      <c r="H36">
        <v>9.4</v>
      </c>
      <c r="I36">
        <v>24</v>
      </c>
      <c r="J36" t="s">
        <v>28</v>
      </c>
      <c r="K36" t="s">
        <v>20</v>
      </c>
      <c r="L36" t="s">
        <v>21</v>
      </c>
      <c r="M36" t="s">
        <v>54</v>
      </c>
      <c r="N36" s="2">
        <v>10000</v>
      </c>
    </row>
    <row r="37" spans="1:14" x14ac:dyDescent="0.25">
      <c r="A37" t="s">
        <v>118</v>
      </c>
      <c r="B37" t="s">
        <v>119</v>
      </c>
      <c r="C37" t="s">
        <v>16</v>
      </c>
      <c r="D37" t="s">
        <v>26</v>
      </c>
      <c r="E37" t="s">
        <v>17</v>
      </c>
      <c r="F37" t="s">
        <v>33</v>
      </c>
      <c r="G37">
        <v>44</v>
      </c>
      <c r="H37">
        <v>12.5</v>
      </c>
      <c r="I37">
        <v>22</v>
      </c>
      <c r="J37" t="s">
        <v>28</v>
      </c>
      <c r="K37" t="s">
        <v>20</v>
      </c>
      <c r="L37" t="s">
        <v>21</v>
      </c>
      <c r="M37" t="s">
        <v>29</v>
      </c>
      <c r="N37" s="2">
        <v>9500</v>
      </c>
    </row>
    <row r="38" spans="1:14" x14ac:dyDescent="0.25">
      <c r="A38" t="s">
        <v>79</v>
      </c>
      <c r="B38" t="s">
        <v>80</v>
      </c>
      <c r="C38" t="s">
        <v>16</v>
      </c>
      <c r="D38" t="s">
        <v>16</v>
      </c>
      <c r="E38" t="s">
        <v>17</v>
      </c>
      <c r="F38" t="s">
        <v>81</v>
      </c>
      <c r="G38">
        <v>41</v>
      </c>
      <c r="H38">
        <v>11</v>
      </c>
      <c r="I38">
        <v>20</v>
      </c>
      <c r="J38" t="s">
        <v>44</v>
      </c>
      <c r="K38" t="s">
        <v>20</v>
      </c>
      <c r="L38" t="s">
        <v>21</v>
      </c>
      <c r="M38" t="s">
        <v>29</v>
      </c>
      <c r="N38" s="2">
        <v>21500</v>
      </c>
    </row>
    <row r="39" spans="1:14" x14ac:dyDescent="0.25">
      <c r="A39" t="s">
        <v>120</v>
      </c>
      <c r="B39" t="s">
        <v>121</v>
      </c>
      <c r="C39" t="s">
        <v>16</v>
      </c>
      <c r="D39" t="s">
        <v>32</v>
      </c>
      <c r="E39" t="s">
        <v>17</v>
      </c>
      <c r="F39" t="s">
        <v>39</v>
      </c>
      <c r="G39">
        <v>43</v>
      </c>
      <c r="H39">
        <v>12.27</v>
      </c>
      <c r="I39">
        <v>23</v>
      </c>
      <c r="J39" t="s">
        <v>19</v>
      </c>
      <c r="K39" t="s">
        <v>20</v>
      </c>
      <c r="L39" t="s">
        <v>45</v>
      </c>
      <c r="M39" t="s">
        <v>122</v>
      </c>
      <c r="N39" s="2">
        <v>9800</v>
      </c>
    </row>
    <row r="40" spans="1:14" x14ac:dyDescent="0.25">
      <c r="A40" t="s">
        <v>76</v>
      </c>
      <c r="B40" t="s">
        <v>77</v>
      </c>
      <c r="C40" t="s">
        <v>16</v>
      </c>
      <c r="D40" t="s">
        <v>16</v>
      </c>
      <c r="E40" t="s">
        <v>17</v>
      </c>
      <c r="F40" t="s">
        <v>78</v>
      </c>
      <c r="G40">
        <v>41</v>
      </c>
      <c r="H40">
        <v>10.4</v>
      </c>
      <c r="I40">
        <v>20</v>
      </c>
      <c r="J40" t="s">
        <v>28</v>
      </c>
      <c r="K40" t="s">
        <v>20</v>
      </c>
      <c r="L40" t="s">
        <v>21</v>
      </c>
      <c r="M40" t="s">
        <v>29</v>
      </c>
      <c r="N40" s="2">
        <v>19900</v>
      </c>
    </row>
    <row r="41" spans="1:14" x14ac:dyDescent="0.25">
      <c r="A41" t="s">
        <v>109</v>
      </c>
      <c r="B41" t="s">
        <v>110</v>
      </c>
      <c r="C41" t="s">
        <v>16</v>
      </c>
      <c r="D41" t="s">
        <v>111</v>
      </c>
      <c r="E41" t="s">
        <v>17</v>
      </c>
      <c r="F41" t="s">
        <v>18</v>
      </c>
      <c r="G41">
        <v>45</v>
      </c>
      <c r="H41">
        <v>15.5</v>
      </c>
      <c r="I41">
        <v>22</v>
      </c>
      <c r="J41" t="s">
        <v>19</v>
      </c>
      <c r="K41" t="s">
        <v>20</v>
      </c>
      <c r="L41" t="s">
        <v>21</v>
      </c>
      <c r="M41" t="s">
        <v>112</v>
      </c>
      <c r="N41" s="2">
        <v>14400</v>
      </c>
    </row>
    <row r="42" spans="1:14" x14ac:dyDescent="0.25">
      <c r="A42" t="s">
        <v>72</v>
      </c>
      <c r="B42" t="s">
        <v>123</v>
      </c>
      <c r="C42" t="s">
        <v>16</v>
      </c>
      <c r="D42" t="s">
        <v>32</v>
      </c>
      <c r="E42" t="s">
        <v>17</v>
      </c>
      <c r="F42" t="s">
        <v>33</v>
      </c>
      <c r="G42">
        <v>42</v>
      </c>
      <c r="H42">
        <v>13.85</v>
      </c>
      <c r="I42">
        <v>22</v>
      </c>
      <c r="J42" t="s">
        <v>44</v>
      </c>
      <c r="K42" t="s">
        <v>20</v>
      </c>
      <c r="L42" t="s">
        <v>35</v>
      </c>
      <c r="M42" t="s">
        <v>22</v>
      </c>
      <c r="N42" s="2">
        <v>9500</v>
      </c>
    </row>
    <row r="43" spans="1:14" x14ac:dyDescent="0.25">
      <c r="A43" t="s">
        <v>124</v>
      </c>
      <c r="B43" t="s">
        <v>125</v>
      </c>
      <c r="C43" t="s">
        <v>25</v>
      </c>
      <c r="D43" t="s">
        <v>32</v>
      </c>
      <c r="E43" t="s">
        <v>17</v>
      </c>
      <c r="F43" t="s">
        <v>33</v>
      </c>
      <c r="G43">
        <v>40</v>
      </c>
      <c r="H43">
        <v>5.15</v>
      </c>
      <c r="I43">
        <v>28</v>
      </c>
      <c r="J43" t="s">
        <v>19</v>
      </c>
      <c r="K43" t="s">
        <v>20</v>
      </c>
      <c r="L43" t="s">
        <v>45</v>
      </c>
      <c r="M43" t="s">
        <v>29</v>
      </c>
      <c r="N43" s="2">
        <v>12800</v>
      </c>
    </row>
    <row r="44" spans="1:14" x14ac:dyDescent="0.25">
      <c r="A44" t="s">
        <v>126</v>
      </c>
      <c r="B44" t="s">
        <v>127</v>
      </c>
      <c r="C44" t="s">
        <v>16</v>
      </c>
      <c r="D44" t="s">
        <v>32</v>
      </c>
      <c r="E44" t="s">
        <v>17</v>
      </c>
      <c r="F44" t="s">
        <v>78</v>
      </c>
      <c r="G44">
        <v>44</v>
      </c>
      <c r="H44">
        <v>13.7</v>
      </c>
      <c r="I44">
        <v>20</v>
      </c>
      <c r="J44" t="s">
        <v>19</v>
      </c>
      <c r="K44" t="s">
        <v>20</v>
      </c>
      <c r="L44" t="s">
        <v>35</v>
      </c>
      <c r="M44" t="s">
        <v>36</v>
      </c>
      <c r="N44" s="2">
        <v>6500</v>
      </c>
    </row>
    <row r="45" spans="1:14" x14ac:dyDescent="0.25">
      <c r="A45" t="s">
        <v>128</v>
      </c>
      <c r="B45" t="s">
        <v>129</v>
      </c>
      <c r="C45" t="s">
        <v>16</v>
      </c>
      <c r="D45" t="s">
        <v>16</v>
      </c>
      <c r="E45" t="s">
        <v>17</v>
      </c>
      <c r="F45" t="s">
        <v>33</v>
      </c>
      <c r="G45">
        <v>42</v>
      </c>
      <c r="H45">
        <v>10.88</v>
      </c>
      <c r="I45">
        <v>20</v>
      </c>
      <c r="J45" t="s">
        <v>28</v>
      </c>
      <c r="K45" t="s">
        <v>20</v>
      </c>
      <c r="L45" t="s">
        <v>45</v>
      </c>
      <c r="M45" t="s">
        <v>130</v>
      </c>
      <c r="N45" s="2">
        <v>7800</v>
      </c>
    </row>
    <row r="46" spans="1:14" x14ac:dyDescent="0.25">
      <c r="A46" t="s">
        <v>131</v>
      </c>
      <c r="B46" t="s">
        <v>132</v>
      </c>
      <c r="C46" t="s">
        <v>16</v>
      </c>
      <c r="D46" t="s">
        <v>32</v>
      </c>
      <c r="E46" t="s">
        <v>17</v>
      </c>
      <c r="F46" t="s">
        <v>78</v>
      </c>
      <c r="G46">
        <v>42</v>
      </c>
      <c r="H46">
        <v>12.2</v>
      </c>
      <c r="I46">
        <v>21</v>
      </c>
      <c r="J46" t="s">
        <v>44</v>
      </c>
      <c r="K46" t="s">
        <v>20</v>
      </c>
      <c r="L46" t="s">
        <v>45</v>
      </c>
      <c r="M46" t="s">
        <v>75</v>
      </c>
      <c r="N46" s="2">
        <v>9200</v>
      </c>
    </row>
    <row r="47" spans="1:14" x14ac:dyDescent="0.25">
      <c r="A47" t="s">
        <v>133</v>
      </c>
      <c r="B47" t="s">
        <v>134</v>
      </c>
      <c r="C47" t="s">
        <v>25</v>
      </c>
      <c r="D47" t="s">
        <v>26</v>
      </c>
      <c r="E47" t="s">
        <v>17</v>
      </c>
      <c r="F47" t="s">
        <v>78</v>
      </c>
      <c r="G47">
        <v>42</v>
      </c>
      <c r="H47">
        <v>9.3000000000000007</v>
      </c>
      <c r="I47">
        <v>20</v>
      </c>
      <c r="J47" t="s">
        <v>19</v>
      </c>
      <c r="K47" t="s">
        <v>20</v>
      </c>
      <c r="L47" t="s">
        <v>45</v>
      </c>
      <c r="M47" t="s">
        <v>36</v>
      </c>
      <c r="N47" s="2">
        <v>6500</v>
      </c>
    </row>
    <row r="48" spans="1:14" x14ac:dyDescent="0.25">
      <c r="A48" t="s">
        <v>93</v>
      </c>
      <c r="B48" t="s">
        <v>107</v>
      </c>
      <c r="C48" t="s">
        <v>16</v>
      </c>
      <c r="D48" t="s">
        <v>32</v>
      </c>
      <c r="E48" t="s">
        <v>17</v>
      </c>
      <c r="F48" t="s">
        <v>39</v>
      </c>
      <c r="G48">
        <v>41</v>
      </c>
      <c r="H48">
        <v>12.3</v>
      </c>
      <c r="I48">
        <v>22</v>
      </c>
      <c r="J48" t="s">
        <v>44</v>
      </c>
      <c r="K48" t="s">
        <v>20</v>
      </c>
      <c r="L48" t="s">
        <v>45</v>
      </c>
      <c r="M48" t="s">
        <v>29</v>
      </c>
      <c r="N48" s="2">
        <v>8400</v>
      </c>
    </row>
    <row r="49" spans="1:14" x14ac:dyDescent="0.25">
      <c r="A49" t="s">
        <v>120</v>
      </c>
      <c r="B49" t="s">
        <v>121</v>
      </c>
      <c r="C49" t="s">
        <v>16</v>
      </c>
      <c r="D49" t="s">
        <v>32</v>
      </c>
      <c r="E49" t="s">
        <v>17</v>
      </c>
      <c r="F49" t="s">
        <v>39</v>
      </c>
      <c r="G49">
        <v>43</v>
      </c>
      <c r="H49">
        <v>12.13</v>
      </c>
      <c r="I49">
        <v>23</v>
      </c>
      <c r="J49" t="s">
        <v>44</v>
      </c>
      <c r="K49" t="s">
        <v>20</v>
      </c>
      <c r="L49" t="s">
        <v>45</v>
      </c>
      <c r="M49" t="s">
        <v>122</v>
      </c>
      <c r="N49" s="2">
        <v>6200</v>
      </c>
    </row>
    <row r="50" spans="1:14" x14ac:dyDescent="0.25">
      <c r="A50" t="s">
        <v>62</v>
      </c>
      <c r="B50" t="s">
        <v>63</v>
      </c>
      <c r="C50" t="s">
        <v>16</v>
      </c>
      <c r="D50" t="s">
        <v>32</v>
      </c>
      <c r="E50" t="s">
        <v>17</v>
      </c>
      <c r="F50" t="s">
        <v>39</v>
      </c>
      <c r="G50">
        <v>38.5</v>
      </c>
      <c r="H50">
        <v>9.3000000000000007</v>
      </c>
      <c r="I50">
        <v>20</v>
      </c>
      <c r="J50" t="s">
        <v>28</v>
      </c>
      <c r="K50" t="s">
        <v>20</v>
      </c>
      <c r="L50" t="s">
        <v>21</v>
      </c>
      <c r="M50" t="s">
        <v>36</v>
      </c>
      <c r="N50" s="2">
        <v>1600</v>
      </c>
    </row>
    <row r="51" spans="1:14" x14ac:dyDescent="0.25">
      <c r="A51" t="s">
        <v>135</v>
      </c>
      <c r="B51" t="s">
        <v>136</v>
      </c>
      <c r="C51" t="s">
        <v>16</v>
      </c>
      <c r="D51" t="s">
        <v>16</v>
      </c>
      <c r="E51" t="s">
        <v>17</v>
      </c>
      <c r="F51" t="s">
        <v>137</v>
      </c>
      <c r="G51">
        <v>40.5</v>
      </c>
      <c r="H51">
        <v>8.3000000000000007</v>
      </c>
      <c r="I51">
        <v>20</v>
      </c>
      <c r="J51" t="s">
        <v>28</v>
      </c>
      <c r="K51" t="s">
        <v>20</v>
      </c>
      <c r="L51" t="s">
        <v>21</v>
      </c>
      <c r="M51" t="s">
        <v>50</v>
      </c>
      <c r="N51" s="2">
        <v>29800</v>
      </c>
    </row>
    <row r="52" spans="1:14" x14ac:dyDescent="0.25">
      <c r="A52" t="s">
        <v>76</v>
      </c>
      <c r="B52" t="s">
        <v>77</v>
      </c>
      <c r="C52" t="s">
        <v>16</v>
      </c>
      <c r="D52" t="s">
        <v>16</v>
      </c>
      <c r="E52" t="s">
        <v>17</v>
      </c>
      <c r="F52" t="s">
        <v>78</v>
      </c>
      <c r="G52">
        <v>41</v>
      </c>
      <c r="H52">
        <v>9.8000000000000007</v>
      </c>
      <c r="I52">
        <v>20</v>
      </c>
      <c r="J52" t="s">
        <v>28</v>
      </c>
      <c r="K52" t="s">
        <v>20</v>
      </c>
      <c r="L52" t="s">
        <v>21</v>
      </c>
      <c r="M52" t="s">
        <v>29</v>
      </c>
      <c r="N52" s="2">
        <v>24500</v>
      </c>
    </row>
    <row r="53" spans="1:14" x14ac:dyDescent="0.25">
      <c r="A53" t="s">
        <v>93</v>
      </c>
      <c r="B53" t="s">
        <v>107</v>
      </c>
      <c r="C53" t="s">
        <v>16</v>
      </c>
      <c r="D53" t="s">
        <v>32</v>
      </c>
      <c r="E53" t="s">
        <v>17</v>
      </c>
      <c r="F53" t="s">
        <v>39</v>
      </c>
      <c r="G53">
        <v>41</v>
      </c>
      <c r="H53">
        <v>12.3</v>
      </c>
      <c r="I53">
        <v>22</v>
      </c>
      <c r="J53" t="s">
        <v>44</v>
      </c>
      <c r="K53" t="s">
        <v>20</v>
      </c>
      <c r="L53" t="s">
        <v>45</v>
      </c>
      <c r="M53" t="s">
        <v>29</v>
      </c>
      <c r="N53" s="2">
        <v>7950</v>
      </c>
    </row>
    <row r="54" spans="1:14" x14ac:dyDescent="0.25">
      <c r="A54" t="s">
        <v>133</v>
      </c>
      <c r="B54" t="s">
        <v>134</v>
      </c>
      <c r="C54" t="s">
        <v>25</v>
      </c>
      <c r="D54" t="s">
        <v>26</v>
      </c>
      <c r="E54" t="s">
        <v>17</v>
      </c>
      <c r="F54" t="s">
        <v>78</v>
      </c>
      <c r="G54">
        <v>42</v>
      </c>
      <c r="H54">
        <v>10.5</v>
      </c>
      <c r="I54">
        <v>22</v>
      </c>
      <c r="J54" t="s">
        <v>19</v>
      </c>
      <c r="K54" t="s">
        <v>20</v>
      </c>
      <c r="L54" t="s">
        <v>45</v>
      </c>
      <c r="M54" t="s">
        <v>36</v>
      </c>
      <c r="N54" s="2">
        <v>8200</v>
      </c>
    </row>
    <row r="55" spans="1:14" x14ac:dyDescent="0.25">
      <c r="A55" t="s">
        <v>109</v>
      </c>
      <c r="B55" t="s">
        <v>110</v>
      </c>
      <c r="C55" t="s">
        <v>16</v>
      </c>
      <c r="D55" t="s">
        <v>111</v>
      </c>
      <c r="E55" t="s">
        <v>17</v>
      </c>
      <c r="F55" t="s">
        <v>18</v>
      </c>
      <c r="G55">
        <v>45</v>
      </c>
      <c r="H55">
        <v>15.4</v>
      </c>
      <c r="I55">
        <v>23</v>
      </c>
      <c r="J55" t="s">
        <v>19</v>
      </c>
      <c r="K55" t="s">
        <v>20</v>
      </c>
      <c r="L55" t="s">
        <v>21</v>
      </c>
      <c r="M55" t="s">
        <v>112</v>
      </c>
      <c r="N55" s="2">
        <v>11500</v>
      </c>
    </row>
    <row r="56" spans="1:14" x14ac:dyDescent="0.25">
      <c r="A56" t="s">
        <v>113</v>
      </c>
      <c r="B56" t="s">
        <v>138</v>
      </c>
      <c r="C56" t="s">
        <v>16</v>
      </c>
      <c r="D56" t="s">
        <v>32</v>
      </c>
      <c r="E56" t="s">
        <v>17</v>
      </c>
      <c r="F56" t="s">
        <v>33</v>
      </c>
      <c r="G56">
        <v>42</v>
      </c>
      <c r="H56">
        <v>13.1</v>
      </c>
      <c r="I56">
        <v>22</v>
      </c>
      <c r="J56" t="s">
        <v>44</v>
      </c>
      <c r="K56" t="s">
        <v>20</v>
      </c>
      <c r="L56" t="s">
        <v>35</v>
      </c>
      <c r="M56" t="s">
        <v>54</v>
      </c>
      <c r="N56" s="2">
        <v>9400</v>
      </c>
    </row>
    <row r="57" spans="1:14" x14ac:dyDescent="0.25">
      <c r="A57" t="s">
        <v>128</v>
      </c>
      <c r="B57" t="s">
        <v>129</v>
      </c>
      <c r="C57" t="s">
        <v>16</v>
      </c>
      <c r="D57" t="s">
        <v>16</v>
      </c>
      <c r="E57" t="s">
        <v>17</v>
      </c>
      <c r="F57" t="s">
        <v>33</v>
      </c>
      <c r="G57">
        <v>38</v>
      </c>
      <c r="H57">
        <v>10.88</v>
      </c>
      <c r="I57">
        <v>25</v>
      </c>
      <c r="J57" t="s">
        <v>28</v>
      </c>
      <c r="K57" t="s">
        <v>20</v>
      </c>
      <c r="L57" t="s">
        <v>45</v>
      </c>
      <c r="M57" t="s">
        <v>130</v>
      </c>
      <c r="N57" s="2">
        <v>6700</v>
      </c>
    </row>
    <row r="58" spans="1:14" x14ac:dyDescent="0.25">
      <c r="A58" t="s">
        <v>126</v>
      </c>
      <c r="B58" t="s">
        <v>127</v>
      </c>
      <c r="C58" t="s">
        <v>16</v>
      </c>
      <c r="D58" t="s">
        <v>32</v>
      </c>
      <c r="E58" t="s">
        <v>17</v>
      </c>
      <c r="F58" t="s">
        <v>78</v>
      </c>
      <c r="G58">
        <v>42</v>
      </c>
      <c r="H58">
        <v>11.43</v>
      </c>
      <c r="I58">
        <v>20</v>
      </c>
      <c r="J58" t="s">
        <v>19</v>
      </c>
      <c r="K58" t="s">
        <v>20</v>
      </c>
      <c r="L58" t="s">
        <v>35</v>
      </c>
      <c r="M58" t="s">
        <v>36</v>
      </c>
      <c r="N58" s="2">
        <v>6100</v>
      </c>
    </row>
    <row r="59" spans="1:14" x14ac:dyDescent="0.25">
      <c r="A59" t="s">
        <v>79</v>
      </c>
      <c r="B59" t="s">
        <v>80</v>
      </c>
      <c r="C59" t="s">
        <v>16</v>
      </c>
      <c r="D59" t="s">
        <v>16</v>
      </c>
      <c r="E59" t="s">
        <v>17</v>
      </c>
      <c r="F59" t="s">
        <v>81</v>
      </c>
      <c r="G59">
        <v>41</v>
      </c>
      <c r="H59">
        <v>11</v>
      </c>
      <c r="I59">
        <v>22</v>
      </c>
      <c r="J59" t="s">
        <v>28</v>
      </c>
      <c r="K59" t="s">
        <v>20</v>
      </c>
      <c r="L59" t="s">
        <v>21</v>
      </c>
      <c r="M59" t="s">
        <v>29</v>
      </c>
      <c r="N59" s="2">
        <v>16300</v>
      </c>
    </row>
    <row r="60" spans="1:14" x14ac:dyDescent="0.25">
      <c r="A60" t="s">
        <v>99</v>
      </c>
      <c r="B60">
        <v>1858</v>
      </c>
      <c r="C60" t="s">
        <v>16</v>
      </c>
      <c r="D60" t="s">
        <v>32</v>
      </c>
      <c r="E60" t="s">
        <v>17</v>
      </c>
      <c r="F60" t="s">
        <v>33</v>
      </c>
      <c r="G60">
        <v>42</v>
      </c>
      <c r="H60">
        <v>12.8</v>
      </c>
      <c r="I60">
        <v>22</v>
      </c>
      <c r="J60" t="s">
        <v>19</v>
      </c>
      <c r="K60" t="s">
        <v>20</v>
      </c>
      <c r="L60" t="s">
        <v>45</v>
      </c>
      <c r="M60" t="s">
        <v>58</v>
      </c>
      <c r="N60" s="2">
        <v>3600</v>
      </c>
    </row>
    <row r="61" spans="1:14" x14ac:dyDescent="0.25">
      <c r="A61" t="s">
        <v>118</v>
      </c>
      <c r="B61" t="s">
        <v>119</v>
      </c>
      <c r="C61" t="s">
        <v>16</v>
      </c>
      <c r="D61" t="s">
        <v>26</v>
      </c>
      <c r="E61" t="s">
        <v>17</v>
      </c>
      <c r="F61" t="s">
        <v>18</v>
      </c>
      <c r="G61">
        <v>44</v>
      </c>
      <c r="H61">
        <v>12.5</v>
      </c>
      <c r="I61">
        <v>22</v>
      </c>
      <c r="J61" t="s">
        <v>19</v>
      </c>
      <c r="K61" t="s">
        <v>20</v>
      </c>
      <c r="L61" t="s">
        <v>21</v>
      </c>
      <c r="M61" t="s">
        <v>29</v>
      </c>
      <c r="N61" s="2">
        <v>9500</v>
      </c>
    </row>
    <row r="62" spans="1:14" x14ac:dyDescent="0.25">
      <c r="A62" t="s">
        <v>14</v>
      </c>
      <c r="B62" t="s">
        <v>103</v>
      </c>
      <c r="C62" t="s">
        <v>16</v>
      </c>
      <c r="D62" t="s">
        <v>16</v>
      </c>
      <c r="E62" t="s">
        <v>17</v>
      </c>
      <c r="F62" t="s">
        <v>33</v>
      </c>
      <c r="G62">
        <v>41</v>
      </c>
      <c r="H62">
        <v>11.2</v>
      </c>
      <c r="I62">
        <v>20</v>
      </c>
      <c r="J62" t="s">
        <v>44</v>
      </c>
      <c r="K62" t="s">
        <v>20</v>
      </c>
      <c r="L62" t="s">
        <v>21</v>
      </c>
      <c r="M62" t="s">
        <v>40</v>
      </c>
      <c r="N62" s="2">
        <v>8900</v>
      </c>
    </row>
    <row r="63" spans="1:14" x14ac:dyDescent="0.25">
      <c r="A63" t="s">
        <v>135</v>
      </c>
      <c r="B63" t="s">
        <v>136</v>
      </c>
      <c r="C63" t="s">
        <v>16</v>
      </c>
      <c r="D63" t="s">
        <v>16</v>
      </c>
      <c r="E63" t="s">
        <v>17</v>
      </c>
      <c r="F63" t="s">
        <v>137</v>
      </c>
      <c r="G63">
        <v>40.799999999999997</v>
      </c>
      <c r="H63">
        <v>8.3000000000000007</v>
      </c>
      <c r="I63">
        <v>20</v>
      </c>
      <c r="J63" t="s">
        <v>28</v>
      </c>
      <c r="K63" t="s">
        <v>20</v>
      </c>
      <c r="L63" t="s">
        <v>139</v>
      </c>
      <c r="M63" t="s">
        <v>22</v>
      </c>
      <c r="N63" s="2">
        <v>44500</v>
      </c>
    </row>
    <row r="64" spans="1:14" x14ac:dyDescent="0.25">
      <c r="A64" t="s">
        <v>76</v>
      </c>
      <c r="B64" t="s">
        <v>77</v>
      </c>
      <c r="C64" t="s">
        <v>16</v>
      </c>
      <c r="D64" t="s">
        <v>16</v>
      </c>
      <c r="E64" t="s">
        <v>17</v>
      </c>
      <c r="F64" t="s">
        <v>78</v>
      </c>
      <c r="G64">
        <v>41</v>
      </c>
      <c r="H64">
        <v>10.4</v>
      </c>
      <c r="I64">
        <v>20</v>
      </c>
      <c r="J64" t="s">
        <v>28</v>
      </c>
      <c r="K64" t="s">
        <v>20</v>
      </c>
      <c r="L64" t="s">
        <v>21</v>
      </c>
      <c r="M64" t="s">
        <v>29</v>
      </c>
      <c r="N64" s="2">
        <v>17000</v>
      </c>
    </row>
    <row r="65" spans="1:14" x14ac:dyDescent="0.25">
      <c r="A65" t="s">
        <v>89</v>
      </c>
      <c r="B65" t="s">
        <v>90</v>
      </c>
      <c r="C65" t="s">
        <v>16</v>
      </c>
      <c r="D65" t="s">
        <v>140</v>
      </c>
      <c r="E65" t="s">
        <v>17</v>
      </c>
      <c r="F65" t="s">
        <v>53</v>
      </c>
      <c r="G65">
        <v>41</v>
      </c>
      <c r="H65">
        <v>12.7</v>
      </c>
      <c r="I65">
        <v>22</v>
      </c>
      <c r="J65" t="s">
        <v>19</v>
      </c>
      <c r="K65" t="s">
        <v>20</v>
      </c>
      <c r="L65" t="s">
        <v>45</v>
      </c>
      <c r="M65" t="s">
        <v>40</v>
      </c>
      <c r="N65" s="2">
        <v>4500</v>
      </c>
    </row>
    <row r="66" spans="1:14" x14ac:dyDescent="0.25">
      <c r="A66" t="s">
        <v>93</v>
      </c>
      <c r="B66" t="s">
        <v>107</v>
      </c>
      <c r="C66" t="s">
        <v>16</v>
      </c>
      <c r="D66" t="s">
        <v>32</v>
      </c>
      <c r="E66" t="s">
        <v>17</v>
      </c>
      <c r="F66" t="s">
        <v>39</v>
      </c>
      <c r="G66">
        <v>41</v>
      </c>
      <c r="H66">
        <v>12.3</v>
      </c>
      <c r="I66">
        <v>22</v>
      </c>
      <c r="J66" t="s">
        <v>44</v>
      </c>
      <c r="K66" t="s">
        <v>20</v>
      </c>
      <c r="L66" t="s">
        <v>141</v>
      </c>
      <c r="M66" t="s">
        <v>142</v>
      </c>
      <c r="N66" s="2">
        <v>8300</v>
      </c>
    </row>
    <row r="67" spans="1:14" x14ac:dyDescent="0.25">
      <c r="A67" t="s">
        <v>86</v>
      </c>
      <c r="B67" t="s">
        <v>143</v>
      </c>
      <c r="C67" t="s">
        <v>16</v>
      </c>
      <c r="D67" t="s">
        <v>32</v>
      </c>
      <c r="E67" t="s">
        <v>17</v>
      </c>
      <c r="F67" t="s">
        <v>18</v>
      </c>
      <c r="G67">
        <v>44</v>
      </c>
      <c r="H67">
        <v>13.05</v>
      </c>
      <c r="I67">
        <v>24</v>
      </c>
      <c r="J67" t="s">
        <v>19</v>
      </c>
      <c r="K67" t="s">
        <v>20</v>
      </c>
      <c r="L67" t="s">
        <v>144</v>
      </c>
      <c r="M67" t="s">
        <v>145</v>
      </c>
      <c r="N67" s="2">
        <v>8900</v>
      </c>
    </row>
    <row r="68" spans="1:14" x14ac:dyDescent="0.25">
      <c r="A68" t="s">
        <v>109</v>
      </c>
      <c r="B68" t="s">
        <v>110</v>
      </c>
      <c r="C68" t="s">
        <v>16</v>
      </c>
      <c r="D68" t="s">
        <v>140</v>
      </c>
      <c r="E68" t="s">
        <v>17</v>
      </c>
      <c r="F68" t="s">
        <v>18</v>
      </c>
      <c r="G68">
        <v>43.6</v>
      </c>
      <c r="H68">
        <v>13.83</v>
      </c>
      <c r="I68">
        <v>23</v>
      </c>
      <c r="J68" t="s">
        <v>19</v>
      </c>
      <c r="K68" t="s">
        <v>20</v>
      </c>
      <c r="L68" t="s">
        <v>146</v>
      </c>
      <c r="M68" t="s">
        <v>112</v>
      </c>
      <c r="N68" s="2">
        <v>12000</v>
      </c>
    </row>
    <row r="69" spans="1:14" x14ac:dyDescent="0.25">
      <c r="A69" t="s">
        <v>133</v>
      </c>
      <c r="B69" t="s">
        <v>134</v>
      </c>
      <c r="C69" t="s">
        <v>25</v>
      </c>
      <c r="D69" t="s">
        <v>26</v>
      </c>
      <c r="E69" t="s">
        <v>17</v>
      </c>
      <c r="F69" t="s">
        <v>78</v>
      </c>
      <c r="G69">
        <v>45</v>
      </c>
      <c r="H69">
        <v>10.95</v>
      </c>
      <c r="I69">
        <v>24</v>
      </c>
      <c r="J69" t="s">
        <v>28</v>
      </c>
      <c r="K69" t="s">
        <v>20</v>
      </c>
      <c r="L69" t="s">
        <v>21</v>
      </c>
      <c r="M69" t="s">
        <v>36</v>
      </c>
      <c r="N69" s="2">
        <v>7500</v>
      </c>
    </row>
    <row r="70" spans="1:14" x14ac:dyDescent="0.25">
      <c r="A70" t="s">
        <v>113</v>
      </c>
      <c r="B70" t="s">
        <v>138</v>
      </c>
      <c r="C70" t="s">
        <v>16</v>
      </c>
      <c r="D70" t="s">
        <v>32</v>
      </c>
      <c r="E70" t="s">
        <v>17</v>
      </c>
      <c r="F70" t="s">
        <v>78</v>
      </c>
      <c r="G70">
        <v>42</v>
      </c>
      <c r="H70">
        <v>14.05</v>
      </c>
      <c r="I70">
        <v>22</v>
      </c>
      <c r="J70" t="s">
        <v>44</v>
      </c>
      <c r="K70" t="s">
        <v>20</v>
      </c>
      <c r="L70" t="s">
        <v>141</v>
      </c>
      <c r="M70" t="s">
        <v>54</v>
      </c>
      <c r="N70" s="2">
        <v>6900</v>
      </c>
    </row>
    <row r="71" spans="1:14" x14ac:dyDescent="0.25">
      <c r="A71" t="s">
        <v>79</v>
      </c>
      <c r="B71" t="s">
        <v>80</v>
      </c>
      <c r="C71" t="s">
        <v>16</v>
      </c>
      <c r="D71" t="s">
        <v>16</v>
      </c>
      <c r="E71" t="s">
        <v>17</v>
      </c>
      <c r="F71" t="s">
        <v>78</v>
      </c>
      <c r="G71">
        <v>41</v>
      </c>
      <c r="H71">
        <v>11</v>
      </c>
      <c r="I71">
        <v>20</v>
      </c>
      <c r="J71" t="s">
        <v>28</v>
      </c>
      <c r="K71" t="s">
        <v>20</v>
      </c>
      <c r="L71" t="s">
        <v>144</v>
      </c>
      <c r="M71" t="s">
        <v>29</v>
      </c>
      <c r="N71" s="2">
        <v>15500</v>
      </c>
    </row>
    <row r="72" spans="1:14" x14ac:dyDescent="0.25">
      <c r="A72" t="s">
        <v>128</v>
      </c>
      <c r="B72" t="s">
        <v>129</v>
      </c>
      <c r="C72" t="s">
        <v>16</v>
      </c>
      <c r="D72" t="s">
        <v>16</v>
      </c>
      <c r="E72" t="s">
        <v>17</v>
      </c>
      <c r="F72" t="s">
        <v>33</v>
      </c>
      <c r="G72">
        <v>42</v>
      </c>
      <c r="H72">
        <v>10.88</v>
      </c>
      <c r="I72">
        <v>22</v>
      </c>
      <c r="J72" t="s">
        <v>19</v>
      </c>
      <c r="K72" t="s">
        <v>20</v>
      </c>
      <c r="L72" t="s">
        <v>45</v>
      </c>
      <c r="M72" t="s">
        <v>130</v>
      </c>
      <c r="N72" s="2">
        <v>11200</v>
      </c>
    </row>
    <row r="73" spans="1:14" x14ac:dyDescent="0.25">
      <c r="A73" t="s">
        <v>76</v>
      </c>
      <c r="B73" t="s">
        <v>77</v>
      </c>
      <c r="C73" t="s">
        <v>16</v>
      </c>
      <c r="D73" t="s">
        <v>16</v>
      </c>
      <c r="E73" t="s">
        <v>17</v>
      </c>
      <c r="F73" t="s">
        <v>78</v>
      </c>
      <c r="G73">
        <v>39</v>
      </c>
      <c r="H73">
        <v>9.4</v>
      </c>
      <c r="I73">
        <v>20</v>
      </c>
      <c r="J73" t="s">
        <v>28</v>
      </c>
      <c r="K73" t="s">
        <v>20</v>
      </c>
      <c r="L73" t="s">
        <v>147</v>
      </c>
      <c r="M73" t="s">
        <v>29</v>
      </c>
      <c r="N73" s="2">
        <v>18900</v>
      </c>
    </row>
    <row r="74" spans="1:14" x14ac:dyDescent="0.25">
      <c r="A74" t="s">
        <v>135</v>
      </c>
      <c r="B74" t="s">
        <v>136</v>
      </c>
      <c r="C74" t="s">
        <v>16</v>
      </c>
      <c r="D74" t="s">
        <v>16</v>
      </c>
      <c r="E74" t="s">
        <v>17</v>
      </c>
      <c r="F74" t="s">
        <v>137</v>
      </c>
      <c r="G74">
        <v>40.5</v>
      </c>
      <c r="H74">
        <v>8.3000000000000007</v>
      </c>
      <c r="I74">
        <v>20</v>
      </c>
      <c r="J74" t="s">
        <v>28</v>
      </c>
      <c r="K74" t="s">
        <v>20</v>
      </c>
      <c r="L74" t="s">
        <v>21</v>
      </c>
      <c r="M74" t="s">
        <v>50</v>
      </c>
      <c r="N74" s="2">
        <v>49800</v>
      </c>
    </row>
    <row r="75" spans="1:14" x14ac:dyDescent="0.25">
      <c r="A75" t="s">
        <v>93</v>
      </c>
      <c r="B75" t="s">
        <v>94</v>
      </c>
      <c r="C75" t="s">
        <v>16</v>
      </c>
      <c r="D75" t="s">
        <v>32</v>
      </c>
      <c r="E75" t="s">
        <v>17</v>
      </c>
      <c r="F75" t="s">
        <v>95</v>
      </c>
      <c r="G75">
        <v>41</v>
      </c>
      <c r="H75">
        <v>12.5</v>
      </c>
      <c r="I75">
        <v>20</v>
      </c>
      <c r="J75" t="s">
        <v>19</v>
      </c>
      <c r="K75" t="s">
        <v>20</v>
      </c>
      <c r="L75" t="s">
        <v>148</v>
      </c>
      <c r="M75" t="s">
        <v>149</v>
      </c>
      <c r="N75" s="2">
        <v>5500</v>
      </c>
    </row>
    <row r="76" spans="1:14" x14ac:dyDescent="0.25">
      <c r="A76" t="s">
        <v>86</v>
      </c>
      <c r="B76" t="s">
        <v>150</v>
      </c>
      <c r="C76" t="s">
        <v>25</v>
      </c>
      <c r="D76" t="s">
        <v>26</v>
      </c>
      <c r="E76" t="s">
        <v>17</v>
      </c>
      <c r="F76" t="s">
        <v>18</v>
      </c>
      <c r="G76">
        <v>44</v>
      </c>
      <c r="H76">
        <v>15.65</v>
      </c>
      <c r="I76">
        <v>24</v>
      </c>
      <c r="J76" t="s">
        <v>19</v>
      </c>
      <c r="K76" t="s">
        <v>20</v>
      </c>
      <c r="L76" t="s">
        <v>21</v>
      </c>
      <c r="M76" t="s">
        <v>145</v>
      </c>
      <c r="N76" s="2">
        <v>9600</v>
      </c>
    </row>
    <row r="77" spans="1:14" x14ac:dyDescent="0.25">
      <c r="A77" t="s">
        <v>72</v>
      </c>
      <c r="B77" t="s">
        <v>151</v>
      </c>
      <c r="C77" t="s">
        <v>16</v>
      </c>
      <c r="D77" t="s">
        <v>32</v>
      </c>
      <c r="E77" t="s">
        <v>17</v>
      </c>
      <c r="F77" t="s">
        <v>33</v>
      </c>
      <c r="G77">
        <v>39.5</v>
      </c>
      <c r="H77">
        <v>14.1</v>
      </c>
      <c r="I77">
        <v>20</v>
      </c>
      <c r="J77" t="s">
        <v>19</v>
      </c>
      <c r="K77" t="s">
        <v>20</v>
      </c>
      <c r="L77" t="s">
        <v>152</v>
      </c>
      <c r="M77" t="s">
        <v>22</v>
      </c>
      <c r="N77" s="2">
        <v>8800</v>
      </c>
    </row>
    <row r="78" spans="1:14" x14ac:dyDescent="0.25">
      <c r="A78" t="s">
        <v>109</v>
      </c>
      <c r="B78" t="s">
        <v>110</v>
      </c>
      <c r="C78" t="s">
        <v>16</v>
      </c>
      <c r="D78" t="s">
        <v>26</v>
      </c>
      <c r="E78" t="s">
        <v>17</v>
      </c>
      <c r="F78" t="s">
        <v>18</v>
      </c>
      <c r="G78">
        <v>43</v>
      </c>
      <c r="H78">
        <v>13.4</v>
      </c>
      <c r="I78">
        <v>23</v>
      </c>
      <c r="J78" t="s">
        <v>19</v>
      </c>
      <c r="K78" t="s">
        <v>20</v>
      </c>
      <c r="L78" t="s">
        <v>21</v>
      </c>
      <c r="M78" t="s">
        <v>112</v>
      </c>
      <c r="N78" s="2">
        <v>14700</v>
      </c>
    </row>
    <row r="79" spans="1:14" x14ac:dyDescent="0.25">
      <c r="A79" t="s">
        <v>128</v>
      </c>
      <c r="B79" t="s">
        <v>129</v>
      </c>
      <c r="C79" t="s">
        <v>16</v>
      </c>
      <c r="D79" t="s">
        <v>16</v>
      </c>
      <c r="E79" t="s">
        <v>17</v>
      </c>
      <c r="F79" t="s">
        <v>33</v>
      </c>
      <c r="G79">
        <v>42</v>
      </c>
      <c r="H79">
        <v>10.88</v>
      </c>
      <c r="I79">
        <v>22</v>
      </c>
      <c r="J79" t="s">
        <v>28</v>
      </c>
      <c r="K79" t="s">
        <v>20</v>
      </c>
      <c r="L79" t="s">
        <v>21</v>
      </c>
      <c r="M79" t="s">
        <v>130</v>
      </c>
      <c r="N79" s="2">
        <v>10600</v>
      </c>
    </row>
    <row r="80" spans="1:14" x14ac:dyDescent="0.25">
      <c r="A80" t="s">
        <v>79</v>
      </c>
      <c r="B80" t="s">
        <v>80</v>
      </c>
      <c r="C80" t="s">
        <v>16</v>
      </c>
      <c r="D80" t="s">
        <v>16</v>
      </c>
      <c r="E80" t="s">
        <v>17</v>
      </c>
      <c r="F80" t="s">
        <v>81</v>
      </c>
      <c r="G80">
        <v>41</v>
      </c>
      <c r="H80">
        <v>11</v>
      </c>
      <c r="I80">
        <v>20</v>
      </c>
      <c r="J80" t="s">
        <v>19</v>
      </c>
      <c r="K80" t="s">
        <v>20</v>
      </c>
      <c r="L80" t="s">
        <v>21</v>
      </c>
      <c r="M80" t="s">
        <v>29</v>
      </c>
      <c r="N80" s="2">
        <v>19200</v>
      </c>
    </row>
    <row r="81" spans="1:14" x14ac:dyDescent="0.25">
      <c r="A81" t="s">
        <v>113</v>
      </c>
      <c r="B81" t="s">
        <v>114</v>
      </c>
      <c r="C81" t="s">
        <v>16</v>
      </c>
      <c r="D81" t="s">
        <v>32</v>
      </c>
      <c r="E81" t="s">
        <v>17</v>
      </c>
      <c r="F81" t="s">
        <v>33</v>
      </c>
      <c r="G81">
        <v>38</v>
      </c>
      <c r="H81">
        <v>12.15</v>
      </c>
      <c r="I81">
        <v>19</v>
      </c>
      <c r="J81" t="s">
        <v>44</v>
      </c>
      <c r="K81" t="s">
        <v>20</v>
      </c>
      <c r="L81" t="s">
        <v>35</v>
      </c>
      <c r="M81" t="s">
        <v>54</v>
      </c>
      <c r="N81" s="2">
        <v>7500</v>
      </c>
    </row>
    <row r="82" spans="1:14" x14ac:dyDescent="0.25">
      <c r="A82" t="s">
        <v>126</v>
      </c>
      <c r="B82" t="s">
        <v>127</v>
      </c>
      <c r="C82" t="s">
        <v>16</v>
      </c>
      <c r="D82" t="s">
        <v>32</v>
      </c>
      <c r="E82" t="s">
        <v>17</v>
      </c>
      <c r="F82" t="s">
        <v>78</v>
      </c>
      <c r="G82">
        <v>42</v>
      </c>
      <c r="H82">
        <v>12.67</v>
      </c>
      <c r="I82">
        <v>20</v>
      </c>
      <c r="J82" t="s">
        <v>19</v>
      </c>
      <c r="K82" t="s">
        <v>20</v>
      </c>
      <c r="L82" t="s">
        <v>35</v>
      </c>
      <c r="M82" t="s">
        <v>22</v>
      </c>
      <c r="N82" s="2">
        <v>5600</v>
      </c>
    </row>
    <row r="83" spans="1:14" x14ac:dyDescent="0.25">
      <c r="A83" t="s">
        <v>62</v>
      </c>
      <c r="B83" t="s">
        <v>153</v>
      </c>
      <c r="C83" t="s">
        <v>16</v>
      </c>
      <c r="D83" t="s">
        <v>16</v>
      </c>
      <c r="E83" t="s">
        <v>17</v>
      </c>
      <c r="F83" t="s">
        <v>18</v>
      </c>
      <c r="G83">
        <v>43</v>
      </c>
      <c r="H83">
        <v>12.75</v>
      </c>
      <c r="I83">
        <v>22</v>
      </c>
      <c r="J83" t="s">
        <v>28</v>
      </c>
      <c r="K83" t="s">
        <v>20</v>
      </c>
      <c r="L83" t="s">
        <v>21</v>
      </c>
      <c r="M83" t="s">
        <v>64</v>
      </c>
      <c r="N83" s="2">
        <v>1400</v>
      </c>
    </row>
    <row r="84" spans="1:14" x14ac:dyDescent="0.25">
      <c r="A84" t="s">
        <v>14</v>
      </c>
      <c r="B84" t="s">
        <v>15</v>
      </c>
      <c r="C84" t="s">
        <v>16</v>
      </c>
      <c r="D84" t="s">
        <v>16</v>
      </c>
      <c r="E84" t="s">
        <v>17</v>
      </c>
      <c r="F84" t="s">
        <v>18</v>
      </c>
      <c r="G84">
        <v>40</v>
      </c>
      <c r="H84">
        <v>13</v>
      </c>
      <c r="I84">
        <v>20</v>
      </c>
      <c r="J84" t="s">
        <v>19</v>
      </c>
      <c r="K84" t="s">
        <v>20</v>
      </c>
      <c r="L84" t="s">
        <v>21</v>
      </c>
      <c r="M84" t="s">
        <v>22</v>
      </c>
      <c r="N84" s="2">
        <v>9500</v>
      </c>
    </row>
    <row r="85" spans="1:14" x14ac:dyDescent="0.25">
      <c r="A85" t="s">
        <v>23</v>
      </c>
      <c r="B85" t="s">
        <v>24</v>
      </c>
      <c r="C85" t="s">
        <v>25</v>
      </c>
      <c r="D85" t="s">
        <v>26</v>
      </c>
      <c r="E85" t="s">
        <v>17</v>
      </c>
      <c r="F85" t="s">
        <v>27</v>
      </c>
      <c r="G85">
        <v>43.5</v>
      </c>
      <c r="H85">
        <v>14.47</v>
      </c>
      <c r="I85">
        <v>21</v>
      </c>
      <c r="J85" t="s">
        <v>28</v>
      </c>
      <c r="K85" t="s">
        <v>20</v>
      </c>
      <c r="L85" t="s">
        <v>21</v>
      </c>
      <c r="M85" t="s">
        <v>29</v>
      </c>
      <c r="N85" s="2">
        <v>5800</v>
      </c>
    </row>
    <row r="86" spans="1:14" x14ac:dyDescent="0.25">
      <c r="A86" t="s">
        <v>30</v>
      </c>
      <c r="B86" t="s">
        <v>31</v>
      </c>
      <c r="C86" t="s">
        <v>16</v>
      </c>
      <c r="D86" t="s">
        <v>32</v>
      </c>
      <c r="E86" t="s">
        <v>17</v>
      </c>
      <c r="F86" t="s">
        <v>33</v>
      </c>
      <c r="G86">
        <v>41</v>
      </c>
      <c r="H86">
        <v>13</v>
      </c>
      <c r="I86">
        <v>20</v>
      </c>
      <c r="J86" t="s">
        <v>34</v>
      </c>
      <c r="K86" t="s">
        <v>20</v>
      </c>
      <c r="L86" t="s">
        <v>35</v>
      </c>
      <c r="M86" t="s">
        <v>36</v>
      </c>
      <c r="N86" s="2">
        <v>4200</v>
      </c>
    </row>
    <row r="87" spans="1:14" x14ac:dyDescent="0.25">
      <c r="A87" t="s">
        <v>37</v>
      </c>
      <c r="B87" t="s">
        <v>38</v>
      </c>
      <c r="C87" t="s">
        <v>16</v>
      </c>
      <c r="D87" t="s">
        <v>16</v>
      </c>
      <c r="E87" t="s">
        <v>17</v>
      </c>
      <c r="F87" t="s">
        <v>39</v>
      </c>
      <c r="G87">
        <v>43</v>
      </c>
      <c r="H87">
        <v>14.25</v>
      </c>
      <c r="I87">
        <v>22</v>
      </c>
      <c r="J87" t="s">
        <v>19</v>
      </c>
      <c r="K87" t="s">
        <v>20</v>
      </c>
      <c r="L87" t="s">
        <v>35</v>
      </c>
      <c r="M87" t="s">
        <v>40</v>
      </c>
      <c r="N87" s="2">
        <v>7900</v>
      </c>
    </row>
    <row r="88" spans="1:14" x14ac:dyDescent="0.25">
      <c r="A88" t="s">
        <v>41</v>
      </c>
      <c r="B88" t="s">
        <v>42</v>
      </c>
      <c r="C88" t="s">
        <v>16</v>
      </c>
      <c r="D88" t="s">
        <v>32</v>
      </c>
      <c r="E88" t="s">
        <v>43</v>
      </c>
      <c r="F88" t="s">
        <v>39</v>
      </c>
      <c r="G88">
        <v>31</v>
      </c>
      <c r="H88">
        <v>6.05</v>
      </c>
      <c r="I88">
        <v>20</v>
      </c>
      <c r="J88" t="s">
        <v>44</v>
      </c>
      <c r="K88" t="s">
        <v>20</v>
      </c>
      <c r="L88" t="s">
        <v>45</v>
      </c>
      <c r="M88" t="s">
        <v>46</v>
      </c>
      <c r="N88" s="2">
        <v>2800</v>
      </c>
    </row>
    <row r="89" spans="1:14" x14ac:dyDescent="0.25">
      <c r="A89" t="s">
        <v>47</v>
      </c>
      <c r="B89" t="s">
        <v>48</v>
      </c>
      <c r="C89" t="s">
        <v>16</v>
      </c>
      <c r="D89" t="s">
        <v>32</v>
      </c>
      <c r="E89" t="s">
        <v>49</v>
      </c>
      <c r="F89" t="s">
        <v>39</v>
      </c>
      <c r="G89">
        <v>42.9</v>
      </c>
      <c r="H89">
        <v>9.1999999999999993</v>
      </c>
      <c r="I89">
        <v>20</v>
      </c>
      <c r="J89" t="s">
        <v>19</v>
      </c>
      <c r="K89" t="s">
        <v>20</v>
      </c>
      <c r="L89" t="s">
        <v>45</v>
      </c>
      <c r="M89" t="s">
        <v>50</v>
      </c>
      <c r="N89" s="2">
        <v>5500</v>
      </c>
    </row>
    <row r="90" spans="1:14" x14ac:dyDescent="0.25">
      <c r="A90" t="s">
        <v>89</v>
      </c>
      <c r="B90" t="s">
        <v>90</v>
      </c>
      <c r="C90" t="s">
        <v>16</v>
      </c>
      <c r="D90" t="s">
        <v>32</v>
      </c>
      <c r="E90" t="s">
        <v>17</v>
      </c>
      <c r="F90" t="s">
        <v>53</v>
      </c>
      <c r="G90">
        <v>41</v>
      </c>
      <c r="H90">
        <v>12.75</v>
      </c>
      <c r="I90">
        <v>22</v>
      </c>
      <c r="J90" t="s">
        <v>19</v>
      </c>
      <c r="K90" t="s">
        <v>20</v>
      </c>
      <c r="L90" t="s">
        <v>21</v>
      </c>
      <c r="M90" t="s">
        <v>40</v>
      </c>
      <c r="N90" s="2">
        <v>3500</v>
      </c>
    </row>
    <row r="91" spans="1:14" x14ac:dyDescent="0.25">
      <c r="A91" t="s">
        <v>51</v>
      </c>
      <c r="B91" t="s">
        <v>52</v>
      </c>
      <c r="C91" t="s">
        <v>16</v>
      </c>
      <c r="D91" t="s">
        <v>154</v>
      </c>
      <c r="E91" t="s">
        <v>17</v>
      </c>
      <c r="F91" t="s">
        <v>53</v>
      </c>
      <c r="G91">
        <v>42.3</v>
      </c>
      <c r="H91">
        <v>13.4</v>
      </c>
      <c r="I91">
        <v>22</v>
      </c>
      <c r="J91" t="s">
        <v>28</v>
      </c>
      <c r="K91" t="s">
        <v>155</v>
      </c>
      <c r="L91" t="s">
        <v>45</v>
      </c>
      <c r="M91" t="s">
        <v>54</v>
      </c>
      <c r="N91" s="2">
        <v>650</v>
      </c>
    </row>
    <row r="92" spans="1:14" x14ac:dyDescent="0.25">
      <c r="A92" t="s">
        <v>59</v>
      </c>
      <c r="B92" t="s">
        <v>156</v>
      </c>
      <c r="C92" t="s">
        <v>16</v>
      </c>
      <c r="D92" t="s">
        <v>32</v>
      </c>
      <c r="E92" t="s">
        <v>17</v>
      </c>
      <c r="F92" t="s">
        <v>33</v>
      </c>
      <c r="G92">
        <v>38</v>
      </c>
      <c r="H92">
        <v>9.85</v>
      </c>
      <c r="I92">
        <v>20</v>
      </c>
      <c r="J92" t="s">
        <v>19</v>
      </c>
      <c r="K92" t="s">
        <v>20</v>
      </c>
      <c r="L92" t="s">
        <v>45</v>
      </c>
      <c r="M92" t="s">
        <v>61</v>
      </c>
      <c r="N92" s="2">
        <v>545</v>
      </c>
    </row>
    <row r="93" spans="1:14" x14ac:dyDescent="0.25">
      <c r="A93" t="s">
        <v>157</v>
      </c>
      <c r="B93" t="s">
        <v>158</v>
      </c>
      <c r="C93" t="s">
        <v>16</v>
      </c>
      <c r="D93" t="s">
        <v>16</v>
      </c>
      <c r="E93" t="s">
        <v>43</v>
      </c>
      <c r="F93" t="s">
        <v>18</v>
      </c>
      <c r="G93">
        <v>46.5</v>
      </c>
      <c r="H93">
        <v>17.5</v>
      </c>
      <c r="I93">
        <v>24</v>
      </c>
      <c r="J93" t="s">
        <v>19</v>
      </c>
      <c r="K93" t="s">
        <v>55</v>
      </c>
      <c r="L93" t="s">
        <v>35</v>
      </c>
      <c r="M93" t="s">
        <v>46</v>
      </c>
      <c r="N93" s="2">
        <v>650</v>
      </c>
    </row>
    <row r="94" spans="1:14" x14ac:dyDescent="0.25">
      <c r="A94" t="s">
        <v>23</v>
      </c>
      <c r="B94" t="s">
        <v>82</v>
      </c>
      <c r="C94" t="s">
        <v>16</v>
      </c>
      <c r="D94" t="s">
        <v>16</v>
      </c>
      <c r="E94" t="s">
        <v>49</v>
      </c>
      <c r="F94" t="s">
        <v>78</v>
      </c>
      <c r="G94">
        <v>42</v>
      </c>
      <c r="H94">
        <v>14.3</v>
      </c>
      <c r="I94">
        <v>20</v>
      </c>
      <c r="J94" t="s">
        <v>19</v>
      </c>
      <c r="K94" t="s">
        <v>106</v>
      </c>
      <c r="L94" t="s">
        <v>83</v>
      </c>
      <c r="M94" t="s">
        <v>22</v>
      </c>
      <c r="N94" s="2">
        <v>5500</v>
      </c>
    </row>
    <row r="95" spans="1:14" x14ac:dyDescent="0.25">
      <c r="A95" t="s">
        <v>37</v>
      </c>
      <c r="B95" t="s">
        <v>159</v>
      </c>
      <c r="C95" t="s">
        <v>16</v>
      </c>
      <c r="D95" t="s">
        <v>26</v>
      </c>
      <c r="E95" t="s">
        <v>17</v>
      </c>
      <c r="F95" t="s">
        <v>53</v>
      </c>
      <c r="G95">
        <v>42</v>
      </c>
      <c r="H95">
        <v>14.35</v>
      </c>
      <c r="I95">
        <v>22</v>
      </c>
      <c r="J95" t="s">
        <v>19</v>
      </c>
      <c r="K95" t="s">
        <v>20</v>
      </c>
      <c r="L95" t="s">
        <v>21</v>
      </c>
      <c r="M95" t="s">
        <v>58</v>
      </c>
      <c r="N95" s="2">
        <v>4800</v>
      </c>
    </row>
    <row r="96" spans="1:14" x14ac:dyDescent="0.25">
      <c r="A96" t="s">
        <v>47</v>
      </c>
      <c r="B96" t="s">
        <v>160</v>
      </c>
      <c r="C96" t="s">
        <v>16</v>
      </c>
      <c r="D96" t="s">
        <v>32</v>
      </c>
      <c r="E96" t="s">
        <v>17</v>
      </c>
      <c r="F96" t="s">
        <v>78</v>
      </c>
      <c r="G96">
        <v>40</v>
      </c>
      <c r="H96">
        <v>8.8000000000000007</v>
      </c>
      <c r="I96">
        <v>20</v>
      </c>
      <c r="J96" t="s">
        <v>44</v>
      </c>
      <c r="K96" t="s">
        <v>20</v>
      </c>
      <c r="L96" t="s">
        <v>21</v>
      </c>
      <c r="M96" t="s">
        <v>40</v>
      </c>
      <c r="N96" s="2">
        <v>6500</v>
      </c>
    </row>
    <row r="97" spans="1:14" x14ac:dyDescent="0.25">
      <c r="A97" t="s">
        <v>41</v>
      </c>
      <c r="B97" t="s">
        <v>161</v>
      </c>
      <c r="C97" t="s">
        <v>16</v>
      </c>
      <c r="D97" t="s">
        <v>16</v>
      </c>
      <c r="E97" t="s">
        <v>17</v>
      </c>
      <c r="F97" t="s">
        <v>33</v>
      </c>
      <c r="G97">
        <v>39.799999999999997</v>
      </c>
      <c r="H97">
        <v>9.08</v>
      </c>
      <c r="I97">
        <v>21.5</v>
      </c>
      <c r="J97" t="s">
        <v>44</v>
      </c>
      <c r="K97" t="s">
        <v>20</v>
      </c>
      <c r="L97" t="s">
        <v>21</v>
      </c>
      <c r="M97" t="s">
        <v>36</v>
      </c>
      <c r="N97" s="2">
        <v>7500</v>
      </c>
    </row>
    <row r="98" spans="1:14" x14ac:dyDescent="0.25">
      <c r="A98" t="s">
        <v>113</v>
      </c>
      <c r="B98" t="s">
        <v>162</v>
      </c>
      <c r="C98" t="s">
        <v>16</v>
      </c>
      <c r="D98" t="s">
        <v>32</v>
      </c>
      <c r="E98" t="s">
        <v>17</v>
      </c>
      <c r="F98" t="s">
        <v>78</v>
      </c>
      <c r="G98">
        <v>40.5</v>
      </c>
      <c r="H98">
        <v>9.15</v>
      </c>
      <c r="I98">
        <v>20</v>
      </c>
      <c r="J98" t="s">
        <v>44</v>
      </c>
      <c r="K98" t="s">
        <v>20</v>
      </c>
      <c r="L98" t="s">
        <v>45</v>
      </c>
      <c r="M98" t="s">
        <v>54</v>
      </c>
      <c r="N98" s="2">
        <v>4500</v>
      </c>
    </row>
    <row r="99" spans="1:14" x14ac:dyDescent="0.25">
      <c r="A99" t="s">
        <v>86</v>
      </c>
      <c r="B99" t="s">
        <v>163</v>
      </c>
      <c r="C99" t="s">
        <v>16</v>
      </c>
      <c r="D99" t="s">
        <v>32</v>
      </c>
      <c r="E99" t="s">
        <v>49</v>
      </c>
      <c r="F99" t="s">
        <v>33</v>
      </c>
      <c r="G99">
        <v>44</v>
      </c>
      <c r="H99">
        <v>10.5</v>
      </c>
      <c r="I99">
        <v>24</v>
      </c>
      <c r="J99" t="s">
        <v>19</v>
      </c>
      <c r="K99" t="s">
        <v>20</v>
      </c>
      <c r="L99" t="s">
        <v>45</v>
      </c>
      <c r="M99" t="s">
        <v>88</v>
      </c>
      <c r="N99" s="2">
        <v>5800</v>
      </c>
    </row>
    <row r="100" spans="1:14" x14ac:dyDescent="0.25">
      <c r="A100" t="s">
        <v>76</v>
      </c>
      <c r="B100" t="s">
        <v>77</v>
      </c>
      <c r="C100" t="s">
        <v>16</v>
      </c>
      <c r="D100" t="s">
        <v>16</v>
      </c>
      <c r="E100" t="s">
        <v>17</v>
      </c>
      <c r="F100" t="s">
        <v>78</v>
      </c>
      <c r="G100">
        <v>41</v>
      </c>
      <c r="H100">
        <v>10.4</v>
      </c>
      <c r="I100">
        <v>20</v>
      </c>
      <c r="J100" t="s">
        <v>44</v>
      </c>
      <c r="K100" t="s">
        <v>20</v>
      </c>
      <c r="L100" t="s">
        <v>21</v>
      </c>
      <c r="M100" t="s">
        <v>29</v>
      </c>
      <c r="N100" s="2">
        <v>21000</v>
      </c>
    </row>
    <row r="101" spans="1:14" x14ac:dyDescent="0.25">
      <c r="A101" t="s">
        <v>93</v>
      </c>
      <c r="B101" t="s">
        <v>94</v>
      </c>
      <c r="C101" t="s">
        <v>16</v>
      </c>
      <c r="D101" t="s">
        <v>32</v>
      </c>
      <c r="E101" t="s">
        <v>17</v>
      </c>
      <c r="F101" t="s">
        <v>95</v>
      </c>
      <c r="G101">
        <v>41</v>
      </c>
      <c r="H101">
        <v>10.86</v>
      </c>
      <c r="I101">
        <v>20</v>
      </c>
      <c r="J101" t="s">
        <v>19</v>
      </c>
      <c r="K101" t="s">
        <v>20</v>
      </c>
      <c r="L101" t="s">
        <v>21</v>
      </c>
      <c r="M101" t="s">
        <v>36</v>
      </c>
      <c r="N101" s="2">
        <v>3800</v>
      </c>
    </row>
    <row r="102" spans="1:14" x14ac:dyDescent="0.25">
      <c r="A102" t="s">
        <v>89</v>
      </c>
      <c r="B102" t="s">
        <v>90</v>
      </c>
      <c r="C102" t="s">
        <v>16</v>
      </c>
      <c r="D102" t="s">
        <v>32</v>
      </c>
      <c r="E102" t="s">
        <v>17</v>
      </c>
      <c r="F102" t="s">
        <v>53</v>
      </c>
      <c r="G102">
        <v>41</v>
      </c>
      <c r="H102">
        <v>12.7</v>
      </c>
      <c r="I102">
        <v>22</v>
      </c>
      <c r="J102" t="s">
        <v>19</v>
      </c>
      <c r="K102" t="s">
        <v>20</v>
      </c>
      <c r="L102" t="s">
        <v>21</v>
      </c>
      <c r="M102" t="s">
        <v>40</v>
      </c>
      <c r="N102" s="2">
        <v>3900</v>
      </c>
    </row>
    <row r="103" spans="1:14" x14ac:dyDescent="0.25">
      <c r="A103" t="s">
        <v>62</v>
      </c>
      <c r="B103" t="s">
        <v>164</v>
      </c>
      <c r="C103" t="s">
        <v>16</v>
      </c>
      <c r="D103" t="s">
        <v>16</v>
      </c>
      <c r="E103" t="s">
        <v>43</v>
      </c>
      <c r="F103" t="s">
        <v>78</v>
      </c>
      <c r="G103">
        <v>41</v>
      </c>
      <c r="H103">
        <v>12.1</v>
      </c>
      <c r="I103">
        <v>20</v>
      </c>
      <c r="J103" t="s">
        <v>19</v>
      </c>
      <c r="K103" t="s">
        <v>20</v>
      </c>
      <c r="L103" t="s">
        <v>141</v>
      </c>
      <c r="M103" t="s">
        <v>46</v>
      </c>
      <c r="N103" s="2">
        <v>1500</v>
      </c>
    </row>
    <row r="104" spans="1:14" x14ac:dyDescent="0.25">
      <c r="A104" t="s">
        <v>71</v>
      </c>
      <c r="B104" t="s">
        <v>165</v>
      </c>
      <c r="C104" t="s">
        <v>16</v>
      </c>
      <c r="D104" t="s">
        <v>26</v>
      </c>
      <c r="E104" t="s">
        <v>17</v>
      </c>
      <c r="F104" t="s">
        <v>166</v>
      </c>
      <c r="G104">
        <v>44</v>
      </c>
      <c r="H104">
        <v>14.3</v>
      </c>
      <c r="I104">
        <v>22</v>
      </c>
      <c r="J104" t="s">
        <v>19</v>
      </c>
      <c r="K104" t="s">
        <v>20</v>
      </c>
      <c r="L104" t="s">
        <v>45</v>
      </c>
      <c r="M104" t="s">
        <v>58</v>
      </c>
      <c r="N104" s="2">
        <v>2500</v>
      </c>
    </row>
    <row r="105" spans="1:14" x14ac:dyDescent="0.25">
      <c r="A105" t="s">
        <v>135</v>
      </c>
      <c r="B105" t="s">
        <v>136</v>
      </c>
      <c r="C105" t="s">
        <v>16</v>
      </c>
      <c r="D105" t="s">
        <v>16</v>
      </c>
      <c r="E105" t="s">
        <v>17</v>
      </c>
      <c r="F105" t="s">
        <v>137</v>
      </c>
      <c r="G105">
        <v>40.799999999999997</v>
      </c>
      <c r="H105">
        <v>8.3000000000000007</v>
      </c>
      <c r="I105">
        <v>20</v>
      </c>
      <c r="J105" t="s">
        <v>28</v>
      </c>
      <c r="K105" t="s">
        <v>20</v>
      </c>
      <c r="L105" t="s">
        <v>167</v>
      </c>
      <c r="M105" t="s">
        <v>50</v>
      </c>
      <c r="N105" s="2">
        <v>38000</v>
      </c>
    </row>
    <row r="106" spans="1:14" x14ac:dyDescent="0.25">
      <c r="A106" t="s">
        <v>76</v>
      </c>
      <c r="B106" t="s">
        <v>77</v>
      </c>
      <c r="C106" t="s">
        <v>168</v>
      </c>
      <c r="D106" t="s">
        <v>168</v>
      </c>
      <c r="E106" t="s">
        <v>17</v>
      </c>
      <c r="F106" t="s">
        <v>78</v>
      </c>
      <c r="G106">
        <v>41</v>
      </c>
      <c r="H106">
        <v>9.8000000000000007</v>
      </c>
      <c r="I106">
        <v>20</v>
      </c>
      <c r="J106" t="s">
        <v>28</v>
      </c>
      <c r="K106" t="s">
        <v>20</v>
      </c>
      <c r="L106" t="s">
        <v>21</v>
      </c>
      <c r="M106" t="s">
        <v>29</v>
      </c>
      <c r="N106" s="2">
        <v>55000</v>
      </c>
    </row>
    <row r="107" spans="1:14" x14ac:dyDescent="0.25">
      <c r="A107" t="s">
        <v>79</v>
      </c>
      <c r="B107" t="s">
        <v>80</v>
      </c>
      <c r="C107" t="s">
        <v>16</v>
      </c>
      <c r="D107" t="s">
        <v>16</v>
      </c>
      <c r="E107" t="s">
        <v>17</v>
      </c>
      <c r="F107" t="s">
        <v>81</v>
      </c>
      <c r="G107">
        <v>41</v>
      </c>
      <c r="H107">
        <v>11</v>
      </c>
      <c r="I107">
        <v>22</v>
      </c>
      <c r="J107" t="s">
        <v>28</v>
      </c>
      <c r="K107" t="s">
        <v>20</v>
      </c>
      <c r="L107" t="s">
        <v>169</v>
      </c>
      <c r="M107" t="s">
        <v>75</v>
      </c>
      <c r="N107" s="2">
        <v>21000</v>
      </c>
    </row>
    <row r="108" spans="1:14" x14ac:dyDescent="0.25">
      <c r="A108" t="s">
        <v>170</v>
      </c>
      <c r="B108" t="s">
        <v>171</v>
      </c>
      <c r="C108" t="s">
        <v>172</v>
      </c>
      <c r="D108" t="s">
        <v>32</v>
      </c>
      <c r="E108" t="s">
        <v>49</v>
      </c>
      <c r="F108" t="s">
        <v>39</v>
      </c>
      <c r="G108">
        <v>38.5</v>
      </c>
      <c r="H108">
        <v>7.8</v>
      </c>
      <c r="I108">
        <v>18</v>
      </c>
      <c r="J108" t="s">
        <v>44</v>
      </c>
      <c r="K108" t="s">
        <v>20</v>
      </c>
      <c r="L108" t="s">
        <v>45</v>
      </c>
      <c r="M108" t="s">
        <v>50</v>
      </c>
      <c r="N108" s="2">
        <v>23000</v>
      </c>
    </row>
    <row r="109" spans="1:14" x14ac:dyDescent="0.25">
      <c r="A109" t="s">
        <v>72</v>
      </c>
      <c r="B109" t="s">
        <v>73</v>
      </c>
      <c r="C109" t="s">
        <v>168</v>
      </c>
      <c r="D109" t="s">
        <v>32</v>
      </c>
      <c r="E109" t="s">
        <v>49</v>
      </c>
      <c r="F109" t="s">
        <v>39</v>
      </c>
      <c r="G109">
        <v>38.5</v>
      </c>
      <c r="H109">
        <v>8.25</v>
      </c>
      <c r="I109">
        <v>20</v>
      </c>
      <c r="J109" t="s">
        <v>44</v>
      </c>
      <c r="K109" t="s">
        <v>20</v>
      </c>
      <c r="L109" t="s">
        <v>12</v>
      </c>
      <c r="M109" t="s">
        <v>173</v>
      </c>
      <c r="N109" s="2">
        <v>23000</v>
      </c>
    </row>
    <row r="110" spans="1:14" x14ac:dyDescent="0.25">
      <c r="A110" t="s">
        <v>93</v>
      </c>
      <c r="B110" t="s">
        <v>107</v>
      </c>
      <c r="C110" t="s">
        <v>16</v>
      </c>
      <c r="D110" t="s">
        <v>32</v>
      </c>
      <c r="E110" t="s">
        <v>17</v>
      </c>
      <c r="F110" t="s">
        <v>39</v>
      </c>
      <c r="G110">
        <v>41</v>
      </c>
      <c r="H110">
        <v>12.3</v>
      </c>
      <c r="I110">
        <v>22</v>
      </c>
      <c r="J110" t="s">
        <v>28</v>
      </c>
      <c r="K110" t="s">
        <v>20</v>
      </c>
      <c r="L110" t="s">
        <v>45</v>
      </c>
      <c r="M110" t="s">
        <v>29</v>
      </c>
      <c r="N110" s="2">
        <v>8500</v>
      </c>
    </row>
    <row r="111" spans="1:14" x14ac:dyDescent="0.25">
      <c r="A111" t="s">
        <v>109</v>
      </c>
      <c r="B111" t="s">
        <v>110</v>
      </c>
      <c r="C111" t="s">
        <v>16</v>
      </c>
      <c r="D111" t="s">
        <v>140</v>
      </c>
      <c r="E111" t="s">
        <v>17</v>
      </c>
      <c r="F111" t="s">
        <v>18</v>
      </c>
      <c r="G111">
        <v>45</v>
      </c>
      <c r="H111">
        <v>15.5</v>
      </c>
      <c r="I111">
        <v>23</v>
      </c>
      <c r="J111" t="s">
        <v>19</v>
      </c>
      <c r="K111" t="s">
        <v>20</v>
      </c>
      <c r="L111" t="s">
        <v>21</v>
      </c>
      <c r="M111" t="s">
        <v>112</v>
      </c>
      <c r="N111" s="2">
        <v>14000</v>
      </c>
    </row>
    <row r="112" spans="1:14" x14ac:dyDescent="0.25">
      <c r="A112" t="s">
        <v>133</v>
      </c>
      <c r="B112" t="s">
        <v>174</v>
      </c>
      <c r="C112" t="s">
        <v>25</v>
      </c>
      <c r="D112" t="s">
        <v>26</v>
      </c>
      <c r="E112" t="s">
        <v>17</v>
      </c>
      <c r="F112" t="s">
        <v>33</v>
      </c>
      <c r="G112">
        <v>44</v>
      </c>
      <c r="H112">
        <v>14.5</v>
      </c>
      <c r="I112">
        <v>24</v>
      </c>
      <c r="J112" t="s">
        <v>28</v>
      </c>
      <c r="K112" t="s">
        <v>20</v>
      </c>
      <c r="L112" t="s">
        <v>35</v>
      </c>
      <c r="M112" t="s">
        <v>145</v>
      </c>
      <c r="N112" s="2">
        <v>16000</v>
      </c>
    </row>
    <row r="113" spans="1:14" x14ac:dyDescent="0.25">
      <c r="A113" t="s">
        <v>86</v>
      </c>
      <c r="B113" t="s">
        <v>143</v>
      </c>
      <c r="C113" t="s">
        <v>16</v>
      </c>
      <c r="D113" t="s">
        <v>32</v>
      </c>
      <c r="E113" t="s">
        <v>17</v>
      </c>
      <c r="F113" t="s">
        <v>18</v>
      </c>
      <c r="G113">
        <v>44</v>
      </c>
      <c r="H113">
        <v>15.65</v>
      </c>
      <c r="I113">
        <v>24</v>
      </c>
      <c r="J113" t="s">
        <v>19</v>
      </c>
      <c r="K113" t="s">
        <v>20</v>
      </c>
      <c r="L113" t="s">
        <v>45</v>
      </c>
      <c r="M113" t="s">
        <v>145</v>
      </c>
      <c r="N113" s="2">
        <v>8500</v>
      </c>
    </row>
    <row r="114" spans="1:14" x14ac:dyDescent="0.25">
      <c r="A114" t="s">
        <v>113</v>
      </c>
      <c r="B114" t="s">
        <v>114</v>
      </c>
      <c r="C114" t="s">
        <v>16</v>
      </c>
      <c r="D114" t="s">
        <v>32</v>
      </c>
      <c r="E114" t="s">
        <v>17</v>
      </c>
      <c r="F114" t="s">
        <v>33</v>
      </c>
      <c r="G114">
        <v>42</v>
      </c>
      <c r="H114">
        <v>12.75</v>
      </c>
      <c r="I114">
        <v>20</v>
      </c>
      <c r="J114" t="s">
        <v>44</v>
      </c>
      <c r="K114" t="s">
        <v>20</v>
      </c>
      <c r="L114" t="s">
        <v>35</v>
      </c>
      <c r="M114" t="s">
        <v>54</v>
      </c>
      <c r="N114" s="2">
        <v>6000</v>
      </c>
    </row>
    <row r="115" spans="1:14" x14ac:dyDescent="0.25">
      <c r="A115" t="s">
        <v>116</v>
      </c>
      <c r="B115" t="s">
        <v>175</v>
      </c>
      <c r="C115" t="s">
        <v>172</v>
      </c>
      <c r="D115" t="s">
        <v>32</v>
      </c>
      <c r="E115" t="s">
        <v>49</v>
      </c>
      <c r="F115" t="s">
        <v>39</v>
      </c>
      <c r="G115">
        <v>38</v>
      </c>
      <c r="H115">
        <v>6.1</v>
      </c>
      <c r="I115">
        <v>20</v>
      </c>
      <c r="J115" t="s">
        <v>44</v>
      </c>
      <c r="K115" t="s">
        <v>20</v>
      </c>
      <c r="L115" t="s">
        <v>45</v>
      </c>
      <c r="M115" t="s">
        <v>176</v>
      </c>
      <c r="N115" s="2">
        <v>16500</v>
      </c>
    </row>
    <row r="116" spans="1:14" x14ac:dyDescent="0.25">
      <c r="A116" t="s">
        <v>51</v>
      </c>
      <c r="B116" t="s">
        <v>52</v>
      </c>
      <c r="C116" t="s">
        <v>16</v>
      </c>
      <c r="D116" t="s">
        <v>154</v>
      </c>
      <c r="E116" t="s">
        <v>17</v>
      </c>
      <c r="F116" t="s">
        <v>53</v>
      </c>
      <c r="G116">
        <v>44.3</v>
      </c>
      <c r="H116">
        <v>12.7</v>
      </c>
      <c r="I116">
        <v>20</v>
      </c>
      <c r="J116" t="s">
        <v>28</v>
      </c>
      <c r="K116" t="s">
        <v>20</v>
      </c>
      <c r="L116" t="s">
        <v>177</v>
      </c>
      <c r="M116" t="s">
        <v>178</v>
      </c>
      <c r="N116" s="2">
        <v>1200</v>
      </c>
    </row>
    <row r="117" spans="1:14" x14ac:dyDescent="0.25">
      <c r="A117" t="s">
        <v>86</v>
      </c>
      <c r="B117" t="s">
        <v>179</v>
      </c>
      <c r="C117" t="s">
        <v>16</v>
      </c>
      <c r="D117" t="s">
        <v>32</v>
      </c>
      <c r="E117" t="s">
        <v>17</v>
      </c>
      <c r="F117" t="s">
        <v>39</v>
      </c>
      <c r="G117">
        <v>38</v>
      </c>
      <c r="H117">
        <v>11.2</v>
      </c>
      <c r="I117">
        <v>20</v>
      </c>
      <c r="J117" t="s">
        <v>19</v>
      </c>
      <c r="K117" t="s">
        <v>20</v>
      </c>
      <c r="L117" t="s">
        <v>45</v>
      </c>
      <c r="M117" t="s">
        <v>145</v>
      </c>
      <c r="N117" s="2">
        <v>6500</v>
      </c>
    </row>
    <row r="118" spans="1:14" x14ac:dyDescent="0.25">
      <c r="A118" t="s">
        <v>93</v>
      </c>
      <c r="B118" t="s">
        <v>107</v>
      </c>
      <c r="C118" t="s">
        <v>16</v>
      </c>
      <c r="D118" t="s">
        <v>32</v>
      </c>
      <c r="E118" t="s">
        <v>17</v>
      </c>
      <c r="F118" t="s">
        <v>39</v>
      </c>
      <c r="G118">
        <v>41</v>
      </c>
      <c r="H118">
        <v>12.3</v>
      </c>
      <c r="I118">
        <v>22</v>
      </c>
      <c r="J118" t="s">
        <v>28</v>
      </c>
      <c r="K118" t="s">
        <v>20</v>
      </c>
      <c r="L118" t="s">
        <v>180</v>
      </c>
      <c r="M118" t="s">
        <v>142</v>
      </c>
      <c r="N118" s="2">
        <v>9800</v>
      </c>
    </row>
    <row r="119" spans="1:14" x14ac:dyDescent="0.25">
      <c r="A119" t="s">
        <v>109</v>
      </c>
      <c r="B119" t="s">
        <v>110</v>
      </c>
      <c r="C119" t="s">
        <v>25</v>
      </c>
      <c r="D119" t="s">
        <v>26</v>
      </c>
      <c r="E119" t="s">
        <v>17</v>
      </c>
      <c r="F119" t="s">
        <v>18</v>
      </c>
      <c r="G119">
        <v>45</v>
      </c>
      <c r="H119">
        <v>15.5</v>
      </c>
      <c r="I119">
        <v>23</v>
      </c>
      <c r="J119" t="s">
        <v>19</v>
      </c>
      <c r="K119" t="s">
        <v>20</v>
      </c>
      <c r="L119" t="s">
        <v>45</v>
      </c>
      <c r="M119" t="s">
        <v>112</v>
      </c>
      <c r="N119" s="2">
        <v>16800</v>
      </c>
    </row>
    <row r="120" spans="1:14" x14ac:dyDescent="0.25">
      <c r="A120" t="s">
        <v>76</v>
      </c>
      <c r="B120" t="s">
        <v>77</v>
      </c>
      <c r="C120" t="s">
        <v>16</v>
      </c>
      <c r="D120" t="s">
        <v>16</v>
      </c>
      <c r="E120" t="s">
        <v>17</v>
      </c>
      <c r="F120" t="s">
        <v>78</v>
      </c>
      <c r="G120">
        <v>41</v>
      </c>
      <c r="H120">
        <v>9.5</v>
      </c>
      <c r="I120">
        <v>20</v>
      </c>
      <c r="J120" t="s">
        <v>19</v>
      </c>
      <c r="K120" t="s">
        <v>20</v>
      </c>
      <c r="L120" t="s">
        <v>21</v>
      </c>
      <c r="M120" t="s">
        <v>29</v>
      </c>
      <c r="N120" s="2">
        <v>19800</v>
      </c>
    </row>
    <row r="121" spans="1:14" x14ac:dyDescent="0.25">
      <c r="A121" t="s">
        <v>135</v>
      </c>
      <c r="B121" t="s">
        <v>136</v>
      </c>
      <c r="C121" t="s">
        <v>16</v>
      </c>
      <c r="D121" t="s">
        <v>16</v>
      </c>
      <c r="E121" t="s">
        <v>17</v>
      </c>
      <c r="F121" t="s">
        <v>137</v>
      </c>
      <c r="G121">
        <v>40.799999999999997</v>
      </c>
      <c r="H121">
        <v>8.3000000000000007</v>
      </c>
      <c r="I121">
        <v>20</v>
      </c>
      <c r="J121" t="s">
        <v>28</v>
      </c>
      <c r="K121" t="s">
        <v>20</v>
      </c>
      <c r="L121" t="s">
        <v>21</v>
      </c>
      <c r="M121" t="s">
        <v>50</v>
      </c>
      <c r="N121" s="2">
        <v>47000</v>
      </c>
    </row>
    <row r="122" spans="1:14" x14ac:dyDescent="0.25">
      <c r="A122" t="s">
        <v>72</v>
      </c>
      <c r="B122" t="s">
        <v>73</v>
      </c>
      <c r="C122" t="s">
        <v>115</v>
      </c>
      <c r="D122" t="s">
        <v>32</v>
      </c>
      <c r="E122" t="s">
        <v>17</v>
      </c>
      <c r="F122" t="s">
        <v>39</v>
      </c>
      <c r="G122">
        <v>40</v>
      </c>
      <c r="H122">
        <v>6.8</v>
      </c>
      <c r="I122">
        <v>20</v>
      </c>
      <c r="J122" t="s">
        <v>34</v>
      </c>
      <c r="K122" t="s">
        <v>20</v>
      </c>
      <c r="L122" t="s">
        <v>45</v>
      </c>
      <c r="M122" t="s">
        <v>181</v>
      </c>
      <c r="N122" s="2">
        <v>19000</v>
      </c>
    </row>
    <row r="123" spans="1:14" x14ac:dyDescent="0.25">
      <c r="A123" t="s">
        <v>79</v>
      </c>
      <c r="B123" t="s">
        <v>182</v>
      </c>
      <c r="C123" t="s">
        <v>183</v>
      </c>
      <c r="D123" t="s">
        <v>32</v>
      </c>
      <c r="E123" t="s">
        <v>49</v>
      </c>
      <c r="F123" t="s">
        <v>39</v>
      </c>
      <c r="G123">
        <v>40</v>
      </c>
      <c r="H123">
        <v>6.79</v>
      </c>
      <c r="I123">
        <v>20</v>
      </c>
      <c r="J123" t="s">
        <v>44</v>
      </c>
      <c r="K123" t="s">
        <v>20</v>
      </c>
      <c r="L123" t="s">
        <v>45</v>
      </c>
      <c r="M123" t="s">
        <v>173</v>
      </c>
      <c r="N123" s="2">
        <v>18500</v>
      </c>
    </row>
    <row r="124" spans="1:14" x14ac:dyDescent="0.25">
      <c r="A124" t="s">
        <v>126</v>
      </c>
      <c r="B124" t="s">
        <v>127</v>
      </c>
      <c r="C124" t="s">
        <v>16</v>
      </c>
      <c r="D124" t="s">
        <v>32</v>
      </c>
      <c r="E124" t="s">
        <v>17</v>
      </c>
      <c r="F124" t="s">
        <v>78</v>
      </c>
      <c r="G124">
        <v>44</v>
      </c>
      <c r="H124">
        <v>14.97</v>
      </c>
      <c r="I124">
        <v>22</v>
      </c>
      <c r="J124" t="s">
        <v>19</v>
      </c>
      <c r="K124" t="s">
        <v>20</v>
      </c>
      <c r="L124" t="s">
        <v>35</v>
      </c>
      <c r="M124" t="s">
        <v>36</v>
      </c>
      <c r="N124" s="2">
        <v>5800</v>
      </c>
    </row>
    <row r="125" spans="1:14" x14ac:dyDescent="0.25">
      <c r="A125" t="s">
        <v>62</v>
      </c>
      <c r="B125" t="s">
        <v>184</v>
      </c>
      <c r="C125" t="s">
        <v>16</v>
      </c>
      <c r="D125" t="s">
        <v>16</v>
      </c>
      <c r="E125" t="s">
        <v>17</v>
      </c>
      <c r="F125" t="s">
        <v>18</v>
      </c>
      <c r="G125">
        <v>41</v>
      </c>
      <c r="H125">
        <v>13.2</v>
      </c>
      <c r="I125">
        <v>20</v>
      </c>
      <c r="J125" t="s">
        <v>19</v>
      </c>
      <c r="K125" t="s">
        <v>20</v>
      </c>
      <c r="L125" t="s">
        <v>35</v>
      </c>
      <c r="M125" t="s">
        <v>130</v>
      </c>
      <c r="N125" s="2">
        <v>2200</v>
      </c>
    </row>
    <row r="126" spans="1:14" x14ac:dyDescent="0.25">
      <c r="A126" t="s">
        <v>99</v>
      </c>
      <c r="B126">
        <v>1858</v>
      </c>
      <c r="C126" t="s">
        <v>16</v>
      </c>
      <c r="D126" t="s">
        <v>32</v>
      </c>
      <c r="E126" t="s">
        <v>49</v>
      </c>
      <c r="F126" t="s">
        <v>39</v>
      </c>
      <c r="G126">
        <v>44</v>
      </c>
      <c r="H126">
        <v>12.3</v>
      </c>
      <c r="I126">
        <v>22</v>
      </c>
      <c r="J126" t="s">
        <v>19</v>
      </c>
      <c r="K126" t="s">
        <v>20</v>
      </c>
      <c r="L126" t="s">
        <v>45</v>
      </c>
      <c r="M126" t="s">
        <v>54</v>
      </c>
      <c r="N126" s="2">
        <v>3500</v>
      </c>
    </row>
    <row r="127" spans="1:14" x14ac:dyDescent="0.25">
      <c r="A127" t="s">
        <v>14</v>
      </c>
      <c r="B127" t="s">
        <v>91</v>
      </c>
      <c r="C127" t="s">
        <v>16</v>
      </c>
      <c r="D127" t="s">
        <v>16</v>
      </c>
      <c r="E127" t="s">
        <v>17</v>
      </c>
      <c r="F127" t="s">
        <v>33</v>
      </c>
      <c r="G127">
        <v>40</v>
      </c>
      <c r="H127">
        <v>12.5</v>
      </c>
      <c r="I127">
        <v>20</v>
      </c>
      <c r="J127" t="s">
        <v>19</v>
      </c>
      <c r="K127" t="s">
        <v>20</v>
      </c>
      <c r="L127" t="s">
        <v>185</v>
      </c>
      <c r="M127" t="s">
        <v>40</v>
      </c>
      <c r="N127" s="2">
        <v>9950</v>
      </c>
    </row>
    <row r="128" spans="1:14" x14ac:dyDescent="0.25">
      <c r="A128" t="s">
        <v>23</v>
      </c>
      <c r="B128" t="s">
        <v>82</v>
      </c>
      <c r="C128" t="s">
        <v>16</v>
      </c>
      <c r="D128" t="s">
        <v>16</v>
      </c>
      <c r="E128" t="s">
        <v>17</v>
      </c>
      <c r="F128" t="s">
        <v>78</v>
      </c>
      <c r="G128">
        <v>42</v>
      </c>
      <c r="H128">
        <v>13.7</v>
      </c>
      <c r="I128">
        <v>20</v>
      </c>
      <c r="J128" t="s">
        <v>19</v>
      </c>
      <c r="K128" t="s">
        <v>106</v>
      </c>
      <c r="L128" t="s">
        <v>35</v>
      </c>
      <c r="M128" t="s">
        <v>22</v>
      </c>
      <c r="N128" s="2">
        <v>4950</v>
      </c>
    </row>
    <row r="129" spans="1:14" x14ac:dyDescent="0.25">
      <c r="A129" t="s">
        <v>135</v>
      </c>
      <c r="B129" t="s">
        <v>136</v>
      </c>
      <c r="C129" t="s">
        <v>16</v>
      </c>
      <c r="D129" t="s">
        <v>16</v>
      </c>
      <c r="E129" t="s">
        <v>17</v>
      </c>
      <c r="F129" t="s">
        <v>137</v>
      </c>
      <c r="G129">
        <v>40.799999999999997</v>
      </c>
      <c r="H129">
        <v>8.3000000000000007</v>
      </c>
      <c r="I129">
        <v>20</v>
      </c>
      <c r="J129" t="s">
        <v>28</v>
      </c>
      <c r="K129" t="s">
        <v>20</v>
      </c>
      <c r="L129" t="s">
        <v>21</v>
      </c>
      <c r="M129" t="s">
        <v>50</v>
      </c>
      <c r="N129" s="2">
        <v>38000</v>
      </c>
    </row>
    <row r="130" spans="1:14" x14ac:dyDescent="0.25">
      <c r="A130" t="s">
        <v>76</v>
      </c>
      <c r="B130" t="s">
        <v>77</v>
      </c>
      <c r="C130" t="s">
        <v>16</v>
      </c>
      <c r="D130" t="s">
        <v>16</v>
      </c>
      <c r="E130" t="s">
        <v>17</v>
      </c>
      <c r="F130" t="s">
        <v>78</v>
      </c>
      <c r="G130">
        <v>41</v>
      </c>
      <c r="H130">
        <v>9.8000000000000007</v>
      </c>
      <c r="I130">
        <v>20</v>
      </c>
      <c r="J130" t="s">
        <v>28</v>
      </c>
      <c r="K130" t="s">
        <v>20</v>
      </c>
      <c r="L130" t="s">
        <v>21</v>
      </c>
      <c r="M130" t="s">
        <v>29</v>
      </c>
      <c r="N130" s="2">
        <v>22000</v>
      </c>
    </row>
    <row r="131" spans="1:14" x14ac:dyDescent="0.25">
      <c r="A131" t="s">
        <v>93</v>
      </c>
      <c r="B131" t="s">
        <v>107</v>
      </c>
      <c r="C131" t="s">
        <v>16</v>
      </c>
      <c r="D131" t="s">
        <v>32</v>
      </c>
      <c r="E131" t="s">
        <v>17</v>
      </c>
      <c r="F131" t="s">
        <v>39</v>
      </c>
      <c r="G131">
        <v>41</v>
      </c>
      <c r="H131">
        <v>12.3</v>
      </c>
      <c r="I131">
        <v>22</v>
      </c>
      <c r="J131" t="s">
        <v>44</v>
      </c>
      <c r="K131" t="s">
        <v>20</v>
      </c>
      <c r="L131" t="s">
        <v>45</v>
      </c>
      <c r="M131" t="s">
        <v>142</v>
      </c>
      <c r="N131" s="2">
        <v>7500</v>
      </c>
    </row>
    <row r="132" spans="1:14" x14ac:dyDescent="0.25">
      <c r="A132" t="s">
        <v>47</v>
      </c>
      <c r="B132" t="s">
        <v>96</v>
      </c>
      <c r="C132" t="s">
        <v>16</v>
      </c>
      <c r="D132" t="s">
        <v>32</v>
      </c>
      <c r="E132" t="s">
        <v>17</v>
      </c>
      <c r="F132" t="s">
        <v>78</v>
      </c>
      <c r="G132">
        <v>39</v>
      </c>
      <c r="H132">
        <v>7.58</v>
      </c>
      <c r="I132">
        <v>20</v>
      </c>
      <c r="J132" t="s">
        <v>44</v>
      </c>
      <c r="K132" t="s">
        <v>20</v>
      </c>
      <c r="L132" t="s">
        <v>21</v>
      </c>
      <c r="M132" t="s">
        <v>40</v>
      </c>
      <c r="N132" s="2">
        <v>8900</v>
      </c>
    </row>
    <row r="133" spans="1:14" x14ac:dyDescent="0.25">
      <c r="A133" t="s">
        <v>109</v>
      </c>
      <c r="B133" t="s">
        <v>110</v>
      </c>
      <c r="C133" t="s">
        <v>16</v>
      </c>
      <c r="D133" t="s">
        <v>140</v>
      </c>
      <c r="E133" t="s">
        <v>17</v>
      </c>
      <c r="F133" t="s">
        <v>18</v>
      </c>
      <c r="G133">
        <v>45</v>
      </c>
      <c r="H133">
        <v>15.4</v>
      </c>
      <c r="I133">
        <v>23</v>
      </c>
      <c r="J133" t="s">
        <v>19</v>
      </c>
      <c r="K133" t="s">
        <v>20</v>
      </c>
      <c r="L133" t="s">
        <v>21</v>
      </c>
      <c r="M133" t="s">
        <v>112</v>
      </c>
      <c r="N133" s="2">
        <v>13900</v>
      </c>
    </row>
    <row r="134" spans="1:14" x14ac:dyDescent="0.25">
      <c r="A134" t="s">
        <v>72</v>
      </c>
      <c r="B134" t="s">
        <v>73</v>
      </c>
      <c r="C134" t="s">
        <v>168</v>
      </c>
      <c r="D134" t="s">
        <v>32</v>
      </c>
      <c r="E134" t="s">
        <v>49</v>
      </c>
      <c r="F134" t="s">
        <v>39</v>
      </c>
      <c r="G134">
        <v>40</v>
      </c>
      <c r="H134">
        <v>6.8</v>
      </c>
      <c r="I134">
        <v>20</v>
      </c>
      <c r="J134" t="s">
        <v>44</v>
      </c>
      <c r="K134" t="s">
        <v>20</v>
      </c>
      <c r="L134" t="s">
        <v>45</v>
      </c>
      <c r="M134" t="s">
        <v>173</v>
      </c>
      <c r="N134" s="2">
        <v>20500</v>
      </c>
    </row>
    <row r="135" spans="1:14" x14ac:dyDescent="0.25">
      <c r="A135" t="s">
        <v>118</v>
      </c>
      <c r="B135" t="s">
        <v>119</v>
      </c>
      <c r="C135" t="s">
        <v>25</v>
      </c>
      <c r="D135" t="s">
        <v>26</v>
      </c>
      <c r="E135" t="s">
        <v>17</v>
      </c>
      <c r="F135" t="s">
        <v>18</v>
      </c>
      <c r="G135">
        <v>44</v>
      </c>
      <c r="H135">
        <v>14.5</v>
      </c>
      <c r="I135">
        <v>22</v>
      </c>
      <c r="J135" t="s">
        <v>28</v>
      </c>
      <c r="K135" t="s">
        <v>20</v>
      </c>
      <c r="L135" t="s">
        <v>21</v>
      </c>
      <c r="M135" t="s">
        <v>29</v>
      </c>
      <c r="N135" s="2">
        <v>9500</v>
      </c>
    </row>
    <row r="136" spans="1:14" x14ac:dyDescent="0.25">
      <c r="A136" t="s">
        <v>133</v>
      </c>
      <c r="B136" t="s">
        <v>174</v>
      </c>
      <c r="C136" t="s">
        <v>98</v>
      </c>
      <c r="D136" t="s">
        <v>26</v>
      </c>
      <c r="E136" t="s">
        <v>17</v>
      </c>
      <c r="F136" t="s">
        <v>33</v>
      </c>
      <c r="G136">
        <v>41</v>
      </c>
      <c r="H136">
        <v>14.5</v>
      </c>
      <c r="I136">
        <v>20</v>
      </c>
      <c r="J136" t="s">
        <v>19</v>
      </c>
      <c r="K136" t="s">
        <v>20</v>
      </c>
      <c r="L136" t="s">
        <v>35</v>
      </c>
      <c r="M136" t="s">
        <v>145</v>
      </c>
      <c r="N136" s="2">
        <v>16000</v>
      </c>
    </row>
    <row r="137" spans="1:14" x14ac:dyDescent="0.25">
      <c r="A137" t="s">
        <v>113</v>
      </c>
      <c r="B137" t="s">
        <v>114</v>
      </c>
      <c r="C137" t="s">
        <v>16</v>
      </c>
      <c r="D137" t="s">
        <v>32</v>
      </c>
      <c r="E137" t="s">
        <v>17</v>
      </c>
      <c r="F137" t="s">
        <v>33</v>
      </c>
      <c r="G137">
        <v>38</v>
      </c>
      <c r="H137">
        <v>12.75</v>
      </c>
      <c r="I137">
        <v>20</v>
      </c>
      <c r="J137" t="s">
        <v>34</v>
      </c>
      <c r="K137" t="s">
        <v>20</v>
      </c>
      <c r="L137" t="s">
        <v>35</v>
      </c>
      <c r="M137" t="s">
        <v>54</v>
      </c>
      <c r="N137" s="2">
        <v>5500</v>
      </c>
    </row>
    <row r="138" spans="1:14" x14ac:dyDescent="0.25">
      <c r="A138" t="s">
        <v>14</v>
      </c>
      <c r="B138" t="s">
        <v>103</v>
      </c>
      <c r="C138" t="s">
        <v>16</v>
      </c>
      <c r="D138" t="s">
        <v>16</v>
      </c>
      <c r="E138" t="s">
        <v>17</v>
      </c>
      <c r="F138" t="s">
        <v>33</v>
      </c>
      <c r="G138">
        <v>41</v>
      </c>
      <c r="H138">
        <v>11.8</v>
      </c>
      <c r="I138">
        <v>20</v>
      </c>
      <c r="J138" t="s">
        <v>19</v>
      </c>
      <c r="K138" t="s">
        <v>20</v>
      </c>
      <c r="L138" t="s">
        <v>21</v>
      </c>
      <c r="M138" t="s">
        <v>40</v>
      </c>
      <c r="N138" s="2">
        <v>8200</v>
      </c>
    </row>
    <row r="139" spans="1:14" x14ac:dyDescent="0.25">
      <c r="A139" t="s">
        <v>23</v>
      </c>
      <c r="B139" t="s">
        <v>105</v>
      </c>
      <c r="C139" t="s">
        <v>16</v>
      </c>
      <c r="D139" t="s">
        <v>16</v>
      </c>
      <c r="E139" t="s">
        <v>49</v>
      </c>
      <c r="F139" t="s">
        <v>78</v>
      </c>
      <c r="G139">
        <v>42</v>
      </c>
      <c r="H139">
        <v>13.2</v>
      </c>
      <c r="I139">
        <v>20</v>
      </c>
      <c r="J139" t="s">
        <v>19</v>
      </c>
      <c r="K139" t="s">
        <v>106</v>
      </c>
      <c r="L139" t="s">
        <v>83</v>
      </c>
      <c r="M139" t="s">
        <v>22</v>
      </c>
      <c r="N139" s="2">
        <v>5500</v>
      </c>
    </row>
    <row r="140" spans="1:14" x14ac:dyDescent="0.25">
      <c r="A140" t="s">
        <v>41</v>
      </c>
      <c r="B140" t="s">
        <v>186</v>
      </c>
      <c r="C140" t="s">
        <v>16</v>
      </c>
      <c r="D140" t="s">
        <v>16</v>
      </c>
      <c r="E140" t="s">
        <v>17</v>
      </c>
      <c r="F140" t="s">
        <v>39</v>
      </c>
      <c r="G140">
        <v>33</v>
      </c>
      <c r="H140">
        <v>9.9600000000000009</v>
      </c>
      <c r="I140">
        <v>18</v>
      </c>
      <c r="J140" t="s">
        <v>44</v>
      </c>
      <c r="K140" t="s">
        <v>20</v>
      </c>
      <c r="L140" t="s">
        <v>21</v>
      </c>
      <c r="M140" t="s">
        <v>36</v>
      </c>
      <c r="N140" s="2">
        <v>6500</v>
      </c>
    </row>
    <row r="141" spans="1:14" x14ac:dyDescent="0.25">
      <c r="A141" t="s">
        <v>37</v>
      </c>
      <c r="B141" t="s">
        <v>84</v>
      </c>
      <c r="C141" t="s">
        <v>16</v>
      </c>
      <c r="D141" t="s">
        <v>26</v>
      </c>
      <c r="E141" t="s">
        <v>17</v>
      </c>
      <c r="F141" t="s">
        <v>85</v>
      </c>
      <c r="G141">
        <v>42</v>
      </c>
      <c r="H141">
        <v>13.32</v>
      </c>
      <c r="I141">
        <v>20</v>
      </c>
      <c r="J141" t="s">
        <v>28</v>
      </c>
      <c r="K141" t="s">
        <v>20</v>
      </c>
      <c r="L141" t="s">
        <v>21</v>
      </c>
      <c r="M141" t="s">
        <v>58</v>
      </c>
      <c r="N141" s="2">
        <v>3600</v>
      </c>
    </row>
    <row r="142" spans="1:14" x14ac:dyDescent="0.25">
      <c r="A142" t="s">
        <v>135</v>
      </c>
      <c r="B142" t="s">
        <v>187</v>
      </c>
      <c r="C142" t="s">
        <v>168</v>
      </c>
      <c r="D142" t="s">
        <v>32</v>
      </c>
      <c r="E142" t="s">
        <v>49</v>
      </c>
      <c r="F142" t="s">
        <v>39</v>
      </c>
      <c r="G142">
        <v>36</v>
      </c>
      <c r="H142">
        <v>7.45</v>
      </c>
      <c r="I142">
        <v>18</v>
      </c>
      <c r="J142" t="s">
        <v>34</v>
      </c>
      <c r="K142" t="s">
        <v>20</v>
      </c>
      <c r="L142" t="s">
        <v>45</v>
      </c>
      <c r="M142" t="s">
        <v>149</v>
      </c>
      <c r="N142" s="2">
        <v>18000</v>
      </c>
    </row>
    <row r="143" spans="1:14" x14ac:dyDescent="0.25">
      <c r="A143" t="s">
        <v>133</v>
      </c>
      <c r="B143" t="s">
        <v>174</v>
      </c>
      <c r="C143" t="s">
        <v>25</v>
      </c>
      <c r="D143" t="s">
        <v>26</v>
      </c>
      <c r="E143" t="s">
        <v>17</v>
      </c>
      <c r="F143" t="s">
        <v>33</v>
      </c>
      <c r="G143">
        <v>42</v>
      </c>
      <c r="H143">
        <v>14.5</v>
      </c>
      <c r="I143">
        <v>24</v>
      </c>
      <c r="J143" t="s">
        <v>19</v>
      </c>
      <c r="K143" t="s">
        <v>20</v>
      </c>
      <c r="L143" t="s">
        <v>141</v>
      </c>
      <c r="M143" t="s">
        <v>145</v>
      </c>
      <c r="N143" s="2">
        <v>8900</v>
      </c>
    </row>
    <row r="144" spans="1:14" x14ac:dyDescent="0.25">
      <c r="A144" t="s">
        <v>109</v>
      </c>
      <c r="B144" t="s">
        <v>110</v>
      </c>
      <c r="C144" t="s">
        <v>16</v>
      </c>
      <c r="D144" t="s">
        <v>111</v>
      </c>
      <c r="E144" t="s">
        <v>17</v>
      </c>
      <c r="F144" t="s">
        <v>18</v>
      </c>
      <c r="G144">
        <v>45</v>
      </c>
      <c r="H144">
        <v>15.4</v>
      </c>
      <c r="I144">
        <v>23</v>
      </c>
      <c r="J144" t="s">
        <v>19</v>
      </c>
      <c r="K144" t="s">
        <v>20</v>
      </c>
      <c r="L144" t="s">
        <v>188</v>
      </c>
      <c r="M144" t="s">
        <v>112</v>
      </c>
      <c r="N144" s="2">
        <v>13500</v>
      </c>
    </row>
    <row r="145" spans="1:14" x14ac:dyDescent="0.25">
      <c r="A145" t="s">
        <v>76</v>
      </c>
      <c r="B145" t="s">
        <v>77</v>
      </c>
      <c r="C145" t="s">
        <v>16</v>
      </c>
      <c r="D145" t="s">
        <v>16</v>
      </c>
      <c r="E145" t="s">
        <v>17</v>
      </c>
      <c r="F145" t="s">
        <v>78</v>
      </c>
      <c r="G145">
        <v>41</v>
      </c>
      <c r="H145">
        <v>10.4</v>
      </c>
      <c r="I145">
        <v>20</v>
      </c>
      <c r="J145" t="s">
        <v>28</v>
      </c>
      <c r="K145" t="s">
        <v>20</v>
      </c>
      <c r="L145" t="s">
        <v>21</v>
      </c>
      <c r="M145" t="s">
        <v>29</v>
      </c>
      <c r="N145" s="2">
        <v>26000</v>
      </c>
    </row>
    <row r="146" spans="1:14" x14ac:dyDescent="0.25">
      <c r="A146" t="s">
        <v>113</v>
      </c>
      <c r="B146" t="s">
        <v>114</v>
      </c>
      <c r="C146" t="s">
        <v>16</v>
      </c>
      <c r="D146" t="s">
        <v>32</v>
      </c>
      <c r="E146" t="s">
        <v>17</v>
      </c>
      <c r="F146" t="s">
        <v>33</v>
      </c>
      <c r="G146">
        <v>42</v>
      </c>
      <c r="H146">
        <v>12.75</v>
      </c>
      <c r="I146">
        <v>22</v>
      </c>
      <c r="J146" t="s">
        <v>19</v>
      </c>
      <c r="K146" t="s">
        <v>20</v>
      </c>
      <c r="L146" t="s">
        <v>35</v>
      </c>
      <c r="M146" t="s">
        <v>54</v>
      </c>
      <c r="N146" s="2">
        <v>6500</v>
      </c>
    </row>
    <row r="147" spans="1:14" x14ac:dyDescent="0.25">
      <c r="A147" t="s">
        <v>93</v>
      </c>
      <c r="B147" t="s">
        <v>107</v>
      </c>
      <c r="C147" t="s">
        <v>16</v>
      </c>
      <c r="D147" t="s">
        <v>32</v>
      </c>
      <c r="E147" t="s">
        <v>17</v>
      </c>
      <c r="F147" t="s">
        <v>39</v>
      </c>
      <c r="G147">
        <v>41.5</v>
      </c>
      <c r="H147">
        <v>12.3</v>
      </c>
      <c r="I147">
        <v>22</v>
      </c>
      <c r="J147" t="s">
        <v>44</v>
      </c>
      <c r="K147" t="s">
        <v>20</v>
      </c>
      <c r="L147" t="s">
        <v>45</v>
      </c>
      <c r="M147" t="s">
        <v>29</v>
      </c>
      <c r="N147" s="2">
        <v>7800</v>
      </c>
    </row>
    <row r="148" spans="1:14" x14ac:dyDescent="0.25">
      <c r="A148" t="s">
        <v>47</v>
      </c>
      <c r="B148" t="s">
        <v>96</v>
      </c>
      <c r="C148" t="s">
        <v>16</v>
      </c>
      <c r="D148" t="s">
        <v>32</v>
      </c>
      <c r="E148" t="s">
        <v>17</v>
      </c>
      <c r="F148" t="s">
        <v>78</v>
      </c>
      <c r="G148">
        <v>38</v>
      </c>
      <c r="H148">
        <v>7.58</v>
      </c>
      <c r="I148">
        <v>20</v>
      </c>
      <c r="J148" t="s">
        <v>44</v>
      </c>
      <c r="K148" t="s">
        <v>20</v>
      </c>
      <c r="L148" t="s">
        <v>45</v>
      </c>
      <c r="M148" t="s">
        <v>40</v>
      </c>
      <c r="N148" s="2">
        <v>4500</v>
      </c>
    </row>
    <row r="149" spans="1:14" x14ac:dyDescent="0.25">
      <c r="A149" t="s">
        <v>135</v>
      </c>
      <c r="B149" t="s">
        <v>136</v>
      </c>
      <c r="C149" t="s">
        <v>16</v>
      </c>
      <c r="D149" t="s">
        <v>16</v>
      </c>
      <c r="E149" t="s">
        <v>17</v>
      </c>
      <c r="F149" t="s">
        <v>137</v>
      </c>
      <c r="G149">
        <v>40.5</v>
      </c>
      <c r="H149">
        <v>8.3000000000000007</v>
      </c>
      <c r="I149">
        <v>22</v>
      </c>
      <c r="J149" t="s">
        <v>28</v>
      </c>
      <c r="K149" t="s">
        <v>20</v>
      </c>
      <c r="L149" t="s">
        <v>21</v>
      </c>
      <c r="M149" t="s">
        <v>50</v>
      </c>
      <c r="N149" s="2">
        <v>29800</v>
      </c>
    </row>
    <row r="150" spans="1:14" x14ac:dyDescent="0.25">
      <c r="A150" t="s">
        <v>76</v>
      </c>
      <c r="B150" t="s">
        <v>77</v>
      </c>
      <c r="C150" t="s">
        <v>16</v>
      </c>
      <c r="D150" t="s">
        <v>16</v>
      </c>
      <c r="E150" t="s">
        <v>17</v>
      </c>
      <c r="F150" t="s">
        <v>78</v>
      </c>
      <c r="G150">
        <v>41</v>
      </c>
      <c r="H150">
        <v>9.8000000000000007</v>
      </c>
      <c r="I150">
        <v>20</v>
      </c>
      <c r="J150" t="s">
        <v>19</v>
      </c>
      <c r="K150" t="s">
        <v>20</v>
      </c>
      <c r="L150" t="s">
        <v>21</v>
      </c>
      <c r="M150" t="s">
        <v>29</v>
      </c>
      <c r="N150" s="2">
        <v>23100</v>
      </c>
    </row>
    <row r="151" spans="1:14" x14ac:dyDescent="0.25">
      <c r="A151" t="s">
        <v>93</v>
      </c>
      <c r="B151" t="s">
        <v>107</v>
      </c>
      <c r="C151" t="s">
        <v>16</v>
      </c>
      <c r="D151" t="s">
        <v>32</v>
      </c>
      <c r="E151" t="s">
        <v>17</v>
      </c>
      <c r="F151" t="s">
        <v>39</v>
      </c>
      <c r="G151">
        <v>41</v>
      </c>
      <c r="H151">
        <v>12.3</v>
      </c>
      <c r="I151">
        <v>22</v>
      </c>
      <c r="J151" t="s">
        <v>44</v>
      </c>
      <c r="K151" t="s">
        <v>20</v>
      </c>
      <c r="L151" t="s">
        <v>45</v>
      </c>
      <c r="M151" t="s">
        <v>29</v>
      </c>
      <c r="N151" s="2">
        <v>7950</v>
      </c>
    </row>
    <row r="152" spans="1:14" x14ac:dyDescent="0.25">
      <c r="A152" t="s">
        <v>79</v>
      </c>
      <c r="B152" t="s">
        <v>80</v>
      </c>
      <c r="C152" t="s">
        <v>16</v>
      </c>
      <c r="D152" t="s">
        <v>26</v>
      </c>
      <c r="E152" t="s">
        <v>17</v>
      </c>
      <c r="F152" t="s">
        <v>81</v>
      </c>
      <c r="G152">
        <v>41.5</v>
      </c>
      <c r="H152">
        <v>11</v>
      </c>
      <c r="I152">
        <v>22</v>
      </c>
      <c r="J152" t="s">
        <v>28</v>
      </c>
      <c r="K152" t="s">
        <v>20</v>
      </c>
      <c r="L152" t="s">
        <v>21</v>
      </c>
      <c r="M152" t="s">
        <v>75</v>
      </c>
      <c r="N152" s="2">
        <v>18900</v>
      </c>
    </row>
    <row r="153" spans="1:14" x14ac:dyDescent="0.25">
      <c r="A153" t="s">
        <v>109</v>
      </c>
      <c r="B153" t="s">
        <v>110</v>
      </c>
      <c r="C153" t="s">
        <v>16</v>
      </c>
      <c r="D153" t="s">
        <v>111</v>
      </c>
      <c r="E153" t="s">
        <v>17</v>
      </c>
      <c r="F153" t="s">
        <v>18</v>
      </c>
      <c r="G153">
        <v>45</v>
      </c>
      <c r="H153">
        <v>15.5</v>
      </c>
      <c r="I153">
        <v>23</v>
      </c>
      <c r="J153" t="s">
        <v>19</v>
      </c>
      <c r="K153" t="s">
        <v>20</v>
      </c>
      <c r="L153" t="s">
        <v>21</v>
      </c>
      <c r="M153" t="s">
        <v>112</v>
      </c>
      <c r="N153" s="2">
        <v>12800</v>
      </c>
    </row>
    <row r="154" spans="1:14" x14ac:dyDescent="0.25">
      <c r="A154" t="s">
        <v>133</v>
      </c>
      <c r="B154" t="s">
        <v>174</v>
      </c>
      <c r="C154" t="s">
        <v>98</v>
      </c>
      <c r="D154" t="s">
        <v>26</v>
      </c>
      <c r="E154" t="s">
        <v>17</v>
      </c>
      <c r="F154" t="s">
        <v>33</v>
      </c>
      <c r="G154">
        <v>44</v>
      </c>
      <c r="H154">
        <v>14.5</v>
      </c>
      <c r="I154">
        <v>26</v>
      </c>
      <c r="J154" t="s">
        <v>19</v>
      </c>
      <c r="K154" t="s">
        <v>20</v>
      </c>
      <c r="L154" t="s">
        <v>35</v>
      </c>
      <c r="M154" t="s">
        <v>145</v>
      </c>
      <c r="N154" s="2">
        <v>17900</v>
      </c>
    </row>
    <row r="155" spans="1:14" x14ac:dyDescent="0.25">
      <c r="A155" t="s">
        <v>72</v>
      </c>
      <c r="B155" t="s">
        <v>73</v>
      </c>
      <c r="C155" t="s">
        <v>189</v>
      </c>
      <c r="D155" t="s">
        <v>32</v>
      </c>
      <c r="E155" t="s">
        <v>49</v>
      </c>
      <c r="F155" t="s">
        <v>39</v>
      </c>
      <c r="G155">
        <v>39</v>
      </c>
      <c r="H155">
        <v>8.65</v>
      </c>
      <c r="I155">
        <v>20</v>
      </c>
      <c r="J155" t="s">
        <v>44</v>
      </c>
      <c r="K155" t="s">
        <v>20</v>
      </c>
      <c r="L155" t="s">
        <v>45</v>
      </c>
      <c r="M155" t="s">
        <v>75</v>
      </c>
      <c r="N155" s="2">
        <v>15200</v>
      </c>
    </row>
    <row r="156" spans="1:14" x14ac:dyDescent="0.25">
      <c r="A156" t="s">
        <v>118</v>
      </c>
      <c r="B156" t="s">
        <v>119</v>
      </c>
      <c r="C156" t="s">
        <v>16</v>
      </c>
      <c r="D156" t="s">
        <v>32</v>
      </c>
      <c r="E156" t="s">
        <v>17</v>
      </c>
      <c r="F156" t="s">
        <v>33</v>
      </c>
      <c r="G156">
        <v>42.2</v>
      </c>
      <c r="H156">
        <v>14.2</v>
      </c>
      <c r="I156">
        <v>22</v>
      </c>
      <c r="J156" t="s">
        <v>28</v>
      </c>
      <c r="K156" t="s">
        <v>20</v>
      </c>
      <c r="L156" t="s">
        <v>21</v>
      </c>
      <c r="M156" t="s">
        <v>29</v>
      </c>
      <c r="N156" s="2">
        <v>8400</v>
      </c>
    </row>
    <row r="157" spans="1:14" x14ac:dyDescent="0.25">
      <c r="A157" t="s">
        <v>113</v>
      </c>
      <c r="B157" t="s">
        <v>190</v>
      </c>
      <c r="C157" t="s">
        <v>25</v>
      </c>
      <c r="D157" t="s">
        <v>26</v>
      </c>
      <c r="E157" t="s">
        <v>17</v>
      </c>
      <c r="F157" t="s">
        <v>33</v>
      </c>
      <c r="G157">
        <v>41</v>
      </c>
      <c r="H157">
        <v>10.75</v>
      </c>
      <c r="I157">
        <v>22</v>
      </c>
      <c r="J157" t="s">
        <v>28</v>
      </c>
      <c r="K157" t="s">
        <v>20</v>
      </c>
      <c r="L157" t="s">
        <v>35</v>
      </c>
      <c r="M157" t="s">
        <v>54</v>
      </c>
      <c r="N157" s="2">
        <v>9500</v>
      </c>
    </row>
    <row r="158" spans="1:14" x14ac:dyDescent="0.25">
      <c r="A158" t="s">
        <v>128</v>
      </c>
      <c r="B158" t="s">
        <v>129</v>
      </c>
      <c r="C158" t="s">
        <v>16</v>
      </c>
      <c r="D158" t="s">
        <v>16</v>
      </c>
      <c r="E158" t="s">
        <v>17</v>
      </c>
      <c r="F158" t="s">
        <v>33</v>
      </c>
      <c r="G158">
        <v>42</v>
      </c>
      <c r="H158">
        <v>10.88</v>
      </c>
      <c r="I158">
        <v>22</v>
      </c>
      <c r="J158" t="s">
        <v>44</v>
      </c>
      <c r="K158" t="s">
        <v>20</v>
      </c>
      <c r="L158" t="s">
        <v>45</v>
      </c>
      <c r="M158" t="s">
        <v>142</v>
      </c>
      <c r="N158" s="2">
        <v>9200</v>
      </c>
    </row>
    <row r="159" spans="1:14" x14ac:dyDescent="0.25">
      <c r="A159" t="s">
        <v>86</v>
      </c>
      <c r="B159" t="s">
        <v>150</v>
      </c>
      <c r="C159" t="s">
        <v>16</v>
      </c>
      <c r="D159" t="s">
        <v>32</v>
      </c>
      <c r="E159" t="s">
        <v>49</v>
      </c>
      <c r="F159" t="s">
        <v>33</v>
      </c>
      <c r="G159">
        <v>44</v>
      </c>
      <c r="H159">
        <v>13.05</v>
      </c>
      <c r="I159">
        <v>24</v>
      </c>
      <c r="J159" t="s">
        <v>19</v>
      </c>
      <c r="K159" t="s">
        <v>20</v>
      </c>
      <c r="L159" t="s">
        <v>45</v>
      </c>
      <c r="M159" t="s">
        <v>88</v>
      </c>
      <c r="N159" s="2">
        <v>7500</v>
      </c>
    </row>
    <row r="160" spans="1:14" x14ac:dyDescent="0.25">
      <c r="A160" t="s">
        <v>51</v>
      </c>
      <c r="B160" t="s">
        <v>52</v>
      </c>
      <c r="C160" t="s">
        <v>16</v>
      </c>
      <c r="D160" t="s">
        <v>154</v>
      </c>
      <c r="E160" t="s">
        <v>17</v>
      </c>
      <c r="F160" t="s">
        <v>53</v>
      </c>
      <c r="G160">
        <v>43</v>
      </c>
      <c r="H160">
        <v>13.2</v>
      </c>
      <c r="I160">
        <v>22</v>
      </c>
      <c r="J160" t="s">
        <v>28</v>
      </c>
      <c r="K160" t="s">
        <v>155</v>
      </c>
      <c r="L160" t="s">
        <v>21</v>
      </c>
      <c r="M160" t="s">
        <v>54</v>
      </c>
      <c r="N160" s="2">
        <v>1300</v>
      </c>
    </row>
    <row r="161" spans="1:14" x14ac:dyDescent="0.25">
      <c r="A161" t="s">
        <v>56</v>
      </c>
      <c r="B161" t="s">
        <v>57</v>
      </c>
      <c r="C161" t="s">
        <v>16</v>
      </c>
      <c r="D161" t="s">
        <v>32</v>
      </c>
      <c r="E161" t="s">
        <v>17</v>
      </c>
      <c r="F161" t="s">
        <v>39</v>
      </c>
      <c r="G161">
        <v>39.299999999999997</v>
      </c>
      <c r="H161">
        <v>9.75</v>
      </c>
      <c r="I161">
        <v>20</v>
      </c>
      <c r="J161" t="s">
        <v>44</v>
      </c>
      <c r="K161" t="s">
        <v>20</v>
      </c>
      <c r="L161" t="s">
        <v>21</v>
      </c>
      <c r="M161" t="s">
        <v>58</v>
      </c>
      <c r="N161" s="2">
        <v>650</v>
      </c>
    </row>
    <row r="162" spans="1:14" x14ac:dyDescent="0.25">
      <c r="A162" t="s">
        <v>62</v>
      </c>
      <c r="B162" t="s">
        <v>63</v>
      </c>
      <c r="C162" t="s">
        <v>16</v>
      </c>
      <c r="D162" t="s">
        <v>32</v>
      </c>
      <c r="E162" t="s">
        <v>17</v>
      </c>
      <c r="F162" t="s">
        <v>39</v>
      </c>
      <c r="G162">
        <v>40</v>
      </c>
      <c r="H162">
        <v>10.25</v>
      </c>
      <c r="I162">
        <v>20</v>
      </c>
      <c r="J162" t="s">
        <v>19</v>
      </c>
      <c r="K162" t="s">
        <v>20</v>
      </c>
      <c r="L162" t="s">
        <v>21</v>
      </c>
      <c r="M162" t="s">
        <v>64</v>
      </c>
      <c r="N162" s="2">
        <v>2500</v>
      </c>
    </row>
    <row r="163" spans="1:14" x14ac:dyDescent="0.25">
      <c r="A163" t="s">
        <v>59</v>
      </c>
      <c r="B163" t="s">
        <v>191</v>
      </c>
      <c r="C163" t="s">
        <v>16</v>
      </c>
      <c r="D163" t="s">
        <v>32</v>
      </c>
      <c r="E163" t="s">
        <v>17</v>
      </c>
      <c r="F163" t="s">
        <v>78</v>
      </c>
      <c r="G163">
        <v>40</v>
      </c>
      <c r="H163">
        <v>11.15</v>
      </c>
      <c r="I163">
        <v>20</v>
      </c>
      <c r="J163" t="s">
        <v>44</v>
      </c>
      <c r="K163" t="s">
        <v>20</v>
      </c>
      <c r="L163" t="s">
        <v>21</v>
      </c>
      <c r="M163" t="s">
        <v>61</v>
      </c>
      <c r="N163" s="2">
        <v>1150</v>
      </c>
    </row>
    <row r="164" spans="1:14" x14ac:dyDescent="0.25">
      <c r="A164" t="s">
        <v>99</v>
      </c>
      <c r="B164" t="s">
        <v>192</v>
      </c>
      <c r="C164" t="s">
        <v>16</v>
      </c>
      <c r="D164" t="s">
        <v>32</v>
      </c>
      <c r="E164" t="s">
        <v>17</v>
      </c>
      <c r="F164" t="s">
        <v>78</v>
      </c>
      <c r="G164">
        <v>40</v>
      </c>
      <c r="H164">
        <v>9.85</v>
      </c>
      <c r="I164">
        <v>20</v>
      </c>
      <c r="J164" t="s">
        <v>44</v>
      </c>
      <c r="K164" t="s">
        <v>20</v>
      </c>
      <c r="L164" t="s">
        <v>21</v>
      </c>
      <c r="M164" t="s">
        <v>36</v>
      </c>
      <c r="N164" s="2">
        <v>2750</v>
      </c>
    </row>
    <row r="165" spans="1:14" x14ac:dyDescent="0.25">
      <c r="A165" t="s">
        <v>193</v>
      </c>
      <c r="B165" t="s">
        <v>194</v>
      </c>
      <c r="C165" t="s">
        <v>195</v>
      </c>
      <c r="D165" t="s">
        <v>32</v>
      </c>
      <c r="E165" t="s">
        <v>43</v>
      </c>
      <c r="F165" t="s">
        <v>39</v>
      </c>
      <c r="G165">
        <v>39</v>
      </c>
      <c r="H165">
        <v>5</v>
      </c>
      <c r="I165">
        <v>22</v>
      </c>
      <c r="J165" t="s">
        <v>19</v>
      </c>
      <c r="K165" t="s">
        <v>20</v>
      </c>
      <c r="L165" t="s">
        <v>45</v>
      </c>
      <c r="M165" t="s">
        <v>46</v>
      </c>
      <c r="N165" s="2">
        <v>1600</v>
      </c>
    </row>
    <row r="166" spans="1:14" x14ac:dyDescent="0.25">
      <c r="A166" t="s">
        <v>196</v>
      </c>
      <c r="B166" t="s">
        <v>197</v>
      </c>
      <c r="C166" t="s">
        <v>16</v>
      </c>
      <c r="D166" t="s">
        <v>32</v>
      </c>
      <c r="E166" t="s">
        <v>17</v>
      </c>
      <c r="F166" t="s">
        <v>78</v>
      </c>
      <c r="G166">
        <v>40</v>
      </c>
      <c r="H166">
        <v>10.5</v>
      </c>
      <c r="I166">
        <v>20</v>
      </c>
      <c r="J166" t="s">
        <v>44</v>
      </c>
      <c r="K166" t="s">
        <v>20</v>
      </c>
      <c r="L166" t="s">
        <v>21</v>
      </c>
      <c r="M166" t="s">
        <v>58</v>
      </c>
      <c r="N166" s="2">
        <v>1400</v>
      </c>
    </row>
    <row r="167" spans="1:14" x14ac:dyDescent="0.25">
      <c r="A167" t="s">
        <v>113</v>
      </c>
      <c r="B167" t="s">
        <v>162</v>
      </c>
      <c r="C167" t="s">
        <v>16</v>
      </c>
      <c r="D167" t="s">
        <v>32</v>
      </c>
      <c r="E167" t="s">
        <v>17</v>
      </c>
      <c r="F167" t="s">
        <v>78</v>
      </c>
      <c r="G167">
        <v>40.5</v>
      </c>
      <c r="H167">
        <v>8.15</v>
      </c>
      <c r="I167">
        <v>22</v>
      </c>
      <c r="J167" t="s">
        <v>34</v>
      </c>
      <c r="K167" t="s">
        <v>20</v>
      </c>
      <c r="L167" t="s">
        <v>21</v>
      </c>
      <c r="M167" t="s">
        <v>54</v>
      </c>
      <c r="N167" s="2">
        <v>5500</v>
      </c>
    </row>
    <row r="168" spans="1:14" x14ac:dyDescent="0.25">
      <c r="A168" t="s">
        <v>128</v>
      </c>
      <c r="B168" t="s">
        <v>129</v>
      </c>
      <c r="C168" t="s">
        <v>16</v>
      </c>
      <c r="D168" t="s">
        <v>16</v>
      </c>
      <c r="E168" t="s">
        <v>17</v>
      </c>
      <c r="F168" t="s">
        <v>33</v>
      </c>
      <c r="G168">
        <v>38</v>
      </c>
      <c r="H168">
        <v>10.88</v>
      </c>
      <c r="I168">
        <v>25</v>
      </c>
      <c r="J168" t="s">
        <v>19</v>
      </c>
      <c r="K168" t="s">
        <v>20</v>
      </c>
      <c r="L168" t="s">
        <v>21</v>
      </c>
      <c r="M168" t="s">
        <v>142</v>
      </c>
      <c r="N168" s="2">
        <v>8700</v>
      </c>
    </row>
    <row r="169" spans="1:14" x14ac:dyDescent="0.25">
      <c r="A169" t="s">
        <v>118</v>
      </c>
      <c r="B169" t="s">
        <v>198</v>
      </c>
      <c r="C169" t="s">
        <v>16</v>
      </c>
      <c r="D169" t="s">
        <v>32</v>
      </c>
      <c r="E169" t="s">
        <v>17</v>
      </c>
      <c r="F169" t="s">
        <v>78</v>
      </c>
      <c r="G169">
        <v>42</v>
      </c>
      <c r="H169">
        <v>11.15</v>
      </c>
      <c r="I169">
        <v>20</v>
      </c>
      <c r="J169" t="s">
        <v>28</v>
      </c>
      <c r="K169" t="s">
        <v>20</v>
      </c>
      <c r="L169" t="s">
        <v>21</v>
      </c>
      <c r="M169" t="s">
        <v>29</v>
      </c>
      <c r="N169" s="2">
        <v>7900</v>
      </c>
    </row>
    <row r="170" spans="1:14" x14ac:dyDescent="0.25">
      <c r="A170" t="s">
        <v>71</v>
      </c>
      <c r="B170" t="s">
        <v>199</v>
      </c>
      <c r="C170" t="s">
        <v>200</v>
      </c>
      <c r="D170" t="s">
        <v>154</v>
      </c>
      <c r="E170" t="s">
        <v>17</v>
      </c>
      <c r="F170" t="s">
        <v>85</v>
      </c>
      <c r="G170">
        <v>45</v>
      </c>
      <c r="H170">
        <v>14.7</v>
      </c>
      <c r="I170">
        <v>22</v>
      </c>
      <c r="J170" t="s">
        <v>19</v>
      </c>
      <c r="K170" t="s">
        <v>20</v>
      </c>
      <c r="L170" t="s">
        <v>45</v>
      </c>
      <c r="M170" t="s">
        <v>58</v>
      </c>
      <c r="N170" s="2">
        <v>3350</v>
      </c>
    </row>
    <row r="171" spans="1:14" x14ac:dyDescent="0.25">
      <c r="A171" t="s">
        <v>14</v>
      </c>
      <c r="B171" t="s">
        <v>103</v>
      </c>
      <c r="C171" t="s">
        <v>16</v>
      </c>
      <c r="D171" t="s">
        <v>104</v>
      </c>
      <c r="E171" t="s">
        <v>17</v>
      </c>
      <c r="F171" t="s">
        <v>33</v>
      </c>
      <c r="G171">
        <v>36</v>
      </c>
      <c r="H171">
        <v>12.5</v>
      </c>
      <c r="I171">
        <v>20</v>
      </c>
      <c r="J171" t="s">
        <v>19</v>
      </c>
      <c r="K171" t="s">
        <v>20</v>
      </c>
      <c r="L171" t="s">
        <v>21</v>
      </c>
      <c r="M171" t="s">
        <v>40</v>
      </c>
      <c r="N171" s="2">
        <v>8000</v>
      </c>
    </row>
    <row r="172" spans="1:14" x14ac:dyDescent="0.25">
      <c r="A172" t="s">
        <v>23</v>
      </c>
      <c r="B172" t="s">
        <v>82</v>
      </c>
      <c r="C172" t="s">
        <v>16</v>
      </c>
      <c r="D172" t="s">
        <v>16</v>
      </c>
      <c r="E172" t="s">
        <v>17</v>
      </c>
      <c r="F172" t="s">
        <v>78</v>
      </c>
      <c r="G172">
        <v>42</v>
      </c>
      <c r="H172">
        <v>13.5</v>
      </c>
      <c r="I172">
        <v>20</v>
      </c>
      <c r="J172" t="s">
        <v>19</v>
      </c>
      <c r="K172" t="s">
        <v>20</v>
      </c>
      <c r="L172" t="s">
        <v>35</v>
      </c>
      <c r="M172" t="s">
        <v>29</v>
      </c>
      <c r="N172" s="2">
        <v>6500</v>
      </c>
    </row>
    <row r="173" spans="1:14" x14ac:dyDescent="0.25">
      <c r="A173" t="s">
        <v>41</v>
      </c>
      <c r="B173" t="s">
        <v>186</v>
      </c>
      <c r="C173" t="s">
        <v>16</v>
      </c>
      <c r="D173" t="s">
        <v>32</v>
      </c>
      <c r="E173" t="s">
        <v>17</v>
      </c>
      <c r="F173" t="s">
        <v>39</v>
      </c>
      <c r="G173">
        <v>33</v>
      </c>
      <c r="H173">
        <v>9.9600000000000009</v>
      </c>
      <c r="I173">
        <v>16</v>
      </c>
      <c r="J173" t="s">
        <v>44</v>
      </c>
      <c r="K173" t="s">
        <v>20</v>
      </c>
      <c r="L173" t="s">
        <v>21</v>
      </c>
      <c r="M173" t="s">
        <v>36</v>
      </c>
      <c r="N173" s="2">
        <v>4500</v>
      </c>
    </row>
    <row r="174" spans="1:14" x14ac:dyDescent="0.25">
      <c r="A174" t="s">
        <v>30</v>
      </c>
      <c r="B174" t="s">
        <v>201</v>
      </c>
      <c r="C174" t="s">
        <v>16</v>
      </c>
      <c r="D174" t="s">
        <v>16</v>
      </c>
      <c r="E174" t="s">
        <v>43</v>
      </c>
      <c r="F174" t="s">
        <v>18</v>
      </c>
      <c r="G174">
        <v>43</v>
      </c>
      <c r="H174">
        <v>10.8</v>
      </c>
      <c r="I174">
        <v>20</v>
      </c>
      <c r="J174" t="s">
        <v>28</v>
      </c>
      <c r="K174" t="s">
        <v>20</v>
      </c>
      <c r="L174" t="s">
        <v>45</v>
      </c>
      <c r="M174" t="s">
        <v>46</v>
      </c>
      <c r="N174" s="2">
        <v>1800</v>
      </c>
    </row>
    <row r="175" spans="1:14" x14ac:dyDescent="0.25">
      <c r="A175" t="s">
        <v>37</v>
      </c>
      <c r="B175" t="s">
        <v>84</v>
      </c>
      <c r="C175" t="s">
        <v>16</v>
      </c>
      <c r="D175" t="s">
        <v>26</v>
      </c>
      <c r="E175" t="s">
        <v>17</v>
      </c>
      <c r="F175" t="s">
        <v>202</v>
      </c>
      <c r="G175">
        <v>42</v>
      </c>
      <c r="H175">
        <v>13.32</v>
      </c>
      <c r="I175">
        <v>20</v>
      </c>
      <c r="J175" t="s">
        <v>28</v>
      </c>
      <c r="K175" t="s">
        <v>20</v>
      </c>
      <c r="L175" t="s">
        <v>21</v>
      </c>
      <c r="M175" t="s">
        <v>58</v>
      </c>
      <c r="N175" s="2">
        <v>3600</v>
      </c>
    </row>
    <row r="176" spans="1:14" x14ac:dyDescent="0.25">
      <c r="A176" t="s">
        <v>93</v>
      </c>
      <c r="B176" t="s">
        <v>107</v>
      </c>
      <c r="C176" t="s">
        <v>16</v>
      </c>
      <c r="D176" t="s">
        <v>32</v>
      </c>
      <c r="E176" t="s">
        <v>17</v>
      </c>
      <c r="F176" t="s">
        <v>39</v>
      </c>
      <c r="G176">
        <v>41</v>
      </c>
      <c r="H176">
        <v>12.3</v>
      </c>
      <c r="I176">
        <v>22</v>
      </c>
      <c r="J176" t="s">
        <v>28</v>
      </c>
      <c r="K176" t="s">
        <v>20</v>
      </c>
      <c r="L176" t="s">
        <v>21</v>
      </c>
      <c r="M176" t="s">
        <v>29</v>
      </c>
      <c r="N176" s="2">
        <v>8900</v>
      </c>
    </row>
    <row r="177" spans="1:14" x14ac:dyDescent="0.25">
      <c r="A177" t="s">
        <v>86</v>
      </c>
      <c r="B177" t="s">
        <v>143</v>
      </c>
      <c r="C177" t="s">
        <v>25</v>
      </c>
      <c r="D177" t="s">
        <v>32</v>
      </c>
      <c r="E177" t="s">
        <v>49</v>
      </c>
      <c r="F177" t="s">
        <v>18</v>
      </c>
      <c r="G177">
        <v>44</v>
      </c>
      <c r="H177">
        <v>13.05</v>
      </c>
      <c r="I177">
        <v>24</v>
      </c>
      <c r="J177" t="s">
        <v>19</v>
      </c>
      <c r="K177" t="s">
        <v>20</v>
      </c>
      <c r="L177" t="s">
        <v>45</v>
      </c>
      <c r="M177" t="s">
        <v>88</v>
      </c>
      <c r="N177" s="2">
        <v>5700</v>
      </c>
    </row>
    <row r="178" spans="1:14" x14ac:dyDescent="0.25">
      <c r="A178" t="s">
        <v>135</v>
      </c>
      <c r="B178" t="s">
        <v>136</v>
      </c>
      <c r="C178" t="s">
        <v>16</v>
      </c>
      <c r="D178" t="s">
        <v>16</v>
      </c>
      <c r="E178" t="s">
        <v>17</v>
      </c>
      <c r="F178" t="s">
        <v>137</v>
      </c>
      <c r="G178">
        <v>40.5</v>
      </c>
      <c r="H178">
        <v>8.3000000000000007</v>
      </c>
      <c r="I178">
        <v>22</v>
      </c>
      <c r="J178" t="s">
        <v>28</v>
      </c>
      <c r="K178" t="s">
        <v>20</v>
      </c>
      <c r="L178" t="s">
        <v>21</v>
      </c>
      <c r="M178" t="s">
        <v>50</v>
      </c>
      <c r="N178" s="2">
        <v>34000</v>
      </c>
    </row>
    <row r="179" spans="1:14" x14ac:dyDescent="0.25">
      <c r="A179" t="s">
        <v>47</v>
      </c>
      <c r="B179" t="s">
        <v>96</v>
      </c>
      <c r="C179" t="s">
        <v>16</v>
      </c>
      <c r="D179" t="s">
        <v>32</v>
      </c>
      <c r="E179" t="s">
        <v>17</v>
      </c>
      <c r="F179" t="s">
        <v>78</v>
      </c>
      <c r="G179">
        <v>39</v>
      </c>
      <c r="H179">
        <v>7.58</v>
      </c>
      <c r="I179">
        <v>20</v>
      </c>
      <c r="J179" t="s">
        <v>44</v>
      </c>
      <c r="K179" t="s">
        <v>20</v>
      </c>
      <c r="L179" t="s">
        <v>45</v>
      </c>
      <c r="M179" t="s">
        <v>176</v>
      </c>
      <c r="N179" s="2">
        <v>6800</v>
      </c>
    </row>
    <row r="180" spans="1:14" x14ac:dyDescent="0.25">
      <c r="A180" t="s">
        <v>69</v>
      </c>
      <c r="B180" t="s">
        <v>203</v>
      </c>
      <c r="C180" t="s">
        <v>16</v>
      </c>
      <c r="D180" t="s">
        <v>26</v>
      </c>
      <c r="E180" t="s">
        <v>17</v>
      </c>
      <c r="F180" t="s">
        <v>33</v>
      </c>
      <c r="G180">
        <v>41</v>
      </c>
      <c r="H180">
        <v>9.6999999999999993</v>
      </c>
      <c r="I180">
        <v>22</v>
      </c>
      <c r="J180" t="s">
        <v>19</v>
      </c>
      <c r="K180" t="s">
        <v>20</v>
      </c>
      <c r="L180" t="s">
        <v>21</v>
      </c>
      <c r="M180" t="s">
        <v>75</v>
      </c>
      <c r="N180" s="2">
        <v>2500</v>
      </c>
    </row>
    <row r="181" spans="1:14" x14ac:dyDescent="0.25">
      <c r="A181" t="s">
        <v>99</v>
      </c>
      <c r="B181">
        <v>1858</v>
      </c>
      <c r="C181" t="s">
        <v>204</v>
      </c>
      <c r="D181" t="s">
        <v>32</v>
      </c>
      <c r="E181" t="s">
        <v>17</v>
      </c>
      <c r="F181" t="s">
        <v>33</v>
      </c>
      <c r="G181">
        <v>44</v>
      </c>
      <c r="H181">
        <v>12.8</v>
      </c>
      <c r="I181">
        <v>22</v>
      </c>
      <c r="J181" t="s">
        <v>19</v>
      </c>
      <c r="K181" t="s">
        <v>20</v>
      </c>
      <c r="L181" t="s">
        <v>45</v>
      </c>
      <c r="M181" t="s">
        <v>36</v>
      </c>
      <c r="N181" s="2">
        <v>5300</v>
      </c>
    </row>
    <row r="182" spans="1:14" x14ac:dyDescent="0.25">
      <c r="A182" t="s">
        <v>135</v>
      </c>
      <c r="B182" t="s">
        <v>136</v>
      </c>
      <c r="C182" t="s">
        <v>16</v>
      </c>
      <c r="D182" t="s">
        <v>16</v>
      </c>
      <c r="E182" t="s">
        <v>17</v>
      </c>
      <c r="F182" t="s">
        <v>137</v>
      </c>
      <c r="G182">
        <v>40.5</v>
      </c>
      <c r="H182">
        <v>8.3000000000000007</v>
      </c>
      <c r="I182">
        <v>22</v>
      </c>
      <c r="J182" t="s">
        <v>28</v>
      </c>
      <c r="K182" t="s">
        <v>20</v>
      </c>
      <c r="L182" t="s">
        <v>21</v>
      </c>
      <c r="M182" t="s">
        <v>50</v>
      </c>
      <c r="N182" s="2">
        <v>34000</v>
      </c>
    </row>
    <row r="183" spans="1:14" x14ac:dyDescent="0.25">
      <c r="A183" t="s">
        <v>76</v>
      </c>
      <c r="B183" t="s">
        <v>77</v>
      </c>
      <c r="C183" t="s">
        <v>16</v>
      </c>
      <c r="D183" t="s">
        <v>16</v>
      </c>
      <c r="E183" t="s">
        <v>17</v>
      </c>
      <c r="F183" t="s">
        <v>78</v>
      </c>
      <c r="G183">
        <v>41</v>
      </c>
      <c r="H183">
        <v>9.8000000000000007</v>
      </c>
      <c r="I183">
        <v>20</v>
      </c>
      <c r="J183" t="s">
        <v>19</v>
      </c>
      <c r="K183" t="s">
        <v>20</v>
      </c>
      <c r="L183" t="s">
        <v>21</v>
      </c>
      <c r="M183" t="s">
        <v>29</v>
      </c>
      <c r="N183" s="2">
        <v>22000</v>
      </c>
    </row>
    <row r="184" spans="1:14" x14ac:dyDescent="0.25">
      <c r="A184" t="s">
        <v>79</v>
      </c>
      <c r="B184" t="s">
        <v>80</v>
      </c>
      <c r="C184" t="s">
        <v>16</v>
      </c>
      <c r="D184" t="s">
        <v>26</v>
      </c>
      <c r="E184" t="s">
        <v>17</v>
      </c>
      <c r="F184" t="s">
        <v>81</v>
      </c>
      <c r="G184">
        <v>41</v>
      </c>
      <c r="H184">
        <v>11</v>
      </c>
      <c r="I184">
        <v>21</v>
      </c>
      <c r="J184" t="s">
        <v>28</v>
      </c>
      <c r="K184" t="s">
        <v>20</v>
      </c>
      <c r="L184" t="s">
        <v>21</v>
      </c>
      <c r="M184" t="s">
        <v>29</v>
      </c>
      <c r="N184" s="2">
        <v>17500</v>
      </c>
    </row>
    <row r="185" spans="1:14" x14ac:dyDescent="0.25">
      <c r="A185" t="s">
        <v>93</v>
      </c>
      <c r="B185" t="s">
        <v>107</v>
      </c>
      <c r="C185" t="s">
        <v>16</v>
      </c>
      <c r="D185" t="s">
        <v>32</v>
      </c>
      <c r="E185" t="s">
        <v>17</v>
      </c>
      <c r="F185" t="s">
        <v>39</v>
      </c>
      <c r="G185">
        <v>41</v>
      </c>
      <c r="H185">
        <v>13.1</v>
      </c>
      <c r="I185">
        <v>22</v>
      </c>
      <c r="J185" t="s">
        <v>44</v>
      </c>
      <c r="K185" t="s">
        <v>20</v>
      </c>
      <c r="L185" t="s">
        <v>21</v>
      </c>
      <c r="M185" t="s">
        <v>29</v>
      </c>
      <c r="N185" s="2">
        <v>8500</v>
      </c>
    </row>
    <row r="186" spans="1:14" x14ac:dyDescent="0.25">
      <c r="A186" t="s">
        <v>133</v>
      </c>
      <c r="B186" t="s">
        <v>174</v>
      </c>
      <c r="C186" t="s">
        <v>98</v>
      </c>
      <c r="D186" t="s">
        <v>26</v>
      </c>
      <c r="E186" t="s">
        <v>17</v>
      </c>
      <c r="F186" t="s">
        <v>33</v>
      </c>
      <c r="G186">
        <v>44.5</v>
      </c>
      <c r="H186">
        <v>14.5</v>
      </c>
      <c r="I186">
        <v>22</v>
      </c>
      <c r="J186" t="s">
        <v>19</v>
      </c>
      <c r="K186" t="s">
        <v>20</v>
      </c>
      <c r="L186" t="s">
        <v>35</v>
      </c>
      <c r="M186" t="s">
        <v>145</v>
      </c>
      <c r="N186" s="2">
        <v>15000</v>
      </c>
    </row>
    <row r="187" spans="1:14" x14ac:dyDescent="0.25">
      <c r="A187" t="s">
        <v>113</v>
      </c>
      <c r="B187" t="s">
        <v>114</v>
      </c>
      <c r="C187" t="s">
        <v>16</v>
      </c>
      <c r="D187" t="s">
        <v>32</v>
      </c>
      <c r="E187" t="s">
        <v>17</v>
      </c>
      <c r="F187" t="s">
        <v>33</v>
      </c>
      <c r="G187">
        <v>38</v>
      </c>
      <c r="H187">
        <v>12.4</v>
      </c>
      <c r="I187">
        <v>19</v>
      </c>
      <c r="J187" t="s">
        <v>34</v>
      </c>
      <c r="K187" t="s">
        <v>20</v>
      </c>
      <c r="L187" t="s">
        <v>35</v>
      </c>
      <c r="M187" t="s">
        <v>54</v>
      </c>
      <c r="N187" s="2">
        <v>6000</v>
      </c>
    </row>
    <row r="188" spans="1:14" x14ac:dyDescent="0.25">
      <c r="A188" t="s">
        <v>126</v>
      </c>
      <c r="B188" t="s">
        <v>127</v>
      </c>
      <c r="C188" t="s">
        <v>16</v>
      </c>
      <c r="D188" t="s">
        <v>32</v>
      </c>
      <c r="E188" t="s">
        <v>17</v>
      </c>
      <c r="F188" t="s">
        <v>78</v>
      </c>
      <c r="G188">
        <v>42</v>
      </c>
      <c r="H188">
        <v>12.67</v>
      </c>
      <c r="I188">
        <v>20</v>
      </c>
      <c r="J188" t="s">
        <v>19</v>
      </c>
      <c r="K188" t="s">
        <v>20</v>
      </c>
      <c r="L188" t="s">
        <v>35</v>
      </c>
      <c r="M188" t="s">
        <v>22</v>
      </c>
      <c r="N188" s="2">
        <v>5000</v>
      </c>
    </row>
    <row r="189" spans="1:14" x14ac:dyDescent="0.25">
      <c r="A189" t="s">
        <v>86</v>
      </c>
      <c r="B189" t="s">
        <v>150</v>
      </c>
      <c r="C189" t="s">
        <v>25</v>
      </c>
      <c r="D189" t="s">
        <v>26</v>
      </c>
      <c r="E189" t="s">
        <v>17</v>
      </c>
      <c r="F189" t="s">
        <v>18</v>
      </c>
      <c r="G189">
        <v>44</v>
      </c>
      <c r="H189">
        <v>13.05</v>
      </c>
      <c r="I189">
        <v>24</v>
      </c>
      <c r="J189" t="s">
        <v>19</v>
      </c>
      <c r="K189" t="s">
        <v>20</v>
      </c>
      <c r="L189" t="s">
        <v>45</v>
      </c>
      <c r="M189" t="s">
        <v>145</v>
      </c>
      <c r="N189" s="2">
        <v>8500</v>
      </c>
    </row>
    <row r="190" spans="1:14" x14ac:dyDescent="0.25">
      <c r="A190" t="s">
        <v>128</v>
      </c>
      <c r="B190" t="s">
        <v>129</v>
      </c>
      <c r="C190" t="s">
        <v>16</v>
      </c>
      <c r="D190" t="s">
        <v>16</v>
      </c>
      <c r="E190" t="s">
        <v>17</v>
      </c>
      <c r="F190" t="s">
        <v>33</v>
      </c>
      <c r="G190">
        <v>42</v>
      </c>
      <c r="H190">
        <v>10.88</v>
      </c>
      <c r="I190">
        <v>22</v>
      </c>
      <c r="J190" t="s">
        <v>28</v>
      </c>
      <c r="K190" t="s">
        <v>20</v>
      </c>
      <c r="L190" t="s">
        <v>21</v>
      </c>
      <c r="M190" t="s">
        <v>130</v>
      </c>
      <c r="N190" s="2">
        <v>9000</v>
      </c>
    </row>
    <row r="191" spans="1:14" x14ac:dyDescent="0.25">
      <c r="A191" t="s">
        <v>109</v>
      </c>
      <c r="B191" t="s">
        <v>110</v>
      </c>
      <c r="C191" t="s">
        <v>16</v>
      </c>
      <c r="D191" t="s">
        <v>205</v>
      </c>
      <c r="E191" t="s">
        <v>17</v>
      </c>
      <c r="F191" t="s">
        <v>18</v>
      </c>
      <c r="G191">
        <v>45</v>
      </c>
      <c r="H191">
        <v>15.5</v>
      </c>
      <c r="I191">
        <v>23</v>
      </c>
      <c r="J191" t="s">
        <v>19</v>
      </c>
      <c r="K191" t="s">
        <v>20</v>
      </c>
      <c r="L191" t="s">
        <v>45</v>
      </c>
      <c r="M191" t="s">
        <v>112</v>
      </c>
      <c r="N191" s="2">
        <v>12500</v>
      </c>
    </row>
    <row r="192" spans="1:14" x14ac:dyDescent="0.25">
      <c r="A192" t="s">
        <v>124</v>
      </c>
      <c r="B192" t="s">
        <v>125</v>
      </c>
      <c r="C192" t="s">
        <v>25</v>
      </c>
      <c r="D192" t="s">
        <v>32</v>
      </c>
      <c r="E192" t="s">
        <v>17</v>
      </c>
      <c r="F192" t="s">
        <v>39</v>
      </c>
      <c r="G192">
        <v>40</v>
      </c>
      <c r="H192">
        <v>5.5</v>
      </c>
      <c r="I192">
        <v>21</v>
      </c>
      <c r="J192" t="s">
        <v>19</v>
      </c>
      <c r="K192" t="s">
        <v>20</v>
      </c>
      <c r="L192" t="s">
        <v>45</v>
      </c>
      <c r="M192" t="s">
        <v>181</v>
      </c>
      <c r="N192" s="2">
        <v>10000</v>
      </c>
    </row>
    <row r="193" spans="1:14" x14ac:dyDescent="0.25">
      <c r="A193" t="s">
        <v>89</v>
      </c>
      <c r="B193" t="s">
        <v>90</v>
      </c>
      <c r="C193" t="s">
        <v>16</v>
      </c>
      <c r="D193" t="s">
        <v>32</v>
      </c>
      <c r="E193" t="s">
        <v>17</v>
      </c>
      <c r="F193" t="s">
        <v>53</v>
      </c>
      <c r="G193">
        <v>41</v>
      </c>
      <c r="H193">
        <v>12.7</v>
      </c>
      <c r="I193">
        <v>22</v>
      </c>
      <c r="J193" t="s">
        <v>19</v>
      </c>
      <c r="K193" t="s">
        <v>20</v>
      </c>
      <c r="L193" t="s">
        <v>21</v>
      </c>
      <c r="M193" t="s">
        <v>40</v>
      </c>
      <c r="N193" s="2">
        <v>3800</v>
      </c>
    </row>
    <row r="194" spans="1:14" x14ac:dyDescent="0.25">
      <c r="A194" t="s">
        <v>86</v>
      </c>
      <c r="B194" t="s">
        <v>143</v>
      </c>
      <c r="C194" t="s">
        <v>16</v>
      </c>
      <c r="D194" t="s">
        <v>32</v>
      </c>
      <c r="E194" t="s">
        <v>17</v>
      </c>
      <c r="F194" t="s">
        <v>18</v>
      </c>
      <c r="G194">
        <v>44</v>
      </c>
      <c r="H194">
        <v>13.05</v>
      </c>
      <c r="I194">
        <v>22</v>
      </c>
      <c r="J194" t="s">
        <v>19</v>
      </c>
      <c r="K194" t="s">
        <v>20</v>
      </c>
      <c r="L194" t="s">
        <v>21</v>
      </c>
      <c r="M194" t="s">
        <v>145</v>
      </c>
      <c r="N194" s="2">
        <v>8900</v>
      </c>
    </row>
    <row r="195" spans="1:14" x14ac:dyDescent="0.25">
      <c r="A195" t="s">
        <v>133</v>
      </c>
      <c r="B195" t="s">
        <v>174</v>
      </c>
      <c r="C195" t="s">
        <v>25</v>
      </c>
      <c r="D195" t="s">
        <v>26</v>
      </c>
      <c r="E195" t="s">
        <v>17</v>
      </c>
      <c r="F195" t="s">
        <v>33</v>
      </c>
      <c r="G195">
        <v>44</v>
      </c>
      <c r="H195">
        <v>14.5</v>
      </c>
      <c r="I195">
        <v>25</v>
      </c>
      <c r="J195" t="s">
        <v>19</v>
      </c>
      <c r="K195" t="s">
        <v>20</v>
      </c>
      <c r="L195" t="s">
        <v>35</v>
      </c>
      <c r="M195" t="s">
        <v>145</v>
      </c>
      <c r="N195" s="2">
        <v>16800</v>
      </c>
    </row>
    <row r="196" spans="1:14" x14ac:dyDescent="0.25">
      <c r="A196" t="s">
        <v>93</v>
      </c>
      <c r="B196" t="s">
        <v>107</v>
      </c>
      <c r="C196" t="s">
        <v>16</v>
      </c>
      <c r="D196" t="s">
        <v>32</v>
      </c>
      <c r="E196" t="s">
        <v>17</v>
      </c>
      <c r="F196" t="s">
        <v>39</v>
      </c>
      <c r="G196">
        <v>40.9</v>
      </c>
      <c r="H196">
        <v>12.3</v>
      </c>
      <c r="I196">
        <v>20</v>
      </c>
      <c r="J196" t="s">
        <v>44</v>
      </c>
      <c r="K196" t="s">
        <v>20</v>
      </c>
      <c r="L196" t="s">
        <v>21</v>
      </c>
      <c r="M196" t="s">
        <v>149</v>
      </c>
      <c r="N196" s="2">
        <v>6900</v>
      </c>
    </row>
    <row r="197" spans="1:14" x14ac:dyDescent="0.25">
      <c r="A197" t="s">
        <v>76</v>
      </c>
      <c r="B197" t="s">
        <v>77</v>
      </c>
      <c r="C197" t="s">
        <v>16</v>
      </c>
      <c r="D197" t="s">
        <v>16</v>
      </c>
      <c r="E197" t="s">
        <v>17</v>
      </c>
      <c r="F197" t="s">
        <v>78</v>
      </c>
      <c r="G197">
        <v>41</v>
      </c>
      <c r="H197">
        <v>9.8000000000000007</v>
      </c>
      <c r="I197">
        <v>20</v>
      </c>
      <c r="J197" t="s">
        <v>28</v>
      </c>
      <c r="K197" t="s">
        <v>20</v>
      </c>
      <c r="L197" t="s">
        <v>21</v>
      </c>
      <c r="M197" t="s">
        <v>29</v>
      </c>
      <c r="N197" s="2">
        <v>24500</v>
      </c>
    </row>
    <row r="198" spans="1:14" x14ac:dyDescent="0.25">
      <c r="A198" t="s">
        <v>79</v>
      </c>
      <c r="B198" t="s">
        <v>80</v>
      </c>
      <c r="C198" t="s">
        <v>16</v>
      </c>
      <c r="D198" t="s">
        <v>26</v>
      </c>
      <c r="E198" t="s">
        <v>17</v>
      </c>
      <c r="F198" t="s">
        <v>81</v>
      </c>
      <c r="G198">
        <v>41.5</v>
      </c>
      <c r="H198">
        <v>11</v>
      </c>
      <c r="I198">
        <v>21</v>
      </c>
      <c r="J198" t="s">
        <v>44</v>
      </c>
      <c r="K198" t="s">
        <v>20</v>
      </c>
      <c r="L198" t="s">
        <v>21</v>
      </c>
      <c r="M198" t="s">
        <v>75</v>
      </c>
      <c r="N198" s="2">
        <v>19500</v>
      </c>
    </row>
    <row r="199" spans="1:14" x14ac:dyDescent="0.25">
      <c r="A199" t="s">
        <v>72</v>
      </c>
      <c r="B199" t="s">
        <v>73</v>
      </c>
      <c r="C199" t="s">
        <v>74</v>
      </c>
      <c r="D199" t="s">
        <v>32</v>
      </c>
      <c r="E199" t="s">
        <v>17</v>
      </c>
      <c r="F199" t="s">
        <v>39</v>
      </c>
      <c r="G199">
        <v>39</v>
      </c>
      <c r="H199">
        <v>8.65</v>
      </c>
      <c r="I199">
        <v>20</v>
      </c>
      <c r="J199" t="s">
        <v>44</v>
      </c>
      <c r="K199" t="s">
        <v>20</v>
      </c>
      <c r="L199" t="s">
        <v>21</v>
      </c>
      <c r="M199" t="s">
        <v>181</v>
      </c>
      <c r="N199" s="2">
        <v>24500</v>
      </c>
    </row>
    <row r="200" spans="1:14" x14ac:dyDescent="0.25">
      <c r="A200" t="s">
        <v>116</v>
      </c>
      <c r="B200" t="s">
        <v>175</v>
      </c>
      <c r="C200" t="s">
        <v>189</v>
      </c>
      <c r="D200" t="s">
        <v>32</v>
      </c>
      <c r="E200" t="s">
        <v>49</v>
      </c>
      <c r="F200" t="s">
        <v>39</v>
      </c>
      <c r="G200">
        <v>38</v>
      </c>
      <c r="H200">
        <v>6</v>
      </c>
      <c r="I200">
        <v>20</v>
      </c>
      <c r="J200" t="s">
        <v>34</v>
      </c>
      <c r="K200" t="s">
        <v>20</v>
      </c>
      <c r="L200" t="s">
        <v>45</v>
      </c>
      <c r="M200" t="s">
        <v>176</v>
      </c>
      <c r="N200" s="2">
        <v>20800</v>
      </c>
    </row>
    <row r="201" spans="1:14" x14ac:dyDescent="0.25">
      <c r="A201" t="s">
        <v>109</v>
      </c>
      <c r="B201" t="s">
        <v>110</v>
      </c>
      <c r="C201" t="s">
        <v>16</v>
      </c>
      <c r="D201" t="s">
        <v>140</v>
      </c>
      <c r="E201" t="s">
        <v>17</v>
      </c>
      <c r="F201" t="s">
        <v>18</v>
      </c>
      <c r="G201">
        <v>45</v>
      </c>
      <c r="H201">
        <v>15.5</v>
      </c>
      <c r="I201">
        <v>23</v>
      </c>
      <c r="J201" t="s">
        <v>19</v>
      </c>
      <c r="K201" t="s">
        <v>20</v>
      </c>
      <c r="L201" t="s">
        <v>21</v>
      </c>
      <c r="M201" t="s">
        <v>112</v>
      </c>
      <c r="N201" s="2">
        <v>13000</v>
      </c>
    </row>
    <row r="202" spans="1:14" x14ac:dyDescent="0.25">
      <c r="A202" t="s">
        <v>128</v>
      </c>
      <c r="B202" t="s">
        <v>129</v>
      </c>
      <c r="C202" t="s">
        <v>16</v>
      </c>
      <c r="D202" t="s">
        <v>16</v>
      </c>
      <c r="E202" t="s">
        <v>17</v>
      </c>
      <c r="F202" t="s">
        <v>33</v>
      </c>
      <c r="G202">
        <v>41</v>
      </c>
      <c r="H202">
        <v>10.88</v>
      </c>
      <c r="I202">
        <v>22</v>
      </c>
      <c r="J202" t="s">
        <v>19</v>
      </c>
      <c r="K202" t="s">
        <v>20</v>
      </c>
      <c r="L202" t="s">
        <v>21</v>
      </c>
      <c r="M202" t="s">
        <v>142</v>
      </c>
      <c r="N202" s="2">
        <v>9700</v>
      </c>
    </row>
    <row r="203" spans="1:14" x14ac:dyDescent="0.25">
      <c r="A203" t="s">
        <v>113</v>
      </c>
      <c r="B203" t="s">
        <v>138</v>
      </c>
      <c r="C203" t="s">
        <v>16</v>
      </c>
      <c r="D203" t="s">
        <v>32</v>
      </c>
      <c r="E203" t="s">
        <v>17</v>
      </c>
      <c r="F203" t="s">
        <v>78</v>
      </c>
      <c r="G203">
        <v>42</v>
      </c>
      <c r="H203">
        <v>14.05</v>
      </c>
      <c r="I203">
        <v>22</v>
      </c>
      <c r="J203" t="s">
        <v>44</v>
      </c>
      <c r="K203" t="s">
        <v>20</v>
      </c>
      <c r="L203" t="s">
        <v>35</v>
      </c>
      <c r="M203" t="s">
        <v>54</v>
      </c>
      <c r="N203" s="2">
        <v>7400</v>
      </c>
    </row>
    <row r="204" spans="1:14" x14ac:dyDescent="0.25">
      <c r="A204" t="s">
        <v>37</v>
      </c>
      <c r="B204" t="s">
        <v>206</v>
      </c>
      <c r="C204" t="s">
        <v>16</v>
      </c>
      <c r="D204" t="s">
        <v>26</v>
      </c>
      <c r="E204" t="s">
        <v>17</v>
      </c>
      <c r="F204" t="s">
        <v>53</v>
      </c>
      <c r="G204">
        <v>44</v>
      </c>
      <c r="H204">
        <v>14.2</v>
      </c>
      <c r="I204">
        <v>22</v>
      </c>
      <c r="J204" t="s">
        <v>19</v>
      </c>
      <c r="K204" t="s">
        <v>20</v>
      </c>
      <c r="L204" t="s">
        <v>21</v>
      </c>
      <c r="M204" t="s">
        <v>40</v>
      </c>
      <c r="N204" s="2">
        <v>4300</v>
      </c>
    </row>
    <row r="205" spans="1:14" x14ac:dyDescent="0.25">
      <c r="A205" t="s">
        <v>41</v>
      </c>
      <c r="B205" t="s">
        <v>207</v>
      </c>
      <c r="C205" t="s">
        <v>16</v>
      </c>
      <c r="D205" t="s">
        <v>16</v>
      </c>
      <c r="E205" t="s">
        <v>17</v>
      </c>
      <c r="F205" t="s">
        <v>33</v>
      </c>
      <c r="G205">
        <v>39.799999999999997</v>
      </c>
      <c r="H205">
        <v>9.08</v>
      </c>
      <c r="I205">
        <v>20</v>
      </c>
      <c r="J205" t="s">
        <v>44</v>
      </c>
      <c r="K205" t="s">
        <v>20</v>
      </c>
      <c r="L205" t="s">
        <v>21</v>
      </c>
      <c r="M205" t="s">
        <v>36</v>
      </c>
      <c r="N205" s="2">
        <v>6500</v>
      </c>
    </row>
    <row r="206" spans="1:14" x14ac:dyDescent="0.25">
      <c r="A206" t="s">
        <v>23</v>
      </c>
      <c r="B206" t="s">
        <v>82</v>
      </c>
      <c r="C206" t="s">
        <v>16</v>
      </c>
      <c r="D206" t="s">
        <v>32</v>
      </c>
      <c r="E206" t="s">
        <v>49</v>
      </c>
      <c r="F206" t="s">
        <v>78</v>
      </c>
      <c r="G206">
        <v>42</v>
      </c>
      <c r="H206">
        <v>13.7</v>
      </c>
      <c r="I206">
        <v>20</v>
      </c>
      <c r="J206" t="s">
        <v>19</v>
      </c>
      <c r="K206" t="s">
        <v>106</v>
      </c>
      <c r="L206" t="s">
        <v>35</v>
      </c>
      <c r="M206" t="s">
        <v>22</v>
      </c>
      <c r="N206" s="2">
        <v>5500</v>
      </c>
    </row>
    <row r="207" spans="1:14" x14ac:dyDescent="0.25">
      <c r="A207" t="s">
        <v>14</v>
      </c>
      <c r="B207" t="s">
        <v>91</v>
      </c>
      <c r="C207" t="s">
        <v>16</v>
      </c>
      <c r="D207" t="s">
        <v>16</v>
      </c>
      <c r="E207" t="s">
        <v>17</v>
      </c>
      <c r="F207" t="s">
        <v>33</v>
      </c>
      <c r="G207">
        <v>40</v>
      </c>
      <c r="H207">
        <v>12.4</v>
      </c>
      <c r="I207">
        <v>20</v>
      </c>
      <c r="J207" t="s">
        <v>19</v>
      </c>
      <c r="K207" t="s">
        <v>20</v>
      </c>
      <c r="L207" t="s">
        <v>185</v>
      </c>
      <c r="M207" t="s">
        <v>40</v>
      </c>
      <c r="N207" s="2">
        <v>9100</v>
      </c>
    </row>
    <row r="208" spans="1:14" x14ac:dyDescent="0.25">
      <c r="A208" t="s">
        <v>47</v>
      </c>
      <c r="B208" t="s">
        <v>160</v>
      </c>
      <c r="C208" t="s">
        <v>16</v>
      </c>
      <c r="D208" t="s">
        <v>32</v>
      </c>
      <c r="E208" t="s">
        <v>17</v>
      </c>
      <c r="F208" t="s">
        <v>78</v>
      </c>
      <c r="G208">
        <v>40</v>
      </c>
      <c r="H208">
        <v>8.8000000000000007</v>
      </c>
      <c r="I208">
        <v>20</v>
      </c>
      <c r="J208" t="s">
        <v>44</v>
      </c>
      <c r="K208" t="s">
        <v>20</v>
      </c>
      <c r="L208" t="s">
        <v>21</v>
      </c>
      <c r="M208" t="s">
        <v>40</v>
      </c>
      <c r="N208" s="2">
        <v>7500</v>
      </c>
    </row>
    <row r="209" spans="1:14" x14ac:dyDescent="0.25">
      <c r="A209" t="s">
        <v>76</v>
      </c>
      <c r="B209" t="s">
        <v>77</v>
      </c>
      <c r="C209" t="s">
        <v>16</v>
      </c>
      <c r="D209" t="s">
        <v>16</v>
      </c>
      <c r="E209" t="s">
        <v>17</v>
      </c>
      <c r="F209" t="s">
        <v>78</v>
      </c>
      <c r="G209">
        <v>41</v>
      </c>
      <c r="H209">
        <v>10.4</v>
      </c>
      <c r="I209">
        <v>20</v>
      </c>
      <c r="J209" t="s">
        <v>28</v>
      </c>
      <c r="K209" t="s">
        <v>20</v>
      </c>
      <c r="L209" t="s">
        <v>21</v>
      </c>
      <c r="M209" t="s">
        <v>29</v>
      </c>
      <c r="N209" s="2">
        <v>20900</v>
      </c>
    </row>
    <row r="210" spans="1:14" x14ac:dyDescent="0.25">
      <c r="A210" t="s">
        <v>93</v>
      </c>
      <c r="B210" t="s">
        <v>208</v>
      </c>
      <c r="C210" t="s">
        <v>16</v>
      </c>
      <c r="D210" t="s">
        <v>32</v>
      </c>
      <c r="E210" t="s">
        <v>17</v>
      </c>
      <c r="F210" t="s">
        <v>95</v>
      </c>
      <c r="G210">
        <v>40</v>
      </c>
      <c r="H210">
        <v>10.8</v>
      </c>
      <c r="I210">
        <v>20</v>
      </c>
      <c r="J210" t="s">
        <v>19</v>
      </c>
      <c r="K210" t="s">
        <v>20</v>
      </c>
      <c r="L210" t="s">
        <v>21</v>
      </c>
      <c r="M210" t="s">
        <v>36</v>
      </c>
      <c r="N210" s="2">
        <v>4200</v>
      </c>
    </row>
    <row r="211" spans="1:14" x14ac:dyDescent="0.25">
      <c r="A211" t="s">
        <v>135</v>
      </c>
      <c r="B211" t="s">
        <v>187</v>
      </c>
      <c r="C211" t="s">
        <v>74</v>
      </c>
      <c r="D211" t="s">
        <v>32</v>
      </c>
      <c r="E211" t="s">
        <v>17</v>
      </c>
      <c r="F211" t="s">
        <v>39</v>
      </c>
      <c r="G211">
        <v>39</v>
      </c>
      <c r="H211">
        <v>8.6</v>
      </c>
      <c r="I211">
        <v>20</v>
      </c>
      <c r="J211" t="s">
        <v>44</v>
      </c>
      <c r="K211" t="s">
        <v>20</v>
      </c>
      <c r="L211" t="s">
        <v>21</v>
      </c>
      <c r="M211" t="s">
        <v>22</v>
      </c>
      <c r="N211" s="2">
        <v>22000</v>
      </c>
    </row>
    <row r="212" spans="1:14" x14ac:dyDescent="0.25">
      <c r="A212" t="s">
        <v>30</v>
      </c>
      <c r="B212" t="s">
        <v>201</v>
      </c>
      <c r="C212" t="s">
        <v>16</v>
      </c>
      <c r="D212" t="s">
        <v>16</v>
      </c>
      <c r="E212" t="s">
        <v>43</v>
      </c>
      <c r="F212" t="s">
        <v>18</v>
      </c>
      <c r="G212">
        <v>32</v>
      </c>
      <c r="H212">
        <v>9.5</v>
      </c>
      <c r="I212">
        <v>15</v>
      </c>
      <c r="J212" t="s">
        <v>28</v>
      </c>
      <c r="K212" t="s">
        <v>20</v>
      </c>
      <c r="L212" t="s">
        <v>45</v>
      </c>
      <c r="M212" t="s">
        <v>46</v>
      </c>
      <c r="N212" s="2">
        <v>1700</v>
      </c>
    </row>
    <row r="213" spans="1:14" x14ac:dyDescent="0.25">
      <c r="A213" t="s">
        <v>89</v>
      </c>
      <c r="B213" t="s">
        <v>90</v>
      </c>
      <c r="C213" t="s">
        <v>16</v>
      </c>
      <c r="D213" t="s">
        <v>32</v>
      </c>
      <c r="E213" t="s">
        <v>17</v>
      </c>
      <c r="F213" t="s">
        <v>53</v>
      </c>
      <c r="G213">
        <v>41</v>
      </c>
      <c r="H213">
        <v>12.7</v>
      </c>
      <c r="I213">
        <v>22</v>
      </c>
      <c r="J213" t="s">
        <v>19</v>
      </c>
      <c r="K213" t="s">
        <v>20</v>
      </c>
      <c r="L213" t="s">
        <v>21</v>
      </c>
      <c r="M213" t="s">
        <v>40</v>
      </c>
      <c r="N213" s="2">
        <v>3600</v>
      </c>
    </row>
    <row r="214" spans="1:14" x14ac:dyDescent="0.25">
      <c r="A214" t="s">
        <v>14</v>
      </c>
      <c r="B214" t="s">
        <v>103</v>
      </c>
      <c r="C214" t="s">
        <v>16</v>
      </c>
      <c r="D214" t="s">
        <v>209</v>
      </c>
      <c r="E214" t="s">
        <v>17</v>
      </c>
      <c r="F214" t="s">
        <v>33</v>
      </c>
      <c r="G214">
        <v>36</v>
      </c>
      <c r="H214">
        <v>12.5</v>
      </c>
      <c r="I214">
        <v>20</v>
      </c>
      <c r="J214" t="s">
        <v>44</v>
      </c>
      <c r="K214" t="s">
        <v>20</v>
      </c>
      <c r="L214" t="s">
        <v>21</v>
      </c>
      <c r="M214" t="s">
        <v>40</v>
      </c>
      <c r="N214" s="2">
        <v>8900</v>
      </c>
    </row>
    <row r="215" spans="1:14" x14ac:dyDescent="0.25">
      <c r="A215" t="s">
        <v>23</v>
      </c>
      <c r="B215" t="s">
        <v>82</v>
      </c>
      <c r="C215" t="s">
        <v>16</v>
      </c>
      <c r="D215" t="s">
        <v>16</v>
      </c>
      <c r="E215" t="s">
        <v>17</v>
      </c>
      <c r="F215" t="s">
        <v>78</v>
      </c>
      <c r="G215">
        <v>42</v>
      </c>
      <c r="H215">
        <v>13.5</v>
      </c>
      <c r="I215">
        <v>20</v>
      </c>
      <c r="J215" t="s">
        <v>19</v>
      </c>
      <c r="K215" t="s">
        <v>20</v>
      </c>
      <c r="L215" t="s">
        <v>35</v>
      </c>
      <c r="M215" t="s">
        <v>29</v>
      </c>
      <c r="N215" s="2">
        <v>6800</v>
      </c>
    </row>
    <row r="216" spans="1:14" x14ac:dyDescent="0.25">
      <c r="A216" t="s">
        <v>30</v>
      </c>
      <c r="B216" t="s">
        <v>201</v>
      </c>
      <c r="C216" t="s">
        <v>16</v>
      </c>
      <c r="D216" t="s">
        <v>16</v>
      </c>
      <c r="E216" t="s">
        <v>43</v>
      </c>
      <c r="F216" t="s">
        <v>18</v>
      </c>
      <c r="G216">
        <v>43</v>
      </c>
      <c r="H216">
        <v>10.8</v>
      </c>
      <c r="I216">
        <v>21</v>
      </c>
      <c r="J216" t="s">
        <v>28</v>
      </c>
      <c r="K216" t="s">
        <v>20</v>
      </c>
      <c r="L216" t="s">
        <v>21</v>
      </c>
      <c r="M216" t="s">
        <v>46</v>
      </c>
      <c r="N216" s="2">
        <v>2600</v>
      </c>
    </row>
    <row r="217" spans="1:14" x14ac:dyDescent="0.25">
      <c r="A217" t="s">
        <v>37</v>
      </c>
      <c r="B217" t="s">
        <v>159</v>
      </c>
      <c r="C217" t="s">
        <v>16</v>
      </c>
      <c r="D217" t="s">
        <v>32</v>
      </c>
      <c r="E217" t="s">
        <v>17</v>
      </c>
      <c r="F217" t="s">
        <v>53</v>
      </c>
      <c r="G217">
        <v>42</v>
      </c>
      <c r="H217">
        <v>14.35</v>
      </c>
      <c r="I217">
        <v>20</v>
      </c>
      <c r="J217" t="s">
        <v>19</v>
      </c>
      <c r="K217" t="s">
        <v>20</v>
      </c>
      <c r="L217" t="s">
        <v>21</v>
      </c>
      <c r="M217" t="s">
        <v>58</v>
      </c>
      <c r="N217" s="2">
        <v>4400</v>
      </c>
    </row>
    <row r="218" spans="1:14" x14ac:dyDescent="0.25">
      <c r="A218" t="s">
        <v>41</v>
      </c>
      <c r="B218" t="s">
        <v>186</v>
      </c>
      <c r="C218" t="s">
        <v>189</v>
      </c>
      <c r="D218" t="s">
        <v>32</v>
      </c>
      <c r="E218" t="s">
        <v>17</v>
      </c>
      <c r="F218" t="s">
        <v>39</v>
      </c>
      <c r="G218">
        <v>33</v>
      </c>
      <c r="H218">
        <v>9.9600000000000009</v>
      </c>
      <c r="I218">
        <v>18</v>
      </c>
      <c r="J218" t="s">
        <v>44</v>
      </c>
      <c r="K218" t="s">
        <v>20</v>
      </c>
      <c r="L218" t="s">
        <v>21</v>
      </c>
      <c r="M218" t="s">
        <v>36</v>
      </c>
      <c r="N218" s="2">
        <v>13000</v>
      </c>
    </row>
    <row r="219" spans="1:14" x14ac:dyDescent="0.25">
      <c r="A219" t="s">
        <v>47</v>
      </c>
      <c r="B219" t="s">
        <v>160</v>
      </c>
      <c r="C219" t="s">
        <v>16</v>
      </c>
      <c r="D219" t="s">
        <v>32</v>
      </c>
      <c r="E219" t="s">
        <v>17</v>
      </c>
      <c r="F219" t="s">
        <v>78</v>
      </c>
      <c r="G219">
        <v>39</v>
      </c>
      <c r="H219">
        <v>8.5</v>
      </c>
      <c r="I219">
        <v>20</v>
      </c>
      <c r="J219" t="s">
        <v>44</v>
      </c>
      <c r="K219" t="s">
        <v>20</v>
      </c>
      <c r="L219" t="s">
        <v>21</v>
      </c>
      <c r="M219" t="s">
        <v>40</v>
      </c>
      <c r="N219" s="2">
        <v>7500</v>
      </c>
    </row>
    <row r="220" spans="1:14" x14ac:dyDescent="0.25">
      <c r="A220" t="s">
        <v>89</v>
      </c>
      <c r="B220" t="s">
        <v>210</v>
      </c>
      <c r="C220" t="s">
        <v>16</v>
      </c>
      <c r="D220" t="s">
        <v>16</v>
      </c>
      <c r="E220" t="s">
        <v>17</v>
      </c>
      <c r="F220" t="s">
        <v>53</v>
      </c>
      <c r="G220">
        <v>41</v>
      </c>
      <c r="H220">
        <v>14.5</v>
      </c>
      <c r="I220">
        <v>22</v>
      </c>
      <c r="J220" t="s">
        <v>19</v>
      </c>
      <c r="K220" t="s">
        <v>20</v>
      </c>
      <c r="L220" t="s">
        <v>92</v>
      </c>
      <c r="M220" t="s">
        <v>40</v>
      </c>
      <c r="N220" s="2">
        <v>4500</v>
      </c>
    </row>
    <row r="221" spans="1:14" x14ac:dyDescent="0.25">
      <c r="A221" t="s">
        <v>113</v>
      </c>
      <c r="B221" t="s">
        <v>114</v>
      </c>
      <c r="C221" t="s">
        <v>16</v>
      </c>
      <c r="D221" t="s">
        <v>32</v>
      </c>
      <c r="E221" t="s">
        <v>17</v>
      </c>
      <c r="F221" t="s">
        <v>33</v>
      </c>
      <c r="G221">
        <v>38</v>
      </c>
      <c r="H221">
        <v>12.45</v>
      </c>
      <c r="I221">
        <v>19</v>
      </c>
      <c r="J221" t="s">
        <v>34</v>
      </c>
      <c r="K221" t="s">
        <v>20</v>
      </c>
      <c r="L221" t="s">
        <v>35</v>
      </c>
      <c r="M221" t="s">
        <v>54</v>
      </c>
      <c r="N221" s="2">
        <v>6900</v>
      </c>
    </row>
    <row r="222" spans="1:14" x14ac:dyDescent="0.25">
      <c r="A222" t="s">
        <v>62</v>
      </c>
      <c r="B222" t="s">
        <v>153</v>
      </c>
      <c r="C222" t="s">
        <v>16</v>
      </c>
      <c r="D222" t="s">
        <v>16</v>
      </c>
      <c r="E222" t="s">
        <v>17</v>
      </c>
      <c r="F222" t="s">
        <v>18</v>
      </c>
      <c r="G222">
        <v>41</v>
      </c>
      <c r="H222">
        <v>12.65</v>
      </c>
      <c r="I222">
        <v>20</v>
      </c>
      <c r="J222" t="s">
        <v>19</v>
      </c>
      <c r="K222" t="s">
        <v>20</v>
      </c>
      <c r="L222" t="s">
        <v>21</v>
      </c>
      <c r="M222" t="s">
        <v>64</v>
      </c>
      <c r="N222" s="2">
        <v>1800</v>
      </c>
    </row>
    <row r="223" spans="1:14" x14ac:dyDescent="0.25">
      <c r="A223" t="s">
        <v>65</v>
      </c>
      <c r="B223" t="s">
        <v>211</v>
      </c>
      <c r="C223" t="s">
        <v>16</v>
      </c>
      <c r="D223" t="s">
        <v>32</v>
      </c>
      <c r="E223" t="s">
        <v>17</v>
      </c>
      <c r="F223" t="s">
        <v>33</v>
      </c>
      <c r="G223">
        <v>40</v>
      </c>
      <c r="H223">
        <v>12.9</v>
      </c>
      <c r="I223">
        <v>20</v>
      </c>
      <c r="J223" t="s">
        <v>28</v>
      </c>
      <c r="K223" t="s">
        <v>20</v>
      </c>
      <c r="L223" t="s">
        <v>21</v>
      </c>
      <c r="M223" t="s">
        <v>58</v>
      </c>
      <c r="N223" s="2">
        <v>1500</v>
      </c>
    </row>
    <row r="224" spans="1:14" x14ac:dyDescent="0.25">
      <c r="A224" t="s">
        <v>59</v>
      </c>
      <c r="B224" t="s">
        <v>60</v>
      </c>
      <c r="C224" t="s">
        <v>16</v>
      </c>
      <c r="D224" t="s">
        <v>205</v>
      </c>
      <c r="E224" t="s">
        <v>17</v>
      </c>
      <c r="F224" t="s">
        <v>33</v>
      </c>
      <c r="G224">
        <v>38</v>
      </c>
      <c r="H224">
        <v>9.6999999999999993</v>
      </c>
      <c r="I224">
        <v>20</v>
      </c>
      <c r="J224" t="s">
        <v>19</v>
      </c>
      <c r="K224" t="s">
        <v>20</v>
      </c>
      <c r="L224" t="s">
        <v>45</v>
      </c>
      <c r="M224" t="s">
        <v>61</v>
      </c>
      <c r="N224" s="2">
        <v>595</v>
      </c>
    </row>
    <row r="225" spans="1:14" x14ac:dyDescent="0.25">
      <c r="A225" t="s">
        <v>86</v>
      </c>
      <c r="B225" t="s">
        <v>143</v>
      </c>
      <c r="C225" t="s">
        <v>16</v>
      </c>
      <c r="D225" t="s">
        <v>32</v>
      </c>
      <c r="E225" t="s">
        <v>17</v>
      </c>
      <c r="F225" t="s">
        <v>18</v>
      </c>
      <c r="G225">
        <v>42</v>
      </c>
      <c r="H225">
        <v>13.2</v>
      </c>
      <c r="I225">
        <v>22</v>
      </c>
      <c r="J225" t="s">
        <v>19</v>
      </c>
      <c r="K225" t="s">
        <v>20</v>
      </c>
      <c r="L225" t="s">
        <v>21</v>
      </c>
      <c r="M225" t="s">
        <v>145</v>
      </c>
      <c r="N225" s="2">
        <v>7500</v>
      </c>
    </row>
    <row r="226" spans="1:14" x14ac:dyDescent="0.25">
      <c r="A226" t="s">
        <v>93</v>
      </c>
      <c r="B226" t="s">
        <v>94</v>
      </c>
      <c r="C226" t="s">
        <v>16</v>
      </c>
      <c r="D226" t="s">
        <v>32</v>
      </c>
      <c r="E226" t="s">
        <v>17</v>
      </c>
      <c r="F226" t="s">
        <v>95</v>
      </c>
      <c r="G226">
        <v>41</v>
      </c>
      <c r="H226">
        <v>15.3</v>
      </c>
      <c r="I226">
        <v>22</v>
      </c>
      <c r="J226" t="s">
        <v>19</v>
      </c>
      <c r="K226" t="s">
        <v>20</v>
      </c>
      <c r="L226" t="s">
        <v>21</v>
      </c>
      <c r="M226" t="s">
        <v>145</v>
      </c>
      <c r="N226" s="2">
        <v>5400</v>
      </c>
    </row>
    <row r="227" spans="1:14" x14ac:dyDescent="0.25">
      <c r="A227" t="s">
        <v>135</v>
      </c>
      <c r="B227" t="s">
        <v>187</v>
      </c>
      <c r="C227" t="s">
        <v>172</v>
      </c>
      <c r="D227" t="s">
        <v>32</v>
      </c>
      <c r="E227" t="s">
        <v>49</v>
      </c>
      <c r="F227" t="s">
        <v>39</v>
      </c>
      <c r="G227">
        <v>37</v>
      </c>
      <c r="H227">
        <v>7.7</v>
      </c>
      <c r="I227">
        <v>20</v>
      </c>
      <c r="J227" t="s">
        <v>34</v>
      </c>
      <c r="K227" t="s">
        <v>20</v>
      </c>
      <c r="L227" t="s">
        <v>45</v>
      </c>
      <c r="M227" t="s">
        <v>149</v>
      </c>
      <c r="N227" s="2">
        <v>25000</v>
      </c>
    </row>
    <row r="228" spans="1:14" x14ac:dyDescent="0.25">
      <c r="A228" t="s">
        <v>133</v>
      </c>
      <c r="B228" t="s">
        <v>174</v>
      </c>
      <c r="C228" t="s">
        <v>212</v>
      </c>
      <c r="D228" t="s">
        <v>26</v>
      </c>
      <c r="E228" t="s">
        <v>17</v>
      </c>
      <c r="F228" t="s">
        <v>33</v>
      </c>
      <c r="G228">
        <v>44</v>
      </c>
      <c r="H228">
        <v>14.5</v>
      </c>
      <c r="I228">
        <v>25</v>
      </c>
      <c r="J228" t="s">
        <v>19</v>
      </c>
      <c r="K228" t="s">
        <v>20</v>
      </c>
      <c r="L228" t="s">
        <v>35</v>
      </c>
      <c r="M228" t="s">
        <v>145</v>
      </c>
      <c r="N228" s="2">
        <v>15000</v>
      </c>
    </row>
    <row r="229" spans="1:14" x14ac:dyDescent="0.25">
      <c r="A229" t="s">
        <v>113</v>
      </c>
      <c r="B229" t="s">
        <v>138</v>
      </c>
      <c r="C229" t="s">
        <v>16</v>
      </c>
      <c r="D229" t="s">
        <v>32</v>
      </c>
      <c r="E229" t="s">
        <v>17</v>
      </c>
      <c r="F229" t="s">
        <v>78</v>
      </c>
      <c r="G229">
        <v>38</v>
      </c>
      <c r="H229">
        <v>12.6</v>
      </c>
      <c r="I229">
        <v>20</v>
      </c>
      <c r="J229" t="s">
        <v>44</v>
      </c>
      <c r="K229" t="s">
        <v>20</v>
      </c>
      <c r="L229" t="s">
        <v>35</v>
      </c>
      <c r="M229" t="s">
        <v>54</v>
      </c>
      <c r="N229" s="2">
        <v>7500</v>
      </c>
    </row>
    <row r="230" spans="1:14" x14ac:dyDescent="0.25">
      <c r="A230" t="s">
        <v>76</v>
      </c>
      <c r="B230" t="s">
        <v>77</v>
      </c>
      <c r="C230" t="s">
        <v>16</v>
      </c>
      <c r="D230" t="s">
        <v>16</v>
      </c>
      <c r="E230" t="s">
        <v>17</v>
      </c>
      <c r="F230" t="s">
        <v>78</v>
      </c>
      <c r="G230">
        <v>41</v>
      </c>
      <c r="H230">
        <v>9.8000000000000007</v>
      </c>
      <c r="I230">
        <v>20</v>
      </c>
      <c r="J230" t="s">
        <v>28</v>
      </c>
      <c r="K230" t="s">
        <v>20</v>
      </c>
      <c r="L230" t="s">
        <v>21</v>
      </c>
      <c r="M230" t="s">
        <v>29</v>
      </c>
      <c r="N230" s="2">
        <v>25000</v>
      </c>
    </row>
    <row r="231" spans="1:14" x14ac:dyDescent="0.25">
      <c r="A231" t="s">
        <v>79</v>
      </c>
      <c r="B231" t="s">
        <v>80</v>
      </c>
      <c r="C231" t="s">
        <v>16</v>
      </c>
      <c r="D231" t="s">
        <v>16</v>
      </c>
      <c r="E231" t="s">
        <v>17</v>
      </c>
      <c r="F231" t="s">
        <v>78</v>
      </c>
      <c r="G231">
        <v>41</v>
      </c>
      <c r="H231">
        <v>11</v>
      </c>
      <c r="I231">
        <v>22</v>
      </c>
      <c r="J231" t="s">
        <v>28</v>
      </c>
      <c r="K231" t="s">
        <v>20</v>
      </c>
      <c r="L231" t="s">
        <v>21</v>
      </c>
      <c r="M231" t="s">
        <v>75</v>
      </c>
      <c r="N231" s="2">
        <v>18000</v>
      </c>
    </row>
    <row r="232" spans="1:14" x14ac:dyDescent="0.25">
      <c r="A232" t="s">
        <v>72</v>
      </c>
      <c r="B232" t="s">
        <v>73</v>
      </c>
      <c r="C232" t="s">
        <v>172</v>
      </c>
      <c r="D232" t="s">
        <v>32</v>
      </c>
      <c r="E232" t="s">
        <v>17</v>
      </c>
      <c r="F232" t="s">
        <v>39</v>
      </c>
      <c r="G232">
        <v>39</v>
      </c>
      <c r="H232">
        <v>8.65</v>
      </c>
      <c r="I232">
        <v>21</v>
      </c>
      <c r="J232" t="s">
        <v>44</v>
      </c>
      <c r="K232" t="s">
        <v>20</v>
      </c>
      <c r="L232" t="s">
        <v>45</v>
      </c>
      <c r="M232" t="s">
        <v>181</v>
      </c>
      <c r="N232" s="2">
        <v>20000</v>
      </c>
    </row>
    <row r="233" spans="1:14" x14ac:dyDescent="0.25">
      <c r="A233" t="s">
        <v>118</v>
      </c>
      <c r="B233" t="s">
        <v>119</v>
      </c>
      <c r="C233" t="s">
        <v>16</v>
      </c>
      <c r="D233" t="s">
        <v>26</v>
      </c>
      <c r="E233" t="s">
        <v>17</v>
      </c>
      <c r="F233" t="s">
        <v>33</v>
      </c>
      <c r="G233">
        <v>42</v>
      </c>
      <c r="H233">
        <v>12.8</v>
      </c>
      <c r="I233">
        <v>22</v>
      </c>
      <c r="J233" t="s">
        <v>28</v>
      </c>
      <c r="K233" t="s">
        <v>20</v>
      </c>
      <c r="L233" t="s">
        <v>21</v>
      </c>
      <c r="M233" t="s">
        <v>29</v>
      </c>
      <c r="N233" s="2">
        <v>8500</v>
      </c>
    </row>
    <row r="234" spans="1:14" x14ac:dyDescent="0.25">
      <c r="A234" t="s">
        <v>109</v>
      </c>
      <c r="B234" t="s">
        <v>110</v>
      </c>
      <c r="C234" t="s">
        <v>16</v>
      </c>
      <c r="D234" t="s">
        <v>111</v>
      </c>
      <c r="E234" t="s">
        <v>17</v>
      </c>
      <c r="F234" t="s">
        <v>18</v>
      </c>
      <c r="G234">
        <v>45</v>
      </c>
      <c r="H234">
        <v>15.5</v>
      </c>
      <c r="I234">
        <v>23</v>
      </c>
      <c r="J234" t="s">
        <v>19</v>
      </c>
      <c r="K234" t="s">
        <v>20</v>
      </c>
      <c r="L234" t="s">
        <v>45</v>
      </c>
      <c r="M234" t="s">
        <v>112</v>
      </c>
      <c r="N234" s="2">
        <v>10500</v>
      </c>
    </row>
    <row r="235" spans="1:14" x14ac:dyDescent="0.25">
      <c r="A235" t="s">
        <v>128</v>
      </c>
      <c r="B235" t="s">
        <v>129</v>
      </c>
      <c r="C235" t="s">
        <v>16</v>
      </c>
      <c r="D235" t="s">
        <v>16</v>
      </c>
      <c r="E235" t="s">
        <v>17</v>
      </c>
      <c r="F235" t="s">
        <v>33</v>
      </c>
      <c r="G235">
        <v>42</v>
      </c>
      <c r="H235">
        <v>10.88</v>
      </c>
      <c r="I235">
        <v>22</v>
      </c>
      <c r="J235" t="s">
        <v>19</v>
      </c>
      <c r="K235" t="s">
        <v>20</v>
      </c>
      <c r="L235" t="s">
        <v>21</v>
      </c>
      <c r="M235" t="s">
        <v>130</v>
      </c>
      <c r="N235" s="2">
        <v>9000</v>
      </c>
    </row>
    <row r="236" spans="1:14" x14ac:dyDescent="0.25">
      <c r="A236" t="s">
        <v>135</v>
      </c>
      <c r="B236" t="s">
        <v>136</v>
      </c>
      <c r="C236" t="s">
        <v>16</v>
      </c>
      <c r="D236" t="s">
        <v>16</v>
      </c>
      <c r="E236" t="s">
        <v>17</v>
      </c>
      <c r="F236" t="s">
        <v>137</v>
      </c>
      <c r="G236">
        <v>40.799999999999997</v>
      </c>
      <c r="H236">
        <v>8.3000000000000007</v>
      </c>
      <c r="I236">
        <v>21</v>
      </c>
      <c r="J236" t="s">
        <v>28</v>
      </c>
      <c r="K236" t="s">
        <v>20</v>
      </c>
      <c r="L236" t="s">
        <v>21</v>
      </c>
      <c r="M236" t="s">
        <v>181</v>
      </c>
      <c r="N236" s="2">
        <v>51000</v>
      </c>
    </row>
    <row r="237" spans="1:14" x14ac:dyDescent="0.25">
      <c r="A237" t="s">
        <v>76</v>
      </c>
      <c r="B237" t="s">
        <v>77</v>
      </c>
      <c r="C237" t="s">
        <v>16</v>
      </c>
      <c r="D237" t="s">
        <v>16</v>
      </c>
      <c r="E237" t="s">
        <v>17</v>
      </c>
      <c r="F237" t="s">
        <v>78</v>
      </c>
      <c r="G237">
        <v>41</v>
      </c>
      <c r="H237">
        <v>9.8000000000000007</v>
      </c>
      <c r="I237">
        <v>20</v>
      </c>
      <c r="J237" t="s">
        <v>28</v>
      </c>
      <c r="K237" t="s">
        <v>20</v>
      </c>
      <c r="L237" t="s">
        <v>21</v>
      </c>
      <c r="M237" t="s">
        <v>29</v>
      </c>
      <c r="N237" s="2">
        <v>22000</v>
      </c>
    </row>
    <row r="238" spans="1:14" x14ac:dyDescent="0.25">
      <c r="A238" t="s">
        <v>93</v>
      </c>
      <c r="B238" t="s">
        <v>94</v>
      </c>
      <c r="C238" t="s">
        <v>16</v>
      </c>
      <c r="D238" t="s">
        <v>32</v>
      </c>
      <c r="E238" t="s">
        <v>17</v>
      </c>
      <c r="F238" t="s">
        <v>95</v>
      </c>
      <c r="G238">
        <v>46.2</v>
      </c>
      <c r="H238">
        <v>15</v>
      </c>
      <c r="I238">
        <v>20</v>
      </c>
      <c r="J238" t="s">
        <v>19</v>
      </c>
      <c r="K238" t="s">
        <v>20</v>
      </c>
      <c r="L238" t="s">
        <v>35</v>
      </c>
      <c r="M238" t="s">
        <v>122</v>
      </c>
      <c r="N238" s="2">
        <v>7500</v>
      </c>
    </row>
    <row r="239" spans="1:14" x14ac:dyDescent="0.25">
      <c r="A239" t="s">
        <v>109</v>
      </c>
      <c r="B239" t="s">
        <v>110</v>
      </c>
      <c r="C239" t="s">
        <v>25</v>
      </c>
      <c r="D239" t="s">
        <v>140</v>
      </c>
      <c r="E239" t="s">
        <v>17</v>
      </c>
      <c r="F239" t="s">
        <v>18</v>
      </c>
      <c r="G239">
        <v>45</v>
      </c>
      <c r="H239">
        <v>15.4</v>
      </c>
      <c r="I239">
        <v>23</v>
      </c>
      <c r="J239" t="s">
        <v>19</v>
      </c>
      <c r="K239" t="s">
        <v>20</v>
      </c>
      <c r="L239" t="s">
        <v>21</v>
      </c>
      <c r="M239" t="s">
        <v>112</v>
      </c>
      <c r="N239" s="2">
        <v>14500</v>
      </c>
    </row>
    <row r="240" spans="1:14" x14ac:dyDescent="0.25">
      <c r="A240" t="s">
        <v>79</v>
      </c>
      <c r="B240" t="s">
        <v>80</v>
      </c>
      <c r="C240" t="s">
        <v>16</v>
      </c>
      <c r="D240" t="s">
        <v>16</v>
      </c>
      <c r="E240" t="s">
        <v>17</v>
      </c>
      <c r="F240" t="s">
        <v>81</v>
      </c>
      <c r="G240">
        <v>41</v>
      </c>
      <c r="H240">
        <v>11</v>
      </c>
      <c r="I240">
        <v>22</v>
      </c>
      <c r="J240" t="s">
        <v>44</v>
      </c>
      <c r="K240" t="s">
        <v>20</v>
      </c>
      <c r="L240" t="s">
        <v>21</v>
      </c>
      <c r="M240" t="s">
        <v>29</v>
      </c>
      <c r="N240" s="2">
        <v>21500</v>
      </c>
    </row>
    <row r="241" spans="1:14" x14ac:dyDescent="0.25">
      <c r="A241" t="s">
        <v>113</v>
      </c>
      <c r="B241" t="s">
        <v>114</v>
      </c>
      <c r="C241" t="s">
        <v>16</v>
      </c>
      <c r="D241" t="s">
        <v>32</v>
      </c>
      <c r="E241" t="s">
        <v>17</v>
      </c>
      <c r="F241" t="s">
        <v>33</v>
      </c>
      <c r="G241">
        <v>42</v>
      </c>
      <c r="H241">
        <v>12.75</v>
      </c>
      <c r="I241">
        <v>20</v>
      </c>
      <c r="J241" t="s">
        <v>19</v>
      </c>
      <c r="K241" t="s">
        <v>20</v>
      </c>
      <c r="L241" t="s">
        <v>35</v>
      </c>
      <c r="M241" t="s">
        <v>54</v>
      </c>
      <c r="N241" s="2">
        <v>7500</v>
      </c>
    </row>
    <row r="242" spans="1:14" x14ac:dyDescent="0.25">
      <c r="A242" t="s">
        <v>133</v>
      </c>
      <c r="B242" t="s">
        <v>174</v>
      </c>
      <c r="C242" t="s">
        <v>25</v>
      </c>
      <c r="D242" t="s">
        <v>26</v>
      </c>
      <c r="E242" t="s">
        <v>17</v>
      </c>
      <c r="F242" t="s">
        <v>33</v>
      </c>
      <c r="G242">
        <v>44</v>
      </c>
      <c r="H242">
        <v>14.5</v>
      </c>
      <c r="I242">
        <v>22</v>
      </c>
      <c r="J242" t="s">
        <v>19</v>
      </c>
      <c r="K242" t="s">
        <v>20</v>
      </c>
      <c r="L242" t="s">
        <v>35</v>
      </c>
      <c r="M242" t="s">
        <v>145</v>
      </c>
      <c r="N242" s="2">
        <v>15000</v>
      </c>
    </row>
    <row r="243" spans="1:14" x14ac:dyDescent="0.25">
      <c r="A243" t="s">
        <v>72</v>
      </c>
      <c r="B243" t="s">
        <v>73</v>
      </c>
      <c r="C243" t="s">
        <v>189</v>
      </c>
      <c r="D243" t="s">
        <v>32</v>
      </c>
      <c r="E243" t="s">
        <v>17</v>
      </c>
      <c r="F243" t="s">
        <v>39</v>
      </c>
      <c r="G243">
        <v>39</v>
      </c>
      <c r="H243">
        <v>10.199999999999999</v>
      </c>
      <c r="I243">
        <v>22</v>
      </c>
      <c r="J243" t="s">
        <v>44</v>
      </c>
      <c r="K243" t="s">
        <v>20</v>
      </c>
      <c r="L243" t="s">
        <v>45</v>
      </c>
      <c r="M243" t="s">
        <v>75</v>
      </c>
      <c r="N243" s="2">
        <v>18000</v>
      </c>
    </row>
    <row r="244" spans="1:14" x14ac:dyDescent="0.25">
      <c r="A244" t="s">
        <v>126</v>
      </c>
      <c r="B244" t="s">
        <v>213</v>
      </c>
      <c r="C244" t="s">
        <v>16</v>
      </c>
      <c r="D244" t="s">
        <v>32</v>
      </c>
      <c r="E244" t="s">
        <v>43</v>
      </c>
      <c r="F244" t="s">
        <v>39</v>
      </c>
      <c r="G244">
        <v>30</v>
      </c>
      <c r="H244">
        <v>10.5</v>
      </c>
      <c r="I244">
        <v>17</v>
      </c>
      <c r="J244" t="s">
        <v>34</v>
      </c>
      <c r="K244" t="s">
        <v>20</v>
      </c>
      <c r="L244" t="s">
        <v>45</v>
      </c>
      <c r="M244" t="s">
        <v>46</v>
      </c>
      <c r="N244" s="2">
        <v>5000</v>
      </c>
    </row>
    <row r="245" spans="1:14" x14ac:dyDescent="0.25">
      <c r="A245" t="s">
        <v>128</v>
      </c>
      <c r="B245" t="s">
        <v>129</v>
      </c>
      <c r="C245" t="s">
        <v>16</v>
      </c>
      <c r="D245" t="s">
        <v>16</v>
      </c>
      <c r="E245" t="s">
        <v>17</v>
      </c>
      <c r="F245" t="s">
        <v>33</v>
      </c>
      <c r="G245">
        <v>41</v>
      </c>
      <c r="H245">
        <v>10.88</v>
      </c>
      <c r="I245">
        <v>22</v>
      </c>
      <c r="J245" t="s">
        <v>28</v>
      </c>
      <c r="K245" t="s">
        <v>20</v>
      </c>
      <c r="L245" t="s">
        <v>21</v>
      </c>
      <c r="M245" t="s">
        <v>130</v>
      </c>
      <c r="N245" s="2">
        <v>11500</v>
      </c>
    </row>
    <row r="246" spans="1:14" x14ac:dyDescent="0.25">
      <c r="A246" t="s">
        <v>86</v>
      </c>
      <c r="B246" t="s">
        <v>143</v>
      </c>
      <c r="C246" t="s">
        <v>16</v>
      </c>
      <c r="D246" t="s">
        <v>32</v>
      </c>
      <c r="E246" t="s">
        <v>17</v>
      </c>
      <c r="F246" t="s">
        <v>18</v>
      </c>
      <c r="G246">
        <v>44</v>
      </c>
      <c r="H246">
        <v>15.65</v>
      </c>
      <c r="I246">
        <v>24</v>
      </c>
      <c r="J246" t="s">
        <v>19</v>
      </c>
      <c r="K246" t="s">
        <v>20</v>
      </c>
      <c r="L246" t="s">
        <v>21</v>
      </c>
      <c r="M246" t="s">
        <v>145</v>
      </c>
      <c r="N246" s="2">
        <v>8000</v>
      </c>
    </row>
    <row r="247" spans="1:14" x14ac:dyDescent="0.25">
      <c r="A247" t="s">
        <v>89</v>
      </c>
      <c r="B247" t="s">
        <v>90</v>
      </c>
      <c r="C247" t="s">
        <v>16</v>
      </c>
      <c r="D247" t="s">
        <v>32</v>
      </c>
      <c r="E247" t="s">
        <v>17</v>
      </c>
      <c r="F247" t="s">
        <v>53</v>
      </c>
      <c r="G247">
        <v>41</v>
      </c>
      <c r="H247">
        <v>14.75</v>
      </c>
      <c r="I247">
        <v>22</v>
      </c>
      <c r="J247" t="s">
        <v>19</v>
      </c>
      <c r="K247" t="s">
        <v>20</v>
      </c>
      <c r="L247" t="s">
        <v>45</v>
      </c>
      <c r="M247" t="s">
        <v>40</v>
      </c>
      <c r="N247" s="2">
        <v>3800</v>
      </c>
    </row>
    <row r="248" spans="1:14" x14ac:dyDescent="0.25">
      <c r="A248" t="s">
        <v>86</v>
      </c>
      <c r="B248" t="s">
        <v>150</v>
      </c>
      <c r="C248" t="s">
        <v>16</v>
      </c>
      <c r="D248" t="s">
        <v>32</v>
      </c>
      <c r="E248" t="s">
        <v>49</v>
      </c>
      <c r="F248" t="s">
        <v>33</v>
      </c>
      <c r="G248">
        <v>44</v>
      </c>
      <c r="H248">
        <v>13.05</v>
      </c>
      <c r="I248">
        <v>24</v>
      </c>
      <c r="J248" t="s">
        <v>19</v>
      </c>
      <c r="K248" t="s">
        <v>20</v>
      </c>
      <c r="L248" t="s">
        <v>45</v>
      </c>
      <c r="M248" t="s">
        <v>88</v>
      </c>
      <c r="N248" s="2">
        <v>6400</v>
      </c>
    </row>
    <row r="249" spans="1:14" x14ac:dyDescent="0.25">
      <c r="A249" t="s">
        <v>93</v>
      </c>
      <c r="B249" t="s">
        <v>107</v>
      </c>
      <c r="C249" t="s">
        <v>16</v>
      </c>
      <c r="D249" t="s">
        <v>32</v>
      </c>
      <c r="E249" t="s">
        <v>17</v>
      </c>
      <c r="F249" t="s">
        <v>39</v>
      </c>
      <c r="G249">
        <v>41</v>
      </c>
      <c r="H249">
        <v>12.3</v>
      </c>
      <c r="I249">
        <v>22</v>
      </c>
      <c r="J249" t="s">
        <v>44</v>
      </c>
      <c r="K249" t="s">
        <v>20</v>
      </c>
      <c r="L249" t="s">
        <v>21</v>
      </c>
      <c r="M249" t="s">
        <v>29</v>
      </c>
      <c r="N249" s="2">
        <v>8900</v>
      </c>
    </row>
    <row r="250" spans="1:14" x14ac:dyDescent="0.25">
      <c r="A250" t="s">
        <v>76</v>
      </c>
      <c r="B250" t="s">
        <v>77</v>
      </c>
      <c r="C250" t="s">
        <v>16</v>
      </c>
      <c r="D250" t="s">
        <v>16</v>
      </c>
      <c r="E250" t="s">
        <v>17</v>
      </c>
      <c r="F250" t="s">
        <v>78</v>
      </c>
      <c r="G250">
        <v>41</v>
      </c>
      <c r="H250">
        <v>9.8000000000000007</v>
      </c>
      <c r="I250">
        <v>20</v>
      </c>
      <c r="J250" t="s">
        <v>28</v>
      </c>
      <c r="K250" t="s">
        <v>20</v>
      </c>
      <c r="L250" t="s">
        <v>21</v>
      </c>
      <c r="M250" t="s">
        <v>29</v>
      </c>
      <c r="N250" s="2">
        <v>20400</v>
      </c>
    </row>
    <row r="251" spans="1:14" x14ac:dyDescent="0.25">
      <c r="A251" t="s">
        <v>79</v>
      </c>
      <c r="B251" t="s">
        <v>80</v>
      </c>
      <c r="C251" t="s">
        <v>16</v>
      </c>
      <c r="D251" t="s">
        <v>26</v>
      </c>
      <c r="E251" t="s">
        <v>17</v>
      </c>
      <c r="F251" t="s">
        <v>81</v>
      </c>
      <c r="G251">
        <v>41</v>
      </c>
      <c r="H251">
        <v>11</v>
      </c>
      <c r="I251">
        <v>21</v>
      </c>
      <c r="J251" t="s">
        <v>28</v>
      </c>
      <c r="K251" t="s">
        <v>20</v>
      </c>
      <c r="L251" t="s">
        <v>21</v>
      </c>
      <c r="M251" t="s">
        <v>29</v>
      </c>
      <c r="N251" s="2">
        <v>22000</v>
      </c>
    </row>
    <row r="252" spans="1:14" x14ac:dyDescent="0.25">
      <c r="A252" t="s">
        <v>135</v>
      </c>
      <c r="B252" t="s">
        <v>136</v>
      </c>
      <c r="C252" t="s">
        <v>16</v>
      </c>
      <c r="D252" t="s">
        <v>16</v>
      </c>
      <c r="E252" t="s">
        <v>17</v>
      </c>
      <c r="F252" t="s">
        <v>137</v>
      </c>
      <c r="G252">
        <v>40.799999999999997</v>
      </c>
      <c r="H252">
        <v>8.3000000000000007</v>
      </c>
      <c r="I252">
        <v>21</v>
      </c>
      <c r="J252" t="s">
        <v>28</v>
      </c>
      <c r="K252" t="s">
        <v>20</v>
      </c>
      <c r="L252" t="s">
        <v>21</v>
      </c>
      <c r="M252" t="s">
        <v>50</v>
      </c>
      <c r="N252" s="2">
        <v>62500</v>
      </c>
    </row>
    <row r="253" spans="1:14" x14ac:dyDescent="0.25">
      <c r="A253" t="s">
        <v>109</v>
      </c>
      <c r="B253" t="s">
        <v>110</v>
      </c>
      <c r="C253" t="s">
        <v>16</v>
      </c>
      <c r="D253" t="s">
        <v>111</v>
      </c>
      <c r="E253" t="s">
        <v>17</v>
      </c>
      <c r="F253" t="s">
        <v>18</v>
      </c>
      <c r="G253">
        <v>45</v>
      </c>
      <c r="H253">
        <v>15.5</v>
      </c>
      <c r="I253">
        <v>23</v>
      </c>
      <c r="J253" t="s">
        <v>19</v>
      </c>
      <c r="K253" t="s">
        <v>20</v>
      </c>
      <c r="L253" t="s">
        <v>21</v>
      </c>
      <c r="M253" t="s">
        <v>112</v>
      </c>
      <c r="N253" s="2">
        <v>14900</v>
      </c>
    </row>
    <row r="254" spans="1:14" x14ac:dyDescent="0.25">
      <c r="A254" t="s">
        <v>126</v>
      </c>
      <c r="B254" t="s">
        <v>127</v>
      </c>
      <c r="C254" t="s">
        <v>16</v>
      </c>
      <c r="D254" t="s">
        <v>32</v>
      </c>
      <c r="E254" t="s">
        <v>17</v>
      </c>
      <c r="F254" t="s">
        <v>78</v>
      </c>
      <c r="G254">
        <v>42</v>
      </c>
      <c r="H254">
        <v>12.67</v>
      </c>
      <c r="I254">
        <v>20</v>
      </c>
      <c r="J254" t="s">
        <v>44</v>
      </c>
      <c r="K254" t="s">
        <v>20</v>
      </c>
      <c r="L254" t="s">
        <v>35</v>
      </c>
      <c r="M254" t="s">
        <v>36</v>
      </c>
      <c r="N254" s="2">
        <v>5900</v>
      </c>
    </row>
    <row r="255" spans="1:14" x14ac:dyDescent="0.25">
      <c r="A255" t="s">
        <v>62</v>
      </c>
      <c r="B255" t="s">
        <v>63</v>
      </c>
      <c r="C255" t="s">
        <v>16</v>
      </c>
      <c r="D255" t="s">
        <v>32</v>
      </c>
      <c r="E255" t="s">
        <v>17</v>
      </c>
      <c r="F255" t="s">
        <v>39</v>
      </c>
      <c r="G255">
        <v>40</v>
      </c>
      <c r="H255">
        <v>9.35</v>
      </c>
      <c r="I255">
        <v>20</v>
      </c>
      <c r="J255" t="s">
        <v>44</v>
      </c>
      <c r="K255" t="s">
        <v>20</v>
      </c>
      <c r="L255" t="s">
        <v>21</v>
      </c>
      <c r="M255" t="s">
        <v>64</v>
      </c>
      <c r="N255" s="2">
        <v>1500</v>
      </c>
    </row>
    <row r="256" spans="1:14" x14ac:dyDescent="0.25">
      <c r="A256" t="s">
        <v>99</v>
      </c>
      <c r="B256" t="s">
        <v>192</v>
      </c>
      <c r="C256" t="s">
        <v>16</v>
      </c>
      <c r="D256" t="s">
        <v>32</v>
      </c>
      <c r="E256" t="s">
        <v>17</v>
      </c>
      <c r="F256" t="s">
        <v>78</v>
      </c>
      <c r="G256">
        <v>40</v>
      </c>
      <c r="H256">
        <v>9.85</v>
      </c>
      <c r="I256">
        <v>20</v>
      </c>
      <c r="J256" t="s">
        <v>19</v>
      </c>
      <c r="K256" t="s">
        <v>20</v>
      </c>
      <c r="L256" t="s">
        <v>21</v>
      </c>
      <c r="M256" t="s">
        <v>58</v>
      </c>
      <c r="N256" s="2">
        <v>2700</v>
      </c>
    </row>
    <row r="257" spans="1:14" x14ac:dyDescent="0.25">
      <c r="A257" t="s">
        <v>113</v>
      </c>
      <c r="B257" t="s">
        <v>114</v>
      </c>
      <c r="C257" t="s">
        <v>16</v>
      </c>
      <c r="D257" t="s">
        <v>32</v>
      </c>
      <c r="E257" t="s">
        <v>17</v>
      </c>
      <c r="F257" t="s">
        <v>33</v>
      </c>
      <c r="G257">
        <v>42</v>
      </c>
      <c r="H257">
        <v>12.75</v>
      </c>
      <c r="I257">
        <v>20</v>
      </c>
      <c r="J257" t="s">
        <v>19</v>
      </c>
      <c r="K257" t="s">
        <v>20</v>
      </c>
      <c r="L257" t="s">
        <v>35</v>
      </c>
      <c r="M257" t="s">
        <v>54</v>
      </c>
      <c r="N257" s="2">
        <v>6500</v>
      </c>
    </row>
    <row r="258" spans="1:14" x14ac:dyDescent="0.25">
      <c r="A258" t="s">
        <v>14</v>
      </c>
      <c r="B258" t="s">
        <v>103</v>
      </c>
      <c r="C258" t="s">
        <v>16</v>
      </c>
      <c r="D258" t="s">
        <v>16</v>
      </c>
      <c r="E258" t="s">
        <v>17</v>
      </c>
      <c r="F258" t="s">
        <v>33</v>
      </c>
      <c r="G258">
        <v>41</v>
      </c>
      <c r="H258">
        <v>11.8</v>
      </c>
      <c r="I258">
        <v>21</v>
      </c>
      <c r="J258" t="s">
        <v>28</v>
      </c>
      <c r="K258" t="s">
        <v>20</v>
      </c>
      <c r="L258" t="s">
        <v>21</v>
      </c>
      <c r="M258" t="s">
        <v>40</v>
      </c>
      <c r="N258" s="2">
        <v>7800</v>
      </c>
    </row>
    <row r="259" spans="1:14" x14ac:dyDescent="0.25">
      <c r="A259" t="s">
        <v>23</v>
      </c>
      <c r="B259" t="s">
        <v>82</v>
      </c>
      <c r="C259" t="s">
        <v>16</v>
      </c>
      <c r="D259" t="s">
        <v>16</v>
      </c>
      <c r="E259" t="s">
        <v>17</v>
      </c>
      <c r="F259" t="s">
        <v>78</v>
      </c>
      <c r="G259">
        <v>42</v>
      </c>
      <c r="H259">
        <v>13.75</v>
      </c>
      <c r="I259">
        <v>20</v>
      </c>
      <c r="J259" t="s">
        <v>19</v>
      </c>
      <c r="K259" t="s">
        <v>20</v>
      </c>
      <c r="L259" t="s">
        <v>141</v>
      </c>
      <c r="M259" t="s">
        <v>22</v>
      </c>
      <c r="N259" s="2">
        <v>5300</v>
      </c>
    </row>
    <row r="260" spans="1:14" x14ac:dyDescent="0.25">
      <c r="A260" t="s">
        <v>30</v>
      </c>
      <c r="B260" t="s">
        <v>214</v>
      </c>
      <c r="C260" t="s">
        <v>16</v>
      </c>
      <c r="D260" t="s">
        <v>32</v>
      </c>
      <c r="E260" t="s">
        <v>17</v>
      </c>
      <c r="F260" t="s">
        <v>33</v>
      </c>
      <c r="G260">
        <v>39</v>
      </c>
      <c r="H260">
        <v>14.5</v>
      </c>
      <c r="I260">
        <v>22</v>
      </c>
      <c r="J260" t="s">
        <v>28</v>
      </c>
      <c r="K260" t="s">
        <v>20</v>
      </c>
      <c r="L260" t="s">
        <v>35</v>
      </c>
      <c r="M260" t="s">
        <v>36</v>
      </c>
      <c r="N260" s="2">
        <v>5900</v>
      </c>
    </row>
    <row r="261" spans="1:14" x14ac:dyDescent="0.25">
      <c r="A261" t="s">
        <v>37</v>
      </c>
      <c r="B261" t="s">
        <v>84</v>
      </c>
      <c r="C261" t="s">
        <v>16</v>
      </c>
      <c r="D261" t="s">
        <v>26</v>
      </c>
      <c r="E261" t="s">
        <v>17</v>
      </c>
      <c r="F261" t="s">
        <v>166</v>
      </c>
      <c r="G261">
        <v>44</v>
      </c>
      <c r="H261">
        <v>14.21</v>
      </c>
      <c r="I261">
        <v>22</v>
      </c>
      <c r="J261" t="s">
        <v>28</v>
      </c>
      <c r="K261" t="s">
        <v>20</v>
      </c>
      <c r="L261" t="s">
        <v>21</v>
      </c>
      <c r="M261" t="s">
        <v>58</v>
      </c>
      <c r="N261" s="2">
        <v>3800</v>
      </c>
    </row>
    <row r="262" spans="1:14" x14ac:dyDescent="0.25">
      <c r="A262" t="s">
        <v>41</v>
      </c>
      <c r="B262" t="s">
        <v>186</v>
      </c>
      <c r="C262" t="s">
        <v>16</v>
      </c>
      <c r="D262" t="s">
        <v>16</v>
      </c>
      <c r="E262" t="s">
        <v>17</v>
      </c>
      <c r="F262" t="s">
        <v>39</v>
      </c>
      <c r="G262">
        <v>42</v>
      </c>
      <c r="H262">
        <v>13</v>
      </c>
      <c r="I262">
        <v>22</v>
      </c>
      <c r="J262" t="s">
        <v>44</v>
      </c>
      <c r="K262" t="s">
        <v>20</v>
      </c>
      <c r="L262" t="s">
        <v>21</v>
      </c>
      <c r="M262" t="s">
        <v>36</v>
      </c>
      <c r="N262" s="2">
        <v>7500</v>
      </c>
    </row>
    <row r="263" spans="1:14" x14ac:dyDescent="0.25">
      <c r="A263" t="s">
        <v>47</v>
      </c>
      <c r="B263" t="s">
        <v>96</v>
      </c>
      <c r="C263" t="s">
        <v>16</v>
      </c>
      <c r="D263" t="s">
        <v>32</v>
      </c>
      <c r="E263" t="s">
        <v>17</v>
      </c>
      <c r="F263" t="s">
        <v>78</v>
      </c>
      <c r="G263">
        <v>39</v>
      </c>
      <c r="H263">
        <v>7.5</v>
      </c>
      <c r="I263">
        <v>20</v>
      </c>
      <c r="J263" t="s">
        <v>34</v>
      </c>
      <c r="K263" t="s">
        <v>20</v>
      </c>
      <c r="L263" t="s">
        <v>21</v>
      </c>
      <c r="M263" t="s">
        <v>58</v>
      </c>
      <c r="N263" s="2">
        <v>6200</v>
      </c>
    </row>
    <row r="264" spans="1:14" x14ac:dyDescent="0.25">
      <c r="A264" t="s">
        <v>14</v>
      </c>
      <c r="B264" t="s">
        <v>91</v>
      </c>
      <c r="C264" t="s">
        <v>16</v>
      </c>
      <c r="D264" t="s">
        <v>16</v>
      </c>
      <c r="E264" t="s">
        <v>17</v>
      </c>
      <c r="F264" t="s">
        <v>33</v>
      </c>
      <c r="G264">
        <v>40</v>
      </c>
      <c r="H264">
        <v>12.5</v>
      </c>
      <c r="I264">
        <v>20</v>
      </c>
      <c r="J264" t="s">
        <v>19</v>
      </c>
      <c r="K264" t="s">
        <v>20</v>
      </c>
      <c r="L264" t="s">
        <v>185</v>
      </c>
      <c r="M264" t="s">
        <v>40</v>
      </c>
      <c r="N264" s="2">
        <v>9500</v>
      </c>
    </row>
    <row r="265" spans="1:14" x14ac:dyDescent="0.25">
      <c r="A265" t="s">
        <v>23</v>
      </c>
      <c r="B265" t="s">
        <v>215</v>
      </c>
      <c r="C265" t="s">
        <v>16</v>
      </c>
      <c r="D265" t="s">
        <v>16</v>
      </c>
      <c r="E265" t="s">
        <v>17</v>
      </c>
      <c r="F265" t="s">
        <v>81</v>
      </c>
      <c r="G265">
        <v>41.5</v>
      </c>
      <c r="H265">
        <v>13</v>
      </c>
      <c r="I265">
        <v>20</v>
      </c>
      <c r="J265" t="s">
        <v>44</v>
      </c>
      <c r="K265" t="s">
        <v>20</v>
      </c>
      <c r="L265" t="s">
        <v>21</v>
      </c>
      <c r="M265" t="s">
        <v>29</v>
      </c>
      <c r="N265" s="2">
        <v>4700</v>
      </c>
    </row>
    <row r="266" spans="1:14" x14ac:dyDescent="0.25">
      <c r="A266" t="s">
        <v>30</v>
      </c>
      <c r="B266" t="s">
        <v>201</v>
      </c>
      <c r="C266" t="s">
        <v>16</v>
      </c>
      <c r="D266" t="s">
        <v>16</v>
      </c>
      <c r="E266" t="s">
        <v>17</v>
      </c>
      <c r="F266" t="s">
        <v>18</v>
      </c>
      <c r="G266">
        <v>41</v>
      </c>
      <c r="H266">
        <v>12.5</v>
      </c>
      <c r="I266">
        <v>20</v>
      </c>
      <c r="J266" t="s">
        <v>19</v>
      </c>
      <c r="K266" t="s">
        <v>20</v>
      </c>
      <c r="L266" t="s">
        <v>21</v>
      </c>
      <c r="M266" t="s">
        <v>58</v>
      </c>
      <c r="N266" s="2">
        <v>2700</v>
      </c>
    </row>
    <row r="267" spans="1:14" x14ac:dyDescent="0.25">
      <c r="A267" t="s">
        <v>37</v>
      </c>
      <c r="B267" t="s">
        <v>216</v>
      </c>
      <c r="C267" t="s">
        <v>16</v>
      </c>
      <c r="D267" t="s">
        <v>26</v>
      </c>
      <c r="E267" t="s">
        <v>17</v>
      </c>
      <c r="F267" t="s">
        <v>18</v>
      </c>
      <c r="G267">
        <v>43</v>
      </c>
      <c r="H267">
        <v>16.5</v>
      </c>
      <c r="I267">
        <v>22</v>
      </c>
      <c r="J267" t="s">
        <v>19</v>
      </c>
      <c r="K267" t="s">
        <v>20</v>
      </c>
      <c r="L267" t="s">
        <v>141</v>
      </c>
      <c r="M267" t="s">
        <v>36</v>
      </c>
      <c r="N267" s="2">
        <v>4600</v>
      </c>
    </row>
    <row r="268" spans="1:14" x14ac:dyDescent="0.25">
      <c r="A268" t="s">
        <v>41</v>
      </c>
      <c r="B268" t="s">
        <v>161</v>
      </c>
      <c r="C268" t="s">
        <v>16</v>
      </c>
      <c r="D268" t="s">
        <v>32</v>
      </c>
      <c r="E268" t="s">
        <v>17</v>
      </c>
      <c r="F268" t="s">
        <v>33</v>
      </c>
      <c r="G268">
        <v>35.1</v>
      </c>
      <c r="H268">
        <v>8.83</v>
      </c>
      <c r="I268">
        <v>22</v>
      </c>
      <c r="J268" t="s">
        <v>44</v>
      </c>
      <c r="K268" t="s">
        <v>20</v>
      </c>
      <c r="L268" t="s">
        <v>21</v>
      </c>
      <c r="M268" t="s">
        <v>36</v>
      </c>
      <c r="N268" s="2">
        <v>5300</v>
      </c>
    </row>
    <row r="269" spans="1:14" x14ac:dyDescent="0.25">
      <c r="A269" t="s">
        <v>14</v>
      </c>
      <c r="B269" t="s">
        <v>217</v>
      </c>
      <c r="C269" t="s">
        <v>218</v>
      </c>
      <c r="D269" t="s">
        <v>32</v>
      </c>
      <c r="E269" t="s">
        <v>17</v>
      </c>
      <c r="F269" t="s">
        <v>33</v>
      </c>
      <c r="G269">
        <v>40</v>
      </c>
      <c r="H269">
        <v>12.4</v>
      </c>
      <c r="I269">
        <v>20</v>
      </c>
      <c r="J269" t="s">
        <v>219</v>
      </c>
      <c r="K269" t="s">
        <v>20</v>
      </c>
      <c r="L269" t="s">
        <v>35</v>
      </c>
      <c r="M269" t="s">
        <v>145</v>
      </c>
      <c r="N269" s="2">
        <v>39500</v>
      </c>
    </row>
    <row r="270" spans="1:14" x14ac:dyDescent="0.25">
      <c r="A270" t="s">
        <v>23</v>
      </c>
      <c r="B270" t="s">
        <v>82</v>
      </c>
      <c r="C270" t="s">
        <v>16</v>
      </c>
      <c r="D270" t="s">
        <v>16</v>
      </c>
      <c r="E270" t="s">
        <v>49</v>
      </c>
      <c r="F270" t="s">
        <v>78</v>
      </c>
      <c r="G270">
        <v>42</v>
      </c>
      <c r="H270">
        <v>14.3</v>
      </c>
      <c r="I270">
        <v>20</v>
      </c>
      <c r="J270" t="s">
        <v>19</v>
      </c>
      <c r="K270" t="s">
        <v>20</v>
      </c>
      <c r="L270" t="s">
        <v>35</v>
      </c>
      <c r="M270" t="s">
        <v>22</v>
      </c>
      <c r="N270" s="2">
        <v>5400</v>
      </c>
    </row>
    <row r="271" spans="1:14" x14ac:dyDescent="0.25">
      <c r="A271" t="s">
        <v>220</v>
      </c>
      <c r="B271" t="s">
        <v>214</v>
      </c>
      <c r="C271" t="s">
        <v>16</v>
      </c>
      <c r="D271" t="s">
        <v>32</v>
      </c>
      <c r="E271" t="s">
        <v>17</v>
      </c>
      <c r="F271" t="s">
        <v>33</v>
      </c>
      <c r="G271">
        <v>39</v>
      </c>
      <c r="H271">
        <v>14</v>
      </c>
      <c r="I271">
        <v>22</v>
      </c>
      <c r="J271" t="s">
        <v>28</v>
      </c>
      <c r="K271" t="s">
        <v>20</v>
      </c>
      <c r="L271" t="s">
        <v>35</v>
      </c>
      <c r="M271" t="s">
        <v>36</v>
      </c>
      <c r="N271" s="2">
        <v>6550</v>
      </c>
    </row>
    <row r="272" spans="1:14" x14ac:dyDescent="0.25">
      <c r="A272" t="s">
        <v>41</v>
      </c>
      <c r="B272" t="s">
        <v>102</v>
      </c>
      <c r="C272" t="s">
        <v>16</v>
      </c>
      <c r="D272" t="s">
        <v>32</v>
      </c>
      <c r="E272" t="s">
        <v>43</v>
      </c>
      <c r="F272" t="s">
        <v>39</v>
      </c>
      <c r="G272">
        <v>43.5</v>
      </c>
      <c r="H272">
        <v>7.3</v>
      </c>
      <c r="I272">
        <v>23</v>
      </c>
      <c r="J272" t="s">
        <v>44</v>
      </c>
      <c r="K272" t="s">
        <v>20</v>
      </c>
      <c r="L272" t="s">
        <v>45</v>
      </c>
      <c r="M272" t="s">
        <v>46</v>
      </c>
      <c r="N272" s="2">
        <v>5300</v>
      </c>
    </row>
    <row r="273" spans="1:14" x14ac:dyDescent="0.25">
      <c r="A273" t="s">
        <v>37</v>
      </c>
      <c r="B273" t="s">
        <v>84</v>
      </c>
      <c r="C273" t="s">
        <v>16</v>
      </c>
      <c r="D273" t="s">
        <v>26</v>
      </c>
      <c r="E273" t="s">
        <v>17</v>
      </c>
      <c r="F273" t="s">
        <v>166</v>
      </c>
      <c r="G273">
        <v>42</v>
      </c>
      <c r="H273">
        <v>13.32</v>
      </c>
      <c r="I273">
        <v>20</v>
      </c>
      <c r="J273" t="s">
        <v>28</v>
      </c>
      <c r="K273" t="s">
        <v>20</v>
      </c>
      <c r="L273" t="s">
        <v>21</v>
      </c>
      <c r="M273" t="s">
        <v>58</v>
      </c>
      <c r="N273" s="2">
        <v>3850</v>
      </c>
    </row>
    <row r="274" spans="1:14" x14ac:dyDescent="0.25">
      <c r="A274" t="s">
        <v>135</v>
      </c>
      <c r="B274" t="s">
        <v>187</v>
      </c>
      <c r="C274" t="s">
        <v>172</v>
      </c>
      <c r="D274" t="s">
        <v>32</v>
      </c>
      <c r="E274" t="s">
        <v>17</v>
      </c>
      <c r="F274" t="s">
        <v>39</v>
      </c>
      <c r="G274">
        <v>39</v>
      </c>
      <c r="H274">
        <v>8.25</v>
      </c>
      <c r="I274">
        <v>20</v>
      </c>
      <c r="J274" t="s">
        <v>44</v>
      </c>
      <c r="K274" t="s">
        <v>20</v>
      </c>
      <c r="L274" t="s">
        <v>45</v>
      </c>
      <c r="M274" t="s">
        <v>22</v>
      </c>
      <c r="N274" s="2">
        <v>25800</v>
      </c>
    </row>
    <row r="275" spans="1:14" x14ac:dyDescent="0.25">
      <c r="A275" t="s">
        <v>89</v>
      </c>
      <c r="B275" t="s">
        <v>90</v>
      </c>
      <c r="C275" t="s">
        <v>16</v>
      </c>
      <c r="D275" t="s">
        <v>140</v>
      </c>
      <c r="E275" t="s">
        <v>17</v>
      </c>
      <c r="F275" t="s">
        <v>53</v>
      </c>
      <c r="G275">
        <v>41</v>
      </c>
      <c r="H275">
        <v>11.9</v>
      </c>
      <c r="I275">
        <v>22</v>
      </c>
      <c r="J275" t="s">
        <v>19</v>
      </c>
      <c r="K275" t="s">
        <v>20</v>
      </c>
      <c r="L275" t="s">
        <v>21</v>
      </c>
      <c r="M275" t="s">
        <v>40</v>
      </c>
      <c r="N275" s="2">
        <v>4100</v>
      </c>
    </row>
    <row r="276" spans="1:14" x14ac:dyDescent="0.25">
      <c r="A276" t="s">
        <v>109</v>
      </c>
      <c r="B276" t="s">
        <v>110</v>
      </c>
      <c r="C276" t="s">
        <v>16</v>
      </c>
      <c r="D276" t="s">
        <v>26</v>
      </c>
      <c r="E276" t="s">
        <v>17</v>
      </c>
      <c r="F276" t="s">
        <v>18</v>
      </c>
      <c r="G276">
        <v>45</v>
      </c>
      <c r="H276">
        <v>15.5</v>
      </c>
      <c r="I276">
        <v>23</v>
      </c>
      <c r="J276" t="s">
        <v>19</v>
      </c>
      <c r="K276" t="s">
        <v>20</v>
      </c>
      <c r="L276" t="s">
        <v>21</v>
      </c>
      <c r="M276" t="s">
        <v>112</v>
      </c>
      <c r="N276" s="2">
        <v>12900</v>
      </c>
    </row>
    <row r="277" spans="1:14" x14ac:dyDescent="0.25">
      <c r="A277" t="s">
        <v>93</v>
      </c>
      <c r="B277" t="s">
        <v>107</v>
      </c>
      <c r="C277" t="s">
        <v>16</v>
      </c>
      <c r="D277" t="s">
        <v>32</v>
      </c>
      <c r="E277" t="s">
        <v>17</v>
      </c>
      <c r="F277" t="s">
        <v>39</v>
      </c>
      <c r="G277">
        <v>41</v>
      </c>
      <c r="H277">
        <v>12.3</v>
      </c>
      <c r="I277">
        <v>22</v>
      </c>
      <c r="J277" t="s">
        <v>28</v>
      </c>
      <c r="K277" t="s">
        <v>20</v>
      </c>
      <c r="L277" t="s">
        <v>45</v>
      </c>
      <c r="M277" t="s">
        <v>29</v>
      </c>
      <c r="N277" s="2">
        <v>6900</v>
      </c>
    </row>
    <row r="278" spans="1:14" x14ac:dyDescent="0.25">
      <c r="A278" t="s">
        <v>79</v>
      </c>
      <c r="B278" t="s">
        <v>80</v>
      </c>
      <c r="C278" t="s">
        <v>16</v>
      </c>
      <c r="D278" t="s">
        <v>26</v>
      </c>
      <c r="E278" t="s">
        <v>17</v>
      </c>
      <c r="F278" t="s">
        <v>81</v>
      </c>
      <c r="G278">
        <v>41</v>
      </c>
      <c r="H278">
        <v>11</v>
      </c>
      <c r="I278">
        <v>22</v>
      </c>
      <c r="J278" t="s">
        <v>28</v>
      </c>
      <c r="K278" t="s">
        <v>20</v>
      </c>
      <c r="L278" t="s">
        <v>21</v>
      </c>
      <c r="M278" t="s">
        <v>75</v>
      </c>
      <c r="N278" s="2">
        <v>19800</v>
      </c>
    </row>
    <row r="279" spans="1:14" x14ac:dyDescent="0.25">
      <c r="A279" t="s">
        <v>14</v>
      </c>
      <c r="B279" t="s">
        <v>103</v>
      </c>
      <c r="C279" t="s">
        <v>16</v>
      </c>
      <c r="D279" t="s">
        <v>16</v>
      </c>
      <c r="E279" t="s">
        <v>17</v>
      </c>
      <c r="F279" t="s">
        <v>33</v>
      </c>
      <c r="G279">
        <v>36</v>
      </c>
      <c r="H279">
        <v>12</v>
      </c>
      <c r="I279">
        <v>20</v>
      </c>
      <c r="J279" t="s">
        <v>19</v>
      </c>
      <c r="K279" t="s">
        <v>20</v>
      </c>
      <c r="L279" t="s">
        <v>21</v>
      </c>
      <c r="M279" t="s">
        <v>40</v>
      </c>
      <c r="N279" s="2">
        <v>8100</v>
      </c>
    </row>
    <row r="280" spans="1:14" x14ac:dyDescent="0.25">
      <c r="A280" t="s">
        <v>14</v>
      </c>
      <c r="B280" t="s">
        <v>103</v>
      </c>
      <c r="C280" t="s">
        <v>16</v>
      </c>
      <c r="D280" t="s">
        <v>16</v>
      </c>
      <c r="E280" t="s">
        <v>17</v>
      </c>
      <c r="F280" t="s">
        <v>33</v>
      </c>
      <c r="G280">
        <v>36</v>
      </c>
      <c r="H280">
        <v>12.5</v>
      </c>
      <c r="I280">
        <v>20</v>
      </c>
      <c r="J280" t="s">
        <v>19</v>
      </c>
      <c r="K280" t="s">
        <v>20</v>
      </c>
      <c r="L280" t="s">
        <v>21</v>
      </c>
      <c r="M280" t="s">
        <v>40</v>
      </c>
      <c r="N280" s="2">
        <v>6500</v>
      </c>
    </row>
    <row r="281" spans="1:14" x14ac:dyDescent="0.25">
      <c r="A281" t="s">
        <v>23</v>
      </c>
      <c r="B281" t="s">
        <v>105</v>
      </c>
      <c r="C281" t="s">
        <v>16</v>
      </c>
      <c r="D281" t="s">
        <v>16</v>
      </c>
      <c r="E281" t="s">
        <v>49</v>
      </c>
      <c r="F281" t="s">
        <v>78</v>
      </c>
      <c r="G281">
        <v>42</v>
      </c>
      <c r="H281">
        <v>14.3</v>
      </c>
      <c r="I281">
        <v>20</v>
      </c>
      <c r="J281" t="s">
        <v>19</v>
      </c>
      <c r="K281" t="s">
        <v>106</v>
      </c>
      <c r="L281" t="s">
        <v>35</v>
      </c>
      <c r="M281" t="s">
        <v>22</v>
      </c>
      <c r="N281" s="2">
        <v>5400</v>
      </c>
    </row>
    <row r="282" spans="1:14" x14ac:dyDescent="0.25">
      <c r="A282" t="s">
        <v>135</v>
      </c>
      <c r="B282" t="s">
        <v>136</v>
      </c>
      <c r="C282" t="s">
        <v>16</v>
      </c>
      <c r="D282" t="s">
        <v>16</v>
      </c>
      <c r="E282" t="s">
        <v>17</v>
      </c>
      <c r="F282" t="s">
        <v>137</v>
      </c>
      <c r="G282">
        <v>40.5</v>
      </c>
      <c r="H282">
        <v>8.3000000000000007</v>
      </c>
      <c r="I282">
        <v>20</v>
      </c>
      <c r="J282" t="s">
        <v>28</v>
      </c>
      <c r="K282" t="s">
        <v>20</v>
      </c>
      <c r="L282" t="s">
        <v>21</v>
      </c>
      <c r="M282" t="s">
        <v>181</v>
      </c>
      <c r="N282" s="2">
        <v>44000</v>
      </c>
    </row>
    <row r="283" spans="1:14" x14ac:dyDescent="0.25">
      <c r="A283" t="s">
        <v>41</v>
      </c>
      <c r="B283" t="s">
        <v>186</v>
      </c>
      <c r="C283" t="s">
        <v>189</v>
      </c>
      <c r="D283" t="s">
        <v>32</v>
      </c>
      <c r="E283" t="s">
        <v>17</v>
      </c>
      <c r="F283" t="s">
        <v>39</v>
      </c>
      <c r="G283">
        <v>33</v>
      </c>
      <c r="H283">
        <v>9.9600000000000009</v>
      </c>
      <c r="I283">
        <v>18</v>
      </c>
      <c r="J283" t="s">
        <v>44</v>
      </c>
      <c r="K283" t="s">
        <v>20</v>
      </c>
      <c r="L283" t="s">
        <v>21</v>
      </c>
      <c r="M283" t="s">
        <v>36</v>
      </c>
      <c r="N283" s="2">
        <v>13200</v>
      </c>
    </row>
    <row r="284" spans="1:14" x14ac:dyDescent="0.25">
      <c r="A284" t="s">
        <v>133</v>
      </c>
      <c r="B284" t="s">
        <v>134</v>
      </c>
      <c r="C284" t="s">
        <v>221</v>
      </c>
      <c r="D284" t="s">
        <v>26</v>
      </c>
      <c r="E284" t="s">
        <v>17</v>
      </c>
      <c r="F284" t="s">
        <v>78</v>
      </c>
      <c r="G284">
        <v>42</v>
      </c>
      <c r="H284">
        <v>10.5</v>
      </c>
      <c r="I284">
        <v>22</v>
      </c>
      <c r="J284" t="s">
        <v>28</v>
      </c>
      <c r="K284" t="s">
        <v>20</v>
      </c>
      <c r="L284" t="s">
        <v>45</v>
      </c>
      <c r="M284" t="s">
        <v>36</v>
      </c>
      <c r="N284" s="2">
        <v>20200</v>
      </c>
    </row>
    <row r="285" spans="1:14" x14ac:dyDescent="0.25">
      <c r="A285" t="s">
        <v>76</v>
      </c>
      <c r="B285" t="s">
        <v>77</v>
      </c>
      <c r="C285" t="s">
        <v>16</v>
      </c>
      <c r="D285" t="s">
        <v>16</v>
      </c>
      <c r="E285" t="s">
        <v>17</v>
      </c>
      <c r="F285" t="s">
        <v>78</v>
      </c>
      <c r="G285">
        <v>41</v>
      </c>
      <c r="H285">
        <v>10.4</v>
      </c>
      <c r="I285">
        <v>20</v>
      </c>
      <c r="J285" t="s">
        <v>28</v>
      </c>
      <c r="K285" t="s">
        <v>20</v>
      </c>
      <c r="L285" t="s">
        <v>21</v>
      </c>
      <c r="M285" t="s">
        <v>29</v>
      </c>
      <c r="N285" s="2">
        <v>24800</v>
      </c>
    </row>
    <row r="286" spans="1:14" x14ac:dyDescent="0.25">
      <c r="A286" t="s">
        <v>93</v>
      </c>
      <c r="B286" t="s">
        <v>94</v>
      </c>
      <c r="C286" t="s">
        <v>16</v>
      </c>
      <c r="D286" t="s">
        <v>32</v>
      </c>
      <c r="E286" t="s">
        <v>17</v>
      </c>
      <c r="F286" t="s">
        <v>95</v>
      </c>
      <c r="G286">
        <v>41</v>
      </c>
      <c r="H286">
        <v>12.8</v>
      </c>
      <c r="I286">
        <v>22</v>
      </c>
      <c r="J286" t="s">
        <v>19</v>
      </c>
      <c r="K286" t="s">
        <v>20</v>
      </c>
      <c r="L286" t="s">
        <v>21</v>
      </c>
      <c r="M286" t="s">
        <v>36</v>
      </c>
      <c r="N286" s="2">
        <v>4800</v>
      </c>
    </row>
    <row r="287" spans="1:14" x14ac:dyDescent="0.25">
      <c r="A287" t="s">
        <v>89</v>
      </c>
      <c r="B287" t="s">
        <v>210</v>
      </c>
      <c r="C287" t="s">
        <v>16</v>
      </c>
      <c r="D287" t="s">
        <v>16</v>
      </c>
      <c r="E287" t="s">
        <v>17</v>
      </c>
      <c r="F287" t="s">
        <v>53</v>
      </c>
      <c r="G287">
        <v>41</v>
      </c>
      <c r="H287">
        <v>14.5</v>
      </c>
      <c r="I287">
        <v>22</v>
      </c>
      <c r="J287" t="s">
        <v>19</v>
      </c>
      <c r="K287" t="s">
        <v>20</v>
      </c>
      <c r="L287" t="s">
        <v>92</v>
      </c>
      <c r="M287" t="s">
        <v>40</v>
      </c>
      <c r="N287" s="2">
        <v>4000</v>
      </c>
    </row>
    <row r="288" spans="1:14" x14ac:dyDescent="0.25">
      <c r="A288" t="s">
        <v>72</v>
      </c>
      <c r="B288" t="s">
        <v>73</v>
      </c>
      <c r="C288" t="s">
        <v>74</v>
      </c>
      <c r="D288" t="s">
        <v>32</v>
      </c>
      <c r="E288" t="s">
        <v>49</v>
      </c>
      <c r="F288" t="s">
        <v>39</v>
      </c>
      <c r="G288">
        <v>40</v>
      </c>
      <c r="H288">
        <v>6.95</v>
      </c>
      <c r="I288">
        <v>20</v>
      </c>
      <c r="J288" t="s">
        <v>34</v>
      </c>
      <c r="K288" t="s">
        <v>20</v>
      </c>
      <c r="L288" t="s">
        <v>45</v>
      </c>
      <c r="M288" t="s">
        <v>173</v>
      </c>
      <c r="N288" s="2">
        <v>22500</v>
      </c>
    </row>
    <row r="289" spans="1:14" x14ac:dyDescent="0.25">
      <c r="A289" t="s">
        <v>109</v>
      </c>
      <c r="B289" t="s">
        <v>110</v>
      </c>
      <c r="C289" t="s">
        <v>16</v>
      </c>
      <c r="D289" t="s">
        <v>26</v>
      </c>
      <c r="E289" t="s">
        <v>17</v>
      </c>
      <c r="F289" t="s">
        <v>18</v>
      </c>
      <c r="G289">
        <v>45</v>
      </c>
      <c r="H289">
        <v>15.4</v>
      </c>
      <c r="I289">
        <v>23</v>
      </c>
      <c r="J289" t="s">
        <v>19</v>
      </c>
      <c r="K289" t="s">
        <v>20</v>
      </c>
      <c r="L289" t="s">
        <v>21</v>
      </c>
      <c r="M289" t="s">
        <v>112</v>
      </c>
      <c r="N289" s="2">
        <v>12500</v>
      </c>
    </row>
    <row r="290" spans="1:14" x14ac:dyDescent="0.25">
      <c r="A290" t="s">
        <v>126</v>
      </c>
      <c r="B290" t="s">
        <v>127</v>
      </c>
      <c r="C290" t="s">
        <v>16</v>
      </c>
      <c r="D290" t="s">
        <v>32</v>
      </c>
      <c r="E290" t="s">
        <v>17</v>
      </c>
      <c r="F290" t="s">
        <v>78</v>
      </c>
      <c r="G290">
        <v>42</v>
      </c>
      <c r="H290">
        <v>12.67</v>
      </c>
      <c r="I290">
        <v>22</v>
      </c>
      <c r="J290" t="s">
        <v>19</v>
      </c>
      <c r="K290" t="s">
        <v>20</v>
      </c>
      <c r="L290" t="s">
        <v>35</v>
      </c>
      <c r="M290" t="s">
        <v>36</v>
      </c>
      <c r="N290" s="2">
        <v>6900</v>
      </c>
    </row>
    <row r="291" spans="1:14" x14ac:dyDescent="0.25">
      <c r="A291" t="s">
        <v>86</v>
      </c>
      <c r="B291" t="s">
        <v>150</v>
      </c>
      <c r="C291" t="s">
        <v>25</v>
      </c>
      <c r="D291" t="s">
        <v>32</v>
      </c>
      <c r="E291" t="s">
        <v>17</v>
      </c>
      <c r="F291" t="s">
        <v>33</v>
      </c>
      <c r="G291">
        <v>44</v>
      </c>
      <c r="H291">
        <v>15.65</v>
      </c>
      <c r="I291">
        <v>24</v>
      </c>
      <c r="J291" t="s">
        <v>19</v>
      </c>
      <c r="K291" t="s">
        <v>20</v>
      </c>
      <c r="L291" t="s">
        <v>45</v>
      </c>
      <c r="M291" t="s">
        <v>145</v>
      </c>
      <c r="N291" s="2">
        <v>7500</v>
      </c>
    </row>
    <row r="292" spans="1:14" x14ac:dyDescent="0.25">
      <c r="A292" t="s">
        <v>76</v>
      </c>
      <c r="B292" t="s">
        <v>77</v>
      </c>
      <c r="C292" t="s">
        <v>16</v>
      </c>
      <c r="D292" t="s">
        <v>16</v>
      </c>
      <c r="E292" t="s">
        <v>17</v>
      </c>
      <c r="F292" t="s">
        <v>78</v>
      </c>
      <c r="G292">
        <v>41</v>
      </c>
      <c r="H292">
        <v>10.4</v>
      </c>
      <c r="I292">
        <v>20</v>
      </c>
      <c r="J292" t="s">
        <v>28</v>
      </c>
      <c r="K292" t="s">
        <v>20</v>
      </c>
      <c r="L292" t="s">
        <v>222</v>
      </c>
      <c r="M292" t="s">
        <v>29</v>
      </c>
      <c r="N292" s="2">
        <v>25000</v>
      </c>
    </row>
    <row r="293" spans="1:14" x14ac:dyDescent="0.25">
      <c r="A293" t="s">
        <v>135</v>
      </c>
      <c r="B293" t="s">
        <v>136</v>
      </c>
      <c r="C293" t="s">
        <v>16</v>
      </c>
      <c r="D293" t="s">
        <v>16</v>
      </c>
      <c r="E293" t="s">
        <v>17</v>
      </c>
      <c r="F293" t="s">
        <v>137</v>
      </c>
      <c r="G293">
        <v>40.5</v>
      </c>
      <c r="H293">
        <v>8.3000000000000007</v>
      </c>
      <c r="I293">
        <v>22</v>
      </c>
      <c r="J293" t="s">
        <v>28</v>
      </c>
      <c r="K293" t="s">
        <v>20</v>
      </c>
      <c r="L293" t="s">
        <v>139</v>
      </c>
      <c r="M293" t="s">
        <v>50</v>
      </c>
      <c r="N293" s="2">
        <v>70000</v>
      </c>
    </row>
    <row r="294" spans="1:14" x14ac:dyDescent="0.25">
      <c r="A294" t="s">
        <v>93</v>
      </c>
      <c r="B294" t="s">
        <v>94</v>
      </c>
      <c r="C294" t="s">
        <v>16</v>
      </c>
      <c r="D294" t="s">
        <v>32</v>
      </c>
      <c r="E294" t="s">
        <v>17</v>
      </c>
      <c r="F294" t="s">
        <v>95</v>
      </c>
      <c r="G294">
        <v>41</v>
      </c>
      <c r="H294">
        <v>10.8</v>
      </c>
      <c r="I294">
        <v>20</v>
      </c>
      <c r="J294" t="s">
        <v>19</v>
      </c>
      <c r="K294" t="s">
        <v>20</v>
      </c>
      <c r="L294" t="s">
        <v>222</v>
      </c>
      <c r="M294" t="s">
        <v>36</v>
      </c>
      <c r="N294" s="2">
        <v>5500</v>
      </c>
    </row>
    <row r="295" spans="1:14" x14ac:dyDescent="0.25">
      <c r="A295" t="s">
        <v>109</v>
      </c>
      <c r="B295" t="s">
        <v>110</v>
      </c>
      <c r="C295" t="s">
        <v>25</v>
      </c>
      <c r="D295" t="s">
        <v>140</v>
      </c>
      <c r="E295" t="s">
        <v>17</v>
      </c>
      <c r="F295" t="s">
        <v>18</v>
      </c>
      <c r="G295">
        <v>45</v>
      </c>
      <c r="H295">
        <v>15.4</v>
      </c>
      <c r="I295">
        <v>23</v>
      </c>
      <c r="J295" t="s">
        <v>19</v>
      </c>
      <c r="K295" t="s">
        <v>20</v>
      </c>
      <c r="L295" t="s">
        <v>21</v>
      </c>
      <c r="M295" t="s">
        <v>112</v>
      </c>
      <c r="N295" s="2">
        <v>12000</v>
      </c>
    </row>
    <row r="296" spans="1:14" x14ac:dyDescent="0.25">
      <c r="A296" t="s">
        <v>118</v>
      </c>
      <c r="B296" t="s">
        <v>119</v>
      </c>
      <c r="C296" t="s">
        <v>16</v>
      </c>
      <c r="D296" t="s">
        <v>26</v>
      </c>
      <c r="E296" t="s">
        <v>17</v>
      </c>
      <c r="F296" t="s">
        <v>33</v>
      </c>
      <c r="G296">
        <v>44</v>
      </c>
      <c r="H296">
        <v>14.4</v>
      </c>
      <c r="I296">
        <v>22</v>
      </c>
      <c r="J296" t="s">
        <v>28</v>
      </c>
      <c r="K296" t="s">
        <v>20</v>
      </c>
      <c r="L296" t="s">
        <v>169</v>
      </c>
      <c r="M296" t="s">
        <v>29</v>
      </c>
      <c r="N296" s="2">
        <v>7500</v>
      </c>
    </row>
    <row r="297" spans="1:14" x14ac:dyDescent="0.25">
      <c r="A297" t="s">
        <v>72</v>
      </c>
      <c r="B297" t="s">
        <v>73</v>
      </c>
      <c r="C297" t="s">
        <v>168</v>
      </c>
      <c r="D297" t="s">
        <v>32</v>
      </c>
      <c r="E297" t="s">
        <v>17</v>
      </c>
      <c r="F297" t="s">
        <v>39</v>
      </c>
      <c r="G297">
        <v>38</v>
      </c>
      <c r="H297">
        <v>8.25</v>
      </c>
      <c r="I297">
        <v>20</v>
      </c>
      <c r="J297" t="s">
        <v>44</v>
      </c>
      <c r="K297" t="s">
        <v>20</v>
      </c>
      <c r="L297" t="s">
        <v>45</v>
      </c>
      <c r="M297" t="s">
        <v>50</v>
      </c>
      <c r="N297" s="2">
        <v>20000</v>
      </c>
    </row>
    <row r="298" spans="1:14" x14ac:dyDescent="0.25">
      <c r="A298" t="s">
        <v>128</v>
      </c>
      <c r="B298" t="s">
        <v>129</v>
      </c>
      <c r="C298" t="s">
        <v>16</v>
      </c>
      <c r="D298" t="s">
        <v>16</v>
      </c>
      <c r="E298" t="s">
        <v>17</v>
      </c>
      <c r="F298" t="s">
        <v>33</v>
      </c>
      <c r="G298">
        <v>38</v>
      </c>
      <c r="H298">
        <v>10.88</v>
      </c>
      <c r="I298">
        <v>22</v>
      </c>
      <c r="J298" t="s">
        <v>19</v>
      </c>
      <c r="K298" t="s">
        <v>20</v>
      </c>
      <c r="L298" t="s">
        <v>45</v>
      </c>
      <c r="M298" t="s">
        <v>142</v>
      </c>
      <c r="N298" s="2">
        <v>8500</v>
      </c>
    </row>
    <row r="299" spans="1:14" x14ac:dyDescent="0.25">
      <c r="A299" t="s">
        <v>133</v>
      </c>
      <c r="B299" t="s">
        <v>174</v>
      </c>
      <c r="C299" t="s">
        <v>98</v>
      </c>
      <c r="D299" t="s">
        <v>26</v>
      </c>
      <c r="E299" t="s">
        <v>17</v>
      </c>
      <c r="F299" t="s">
        <v>33</v>
      </c>
      <c r="G299">
        <v>42</v>
      </c>
      <c r="H299">
        <v>14.1</v>
      </c>
      <c r="I299">
        <v>24</v>
      </c>
      <c r="J299" t="s">
        <v>19</v>
      </c>
      <c r="K299" t="s">
        <v>20</v>
      </c>
      <c r="L299" t="s">
        <v>148</v>
      </c>
      <c r="M299" t="s">
        <v>36</v>
      </c>
      <c r="N299" s="2">
        <v>12000</v>
      </c>
    </row>
    <row r="300" spans="1:14" x14ac:dyDescent="0.25">
      <c r="A300" t="s">
        <v>113</v>
      </c>
      <c r="B300" t="s">
        <v>138</v>
      </c>
      <c r="C300" t="s">
        <v>16</v>
      </c>
      <c r="D300" t="s">
        <v>32</v>
      </c>
      <c r="E300" t="s">
        <v>17</v>
      </c>
      <c r="F300" t="s">
        <v>33</v>
      </c>
      <c r="G300">
        <v>42</v>
      </c>
      <c r="H300">
        <v>14.05</v>
      </c>
      <c r="I300">
        <v>20</v>
      </c>
      <c r="J300" t="s">
        <v>44</v>
      </c>
      <c r="K300" t="s">
        <v>20</v>
      </c>
      <c r="L300" t="s">
        <v>148</v>
      </c>
      <c r="M300" t="s">
        <v>54</v>
      </c>
      <c r="N300" s="2">
        <v>6000</v>
      </c>
    </row>
    <row r="301" spans="1:14" x14ac:dyDescent="0.25">
      <c r="A301" t="s">
        <v>79</v>
      </c>
      <c r="B301" t="s">
        <v>80</v>
      </c>
      <c r="C301" t="s">
        <v>16</v>
      </c>
      <c r="D301" t="s">
        <v>26</v>
      </c>
      <c r="E301" t="s">
        <v>17</v>
      </c>
      <c r="F301" t="s">
        <v>81</v>
      </c>
      <c r="G301">
        <v>41</v>
      </c>
      <c r="H301">
        <v>11</v>
      </c>
      <c r="I301">
        <v>22</v>
      </c>
      <c r="J301" t="s">
        <v>28</v>
      </c>
      <c r="K301" t="s">
        <v>20</v>
      </c>
      <c r="L301" t="s">
        <v>21</v>
      </c>
      <c r="M301" t="s">
        <v>75</v>
      </c>
      <c r="N301" s="2">
        <v>12000</v>
      </c>
    </row>
    <row r="302" spans="1:14" x14ac:dyDescent="0.25">
      <c r="A302" t="s">
        <v>76</v>
      </c>
      <c r="B302" t="s">
        <v>77</v>
      </c>
      <c r="C302" t="s">
        <v>16</v>
      </c>
      <c r="D302" t="s">
        <v>16</v>
      </c>
      <c r="E302" t="s">
        <v>17</v>
      </c>
      <c r="F302" t="s">
        <v>78</v>
      </c>
      <c r="G302">
        <v>41</v>
      </c>
      <c r="H302">
        <v>10.4</v>
      </c>
      <c r="I302">
        <v>20</v>
      </c>
      <c r="J302" t="s">
        <v>19</v>
      </c>
      <c r="K302" t="s">
        <v>20</v>
      </c>
      <c r="L302" t="s">
        <v>21</v>
      </c>
      <c r="M302" t="s">
        <v>29</v>
      </c>
      <c r="N302" s="2">
        <v>22000</v>
      </c>
    </row>
    <row r="303" spans="1:14" x14ac:dyDescent="0.25">
      <c r="A303" t="s">
        <v>133</v>
      </c>
      <c r="B303" t="s">
        <v>134</v>
      </c>
      <c r="C303" t="s">
        <v>25</v>
      </c>
      <c r="D303" t="s">
        <v>26</v>
      </c>
      <c r="E303" t="s">
        <v>17</v>
      </c>
      <c r="F303" t="s">
        <v>78</v>
      </c>
      <c r="G303">
        <v>42</v>
      </c>
      <c r="H303">
        <v>10.5</v>
      </c>
      <c r="I303">
        <v>22</v>
      </c>
      <c r="J303" t="s">
        <v>28</v>
      </c>
      <c r="K303" t="s">
        <v>20</v>
      </c>
      <c r="L303" t="s">
        <v>21</v>
      </c>
      <c r="M303" t="s">
        <v>36</v>
      </c>
      <c r="N303" s="2">
        <v>8500</v>
      </c>
    </row>
    <row r="304" spans="1:14" x14ac:dyDescent="0.25">
      <c r="A304" t="s">
        <v>86</v>
      </c>
      <c r="B304" t="s">
        <v>143</v>
      </c>
      <c r="C304" t="s">
        <v>16</v>
      </c>
      <c r="D304" t="s">
        <v>32</v>
      </c>
      <c r="E304" t="s">
        <v>49</v>
      </c>
      <c r="F304" t="s">
        <v>18</v>
      </c>
      <c r="G304">
        <v>44</v>
      </c>
      <c r="H304">
        <v>15.65</v>
      </c>
      <c r="I304">
        <v>24</v>
      </c>
      <c r="J304" t="s">
        <v>19</v>
      </c>
      <c r="K304" t="s">
        <v>20</v>
      </c>
      <c r="L304" t="s">
        <v>45</v>
      </c>
      <c r="M304" t="s">
        <v>88</v>
      </c>
      <c r="N304" s="2">
        <v>7200</v>
      </c>
    </row>
    <row r="305" spans="1:14" x14ac:dyDescent="0.25">
      <c r="A305" t="s">
        <v>72</v>
      </c>
      <c r="B305" t="s">
        <v>73</v>
      </c>
      <c r="C305" t="s">
        <v>183</v>
      </c>
      <c r="D305" t="s">
        <v>32</v>
      </c>
      <c r="E305" t="s">
        <v>49</v>
      </c>
      <c r="F305" t="s">
        <v>39</v>
      </c>
      <c r="G305">
        <v>40</v>
      </c>
      <c r="H305">
        <v>6.1</v>
      </c>
      <c r="I305">
        <v>20</v>
      </c>
      <c r="J305" t="s">
        <v>44</v>
      </c>
      <c r="K305" t="s">
        <v>20</v>
      </c>
      <c r="L305" t="s">
        <v>45</v>
      </c>
      <c r="M305" t="s">
        <v>173</v>
      </c>
      <c r="N305" s="2">
        <v>16000</v>
      </c>
    </row>
    <row r="306" spans="1:14" x14ac:dyDescent="0.25">
      <c r="A306" t="s">
        <v>126</v>
      </c>
      <c r="B306" t="s">
        <v>213</v>
      </c>
      <c r="C306" t="s">
        <v>16</v>
      </c>
      <c r="D306" t="s">
        <v>16</v>
      </c>
      <c r="E306" t="s">
        <v>43</v>
      </c>
      <c r="F306" t="s">
        <v>39</v>
      </c>
      <c r="G306">
        <v>30</v>
      </c>
      <c r="H306">
        <v>7.2</v>
      </c>
      <c r="I306">
        <v>15</v>
      </c>
      <c r="J306" t="s">
        <v>44</v>
      </c>
      <c r="K306" t="s">
        <v>20</v>
      </c>
      <c r="L306" t="s">
        <v>21</v>
      </c>
      <c r="M306" t="s">
        <v>46</v>
      </c>
      <c r="N306" s="2">
        <v>5800</v>
      </c>
    </row>
    <row r="307" spans="1:14" x14ac:dyDescent="0.25">
      <c r="A307" t="s">
        <v>118</v>
      </c>
      <c r="B307" t="s">
        <v>119</v>
      </c>
      <c r="C307" t="s">
        <v>16</v>
      </c>
      <c r="D307" t="s">
        <v>26</v>
      </c>
      <c r="E307" t="s">
        <v>17</v>
      </c>
      <c r="F307" t="s">
        <v>33</v>
      </c>
      <c r="G307">
        <v>42.2</v>
      </c>
      <c r="H307">
        <v>12.6</v>
      </c>
      <c r="I307">
        <v>22</v>
      </c>
      <c r="J307" t="s">
        <v>28</v>
      </c>
      <c r="K307" t="s">
        <v>20</v>
      </c>
      <c r="L307" t="s">
        <v>21</v>
      </c>
      <c r="M307" t="s">
        <v>29</v>
      </c>
      <c r="N307" s="2">
        <v>8900</v>
      </c>
    </row>
    <row r="308" spans="1:14" x14ac:dyDescent="0.25">
      <c r="A308" t="s">
        <v>93</v>
      </c>
      <c r="B308" t="s">
        <v>223</v>
      </c>
      <c r="C308" t="s">
        <v>16</v>
      </c>
      <c r="D308" t="s">
        <v>32</v>
      </c>
      <c r="E308" t="s">
        <v>17</v>
      </c>
      <c r="F308" t="s">
        <v>39</v>
      </c>
      <c r="G308">
        <v>41</v>
      </c>
      <c r="H308">
        <v>13.1</v>
      </c>
      <c r="I308">
        <v>20</v>
      </c>
      <c r="J308" t="s">
        <v>34</v>
      </c>
      <c r="K308" t="s">
        <v>20</v>
      </c>
      <c r="L308" t="s">
        <v>35</v>
      </c>
      <c r="M308" t="s">
        <v>142</v>
      </c>
      <c r="N308" s="2">
        <v>7600</v>
      </c>
    </row>
    <row r="309" spans="1:14" x14ac:dyDescent="0.25">
      <c r="A309" t="s">
        <v>135</v>
      </c>
      <c r="B309" t="s">
        <v>136</v>
      </c>
      <c r="C309" t="s">
        <v>16</v>
      </c>
      <c r="D309" t="s">
        <v>16</v>
      </c>
      <c r="E309" t="s">
        <v>17</v>
      </c>
      <c r="F309" t="s">
        <v>137</v>
      </c>
      <c r="G309">
        <v>40.799999999999997</v>
      </c>
      <c r="H309">
        <v>8.3000000000000007</v>
      </c>
      <c r="I309">
        <v>20</v>
      </c>
      <c r="J309" t="s">
        <v>28</v>
      </c>
      <c r="K309" t="s">
        <v>20</v>
      </c>
      <c r="L309" t="s">
        <v>21</v>
      </c>
      <c r="M309" t="s">
        <v>50</v>
      </c>
      <c r="N309" s="2">
        <v>57000</v>
      </c>
    </row>
    <row r="310" spans="1:14" x14ac:dyDescent="0.25">
      <c r="A310" t="s">
        <v>99</v>
      </c>
      <c r="B310" t="s">
        <v>100</v>
      </c>
      <c r="C310" t="s">
        <v>25</v>
      </c>
      <c r="D310" t="s">
        <v>32</v>
      </c>
      <c r="E310" t="s">
        <v>17</v>
      </c>
      <c r="F310" t="s">
        <v>33</v>
      </c>
      <c r="G310">
        <v>42</v>
      </c>
      <c r="H310">
        <v>12.8</v>
      </c>
      <c r="I310">
        <v>22</v>
      </c>
      <c r="J310" t="s">
        <v>19</v>
      </c>
      <c r="K310" t="s">
        <v>20</v>
      </c>
      <c r="L310" t="s">
        <v>92</v>
      </c>
      <c r="M310" t="s">
        <v>36</v>
      </c>
      <c r="N310" s="2">
        <v>6500</v>
      </c>
    </row>
    <row r="311" spans="1:14" x14ac:dyDescent="0.25">
      <c r="A311" t="s">
        <v>79</v>
      </c>
      <c r="B311" t="s">
        <v>80</v>
      </c>
      <c r="C311" t="s">
        <v>16</v>
      </c>
      <c r="D311" t="s">
        <v>16</v>
      </c>
      <c r="E311" t="s">
        <v>17</v>
      </c>
      <c r="F311" t="s">
        <v>81</v>
      </c>
      <c r="G311">
        <v>41.5</v>
      </c>
      <c r="H311">
        <v>11</v>
      </c>
      <c r="I311">
        <v>22</v>
      </c>
      <c r="J311" t="s">
        <v>28</v>
      </c>
      <c r="K311" t="s">
        <v>20</v>
      </c>
      <c r="L311" t="s">
        <v>21</v>
      </c>
      <c r="M311" t="s">
        <v>29</v>
      </c>
      <c r="N311" s="2">
        <v>21000</v>
      </c>
    </row>
    <row r="312" spans="1:14" x14ac:dyDescent="0.25">
      <c r="A312" t="s">
        <v>113</v>
      </c>
      <c r="B312" t="s">
        <v>224</v>
      </c>
      <c r="C312" t="s">
        <v>16</v>
      </c>
      <c r="D312" t="s">
        <v>32</v>
      </c>
      <c r="E312" t="s">
        <v>17</v>
      </c>
      <c r="F312" t="s">
        <v>33</v>
      </c>
      <c r="G312">
        <v>38</v>
      </c>
      <c r="H312">
        <v>12.45</v>
      </c>
      <c r="I312">
        <v>20</v>
      </c>
      <c r="J312" t="s">
        <v>44</v>
      </c>
      <c r="K312" t="s">
        <v>20</v>
      </c>
      <c r="L312" t="s">
        <v>35</v>
      </c>
      <c r="M312" t="s">
        <v>54</v>
      </c>
      <c r="N312" s="2">
        <v>6000</v>
      </c>
    </row>
    <row r="313" spans="1:14" x14ac:dyDescent="0.25">
      <c r="A313" t="s">
        <v>14</v>
      </c>
      <c r="B313" t="s">
        <v>217</v>
      </c>
      <c r="C313" t="s">
        <v>225</v>
      </c>
      <c r="D313" t="s">
        <v>32</v>
      </c>
      <c r="E313" t="s">
        <v>17</v>
      </c>
      <c r="F313" t="s">
        <v>33</v>
      </c>
      <c r="G313">
        <v>40</v>
      </c>
      <c r="H313">
        <v>12.4</v>
      </c>
      <c r="I313">
        <v>20</v>
      </c>
      <c r="J313" t="s">
        <v>226</v>
      </c>
      <c r="K313" t="s">
        <v>20</v>
      </c>
      <c r="L313" t="s">
        <v>35</v>
      </c>
      <c r="M313" t="s">
        <v>145</v>
      </c>
      <c r="N313" s="2">
        <v>29500</v>
      </c>
    </row>
    <row r="314" spans="1:14" x14ac:dyDescent="0.25">
      <c r="A314" t="s">
        <v>76</v>
      </c>
      <c r="B314" t="s">
        <v>77</v>
      </c>
      <c r="C314" t="s">
        <v>168</v>
      </c>
      <c r="D314" t="s">
        <v>168</v>
      </c>
      <c r="E314" t="s">
        <v>17</v>
      </c>
      <c r="F314" t="s">
        <v>78</v>
      </c>
      <c r="G314">
        <v>37</v>
      </c>
      <c r="H314">
        <v>9.8000000000000007</v>
      </c>
      <c r="I314">
        <v>18</v>
      </c>
      <c r="J314" t="s">
        <v>28</v>
      </c>
      <c r="K314" t="s">
        <v>20</v>
      </c>
      <c r="L314" t="s">
        <v>45</v>
      </c>
      <c r="M314" t="s">
        <v>29</v>
      </c>
      <c r="N314" s="2">
        <v>36500</v>
      </c>
    </row>
    <row r="315" spans="1:14" x14ac:dyDescent="0.25">
      <c r="A315" t="s">
        <v>135</v>
      </c>
      <c r="B315" t="s">
        <v>136</v>
      </c>
      <c r="C315" t="s">
        <v>16</v>
      </c>
      <c r="D315" t="s">
        <v>16</v>
      </c>
      <c r="E315" t="s">
        <v>17</v>
      </c>
      <c r="F315" t="s">
        <v>137</v>
      </c>
      <c r="G315">
        <v>40.5</v>
      </c>
      <c r="H315">
        <v>8.3000000000000007</v>
      </c>
      <c r="I315">
        <v>22</v>
      </c>
      <c r="J315" t="s">
        <v>28</v>
      </c>
      <c r="K315" t="s">
        <v>20</v>
      </c>
      <c r="L315" t="s">
        <v>21</v>
      </c>
      <c r="M315" t="s">
        <v>50</v>
      </c>
      <c r="N315" s="2">
        <v>51000</v>
      </c>
    </row>
    <row r="316" spans="1:14" x14ac:dyDescent="0.25">
      <c r="A316" t="s">
        <v>93</v>
      </c>
      <c r="B316" t="s">
        <v>227</v>
      </c>
      <c r="C316" t="s">
        <v>16</v>
      </c>
      <c r="D316" t="s">
        <v>32</v>
      </c>
      <c r="E316" t="s">
        <v>17</v>
      </c>
      <c r="F316" t="s">
        <v>39</v>
      </c>
      <c r="G316">
        <v>42.3</v>
      </c>
      <c r="H316">
        <v>14.2</v>
      </c>
      <c r="I316">
        <v>22</v>
      </c>
      <c r="J316" t="s">
        <v>34</v>
      </c>
      <c r="K316" t="s">
        <v>20</v>
      </c>
      <c r="L316" t="s">
        <v>21</v>
      </c>
      <c r="M316" t="s">
        <v>29</v>
      </c>
      <c r="N316" s="2">
        <v>8800</v>
      </c>
    </row>
    <row r="317" spans="1:14" x14ac:dyDescent="0.25">
      <c r="A317" t="s">
        <v>109</v>
      </c>
      <c r="B317" t="s">
        <v>110</v>
      </c>
      <c r="C317" t="s">
        <v>16</v>
      </c>
      <c r="D317" t="s">
        <v>26</v>
      </c>
      <c r="E317" t="s">
        <v>17</v>
      </c>
      <c r="F317" t="s">
        <v>18</v>
      </c>
      <c r="G317">
        <v>45</v>
      </c>
      <c r="H317">
        <v>15.4</v>
      </c>
      <c r="I317">
        <v>23</v>
      </c>
      <c r="J317" t="s">
        <v>19</v>
      </c>
      <c r="K317" t="s">
        <v>20</v>
      </c>
      <c r="L317" t="s">
        <v>21</v>
      </c>
      <c r="M317" t="s">
        <v>112</v>
      </c>
      <c r="N317" s="2">
        <v>13500</v>
      </c>
    </row>
    <row r="318" spans="1:14" x14ac:dyDescent="0.25">
      <c r="A318" t="s">
        <v>133</v>
      </c>
      <c r="B318" t="s">
        <v>174</v>
      </c>
      <c r="C318" t="s">
        <v>212</v>
      </c>
      <c r="D318" t="s">
        <v>26</v>
      </c>
      <c r="E318" t="s">
        <v>17</v>
      </c>
      <c r="F318" t="s">
        <v>33</v>
      </c>
      <c r="G318">
        <v>44</v>
      </c>
      <c r="H318">
        <v>14.5</v>
      </c>
      <c r="I318">
        <v>22</v>
      </c>
      <c r="J318" t="s">
        <v>19</v>
      </c>
      <c r="K318" t="s">
        <v>20</v>
      </c>
      <c r="L318" t="s">
        <v>35</v>
      </c>
      <c r="M318" t="s">
        <v>145</v>
      </c>
      <c r="N318" s="2">
        <v>19500</v>
      </c>
    </row>
    <row r="319" spans="1:14" x14ac:dyDescent="0.25">
      <c r="A319" t="s">
        <v>118</v>
      </c>
      <c r="B319" t="s">
        <v>119</v>
      </c>
      <c r="C319" t="s">
        <v>16</v>
      </c>
      <c r="D319" t="s">
        <v>26</v>
      </c>
      <c r="E319" t="s">
        <v>17</v>
      </c>
      <c r="F319" t="s">
        <v>33</v>
      </c>
      <c r="G319">
        <v>43</v>
      </c>
      <c r="H319">
        <v>12.6</v>
      </c>
      <c r="I319">
        <v>22</v>
      </c>
      <c r="J319" t="s">
        <v>28</v>
      </c>
      <c r="K319" t="s">
        <v>20</v>
      </c>
      <c r="L319" t="s">
        <v>21</v>
      </c>
      <c r="M319" t="s">
        <v>29</v>
      </c>
      <c r="N319" s="2">
        <v>7000</v>
      </c>
    </row>
    <row r="320" spans="1:14" x14ac:dyDescent="0.25">
      <c r="A320" t="s">
        <v>72</v>
      </c>
      <c r="B320" t="s">
        <v>73</v>
      </c>
      <c r="C320" t="s">
        <v>74</v>
      </c>
      <c r="D320" t="s">
        <v>32</v>
      </c>
      <c r="E320" t="s">
        <v>49</v>
      </c>
      <c r="F320" t="s">
        <v>39</v>
      </c>
      <c r="G320">
        <v>38</v>
      </c>
      <c r="H320">
        <v>7.45</v>
      </c>
      <c r="I320">
        <v>20</v>
      </c>
      <c r="J320" t="s">
        <v>44</v>
      </c>
      <c r="K320" t="s">
        <v>20</v>
      </c>
      <c r="L320" t="s">
        <v>45</v>
      </c>
      <c r="M320" t="s">
        <v>173</v>
      </c>
      <c r="N320" s="2">
        <v>23000</v>
      </c>
    </row>
    <row r="321" spans="1:14" x14ac:dyDescent="0.25">
      <c r="A321" t="s">
        <v>128</v>
      </c>
      <c r="B321" t="s">
        <v>129</v>
      </c>
      <c r="C321" t="s">
        <v>16</v>
      </c>
      <c r="D321" t="s">
        <v>16</v>
      </c>
      <c r="E321" t="s">
        <v>17</v>
      </c>
      <c r="F321" t="s">
        <v>33</v>
      </c>
      <c r="G321">
        <v>42</v>
      </c>
      <c r="H321">
        <v>10.88</v>
      </c>
      <c r="I321">
        <v>25</v>
      </c>
      <c r="J321" t="s">
        <v>19</v>
      </c>
      <c r="K321" t="s">
        <v>20</v>
      </c>
      <c r="L321" t="s">
        <v>21</v>
      </c>
      <c r="M321" t="s">
        <v>142</v>
      </c>
      <c r="N321" s="2">
        <v>9500</v>
      </c>
    </row>
    <row r="322" spans="1:14" x14ac:dyDescent="0.25">
      <c r="A322" t="s">
        <v>116</v>
      </c>
      <c r="B322" t="s">
        <v>175</v>
      </c>
      <c r="C322" t="s">
        <v>74</v>
      </c>
      <c r="D322" t="s">
        <v>32</v>
      </c>
      <c r="E322" t="s">
        <v>49</v>
      </c>
      <c r="F322" t="s">
        <v>39</v>
      </c>
      <c r="G322">
        <v>40</v>
      </c>
      <c r="H322">
        <v>6.36</v>
      </c>
      <c r="I322">
        <v>20</v>
      </c>
      <c r="J322" t="s">
        <v>44</v>
      </c>
      <c r="K322" t="s">
        <v>20</v>
      </c>
      <c r="L322" t="s">
        <v>45</v>
      </c>
      <c r="M322" t="s">
        <v>176</v>
      </c>
      <c r="N322" s="2">
        <v>18500</v>
      </c>
    </row>
    <row r="323" spans="1:14" x14ac:dyDescent="0.25">
      <c r="A323" t="s">
        <v>79</v>
      </c>
      <c r="B323" t="s">
        <v>182</v>
      </c>
      <c r="C323" t="s">
        <v>189</v>
      </c>
      <c r="D323" t="s">
        <v>32</v>
      </c>
      <c r="E323" t="s">
        <v>49</v>
      </c>
      <c r="F323" t="s">
        <v>39</v>
      </c>
      <c r="G323">
        <v>42</v>
      </c>
      <c r="H323">
        <v>7.65</v>
      </c>
      <c r="I323">
        <v>20</v>
      </c>
      <c r="J323" t="s">
        <v>44</v>
      </c>
      <c r="K323" t="s">
        <v>20</v>
      </c>
      <c r="L323" t="s">
        <v>45</v>
      </c>
      <c r="M323" t="s">
        <v>173</v>
      </c>
      <c r="N323" s="2">
        <v>22500</v>
      </c>
    </row>
    <row r="324" spans="1:14" x14ac:dyDescent="0.25">
      <c r="A324" t="s">
        <v>86</v>
      </c>
      <c r="B324" t="s">
        <v>143</v>
      </c>
      <c r="C324" t="s">
        <v>16</v>
      </c>
      <c r="D324" t="s">
        <v>32</v>
      </c>
      <c r="E324" t="s">
        <v>17</v>
      </c>
      <c r="F324" t="s">
        <v>18</v>
      </c>
      <c r="G324">
        <v>44</v>
      </c>
      <c r="H324">
        <v>15.65</v>
      </c>
      <c r="I324">
        <v>22</v>
      </c>
      <c r="J324" t="s">
        <v>19</v>
      </c>
      <c r="K324" t="s">
        <v>20</v>
      </c>
      <c r="L324" t="s">
        <v>68</v>
      </c>
      <c r="M324" t="s">
        <v>145</v>
      </c>
      <c r="N324" s="2">
        <v>7500</v>
      </c>
    </row>
    <row r="325" spans="1:14" x14ac:dyDescent="0.25">
      <c r="A325" t="s">
        <v>93</v>
      </c>
      <c r="B325" t="s">
        <v>107</v>
      </c>
      <c r="C325" t="s">
        <v>16</v>
      </c>
      <c r="D325" t="s">
        <v>32</v>
      </c>
      <c r="E325" t="s">
        <v>17</v>
      </c>
      <c r="F325" t="s">
        <v>39</v>
      </c>
      <c r="G325">
        <v>41</v>
      </c>
      <c r="H325">
        <v>12.3</v>
      </c>
      <c r="I325">
        <v>22</v>
      </c>
      <c r="J325" t="s">
        <v>28</v>
      </c>
      <c r="K325" t="s">
        <v>20</v>
      </c>
      <c r="L325" t="s">
        <v>21</v>
      </c>
      <c r="M325" t="s">
        <v>29</v>
      </c>
      <c r="N325" s="2">
        <v>6500</v>
      </c>
    </row>
    <row r="326" spans="1:14" x14ac:dyDescent="0.25">
      <c r="A326" t="s">
        <v>76</v>
      </c>
      <c r="B326" t="s">
        <v>77</v>
      </c>
      <c r="C326" t="s">
        <v>16</v>
      </c>
      <c r="D326" t="s">
        <v>16</v>
      </c>
      <c r="E326" t="s">
        <v>17</v>
      </c>
      <c r="F326" t="s">
        <v>78</v>
      </c>
      <c r="G326">
        <v>41</v>
      </c>
      <c r="H326">
        <v>9.8000000000000007</v>
      </c>
      <c r="I326">
        <v>20</v>
      </c>
      <c r="J326" t="s">
        <v>28</v>
      </c>
      <c r="K326" t="s">
        <v>20</v>
      </c>
      <c r="L326" t="s">
        <v>21</v>
      </c>
      <c r="M326" t="s">
        <v>29</v>
      </c>
      <c r="N326" s="2">
        <v>20000</v>
      </c>
    </row>
    <row r="327" spans="1:14" x14ac:dyDescent="0.25">
      <c r="A327" t="s">
        <v>133</v>
      </c>
      <c r="B327" t="s">
        <v>174</v>
      </c>
      <c r="C327" t="s">
        <v>212</v>
      </c>
      <c r="D327" t="s">
        <v>26</v>
      </c>
      <c r="E327" t="s">
        <v>17</v>
      </c>
      <c r="F327" t="s">
        <v>33</v>
      </c>
      <c r="G327">
        <v>44</v>
      </c>
      <c r="H327">
        <v>14.5</v>
      </c>
      <c r="I327">
        <v>26</v>
      </c>
      <c r="J327" t="s">
        <v>19</v>
      </c>
      <c r="K327" t="s">
        <v>20</v>
      </c>
      <c r="L327" t="s">
        <v>35</v>
      </c>
      <c r="M327" t="s">
        <v>145</v>
      </c>
      <c r="N327" s="2">
        <v>12000</v>
      </c>
    </row>
    <row r="328" spans="1:14" x14ac:dyDescent="0.25">
      <c r="A328" t="s">
        <v>128</v>
      </c>
      <c r="B328" t="s">
        <v>129</v>
      </c>
      <c r="C328" t="s">
        <v>16</v>
      </c>
      <c r="D328" t="s">
        <v>16</v>
      </c>
      <c r="E328" t="s">
        <v>17</v>
      </c>
      <c r="F328" t="s">
        <v>33</v>
      </c>
      <c r="G328">
        <v>42</v>
      </c>
      <c r="H328">
        <v>10.88</v>
      </c>
      <c r="I328">
        <v>22</v>
      </c>
      <c r="J328" t="s">
        <v>28</v>
      </c>
      <c r="K328" t="s">
        <v>20</v>
      </c>
      <c r="L328" t="s">
        <v>21</v>
      </c>
      <c r="M328" t="s">
        <v>130</v>
      </c>
      <c r="N328" s="2">
        <v>6500</v>
      </c>
    </row>
    <row r="329" spans="1:14" x14ac:dyDescent="0.25">
      <c r="A329" t="s">
        <v>126</v>
      </c>
      <c r="B329" t="s">
        <v>127</v>
      </c>
      <c r="C329" t="s">
        <v>16</v>
      </c>
      <c r="D329" t="s">
        <v>32</v>
      </c>
      <c r="E329" t="s">
        <v>17</v>
      </c>
      <c r="F329" t="s">
        <v>78</v>
      </c>
      <c r="G329">
        <v>42</v>
      </c>
      <c r="H329">
        <v>11.43</v>
      </c>
      <c r="I329">
        <v>22</v>
      </c>
      <c r="J329" t="s">
        <v>19</v>
      </c>
      <c r="K329" t="s">
        <v>20</v>
      </c>
      <c r="L329" t="s">
        <v>35</v>
      </c>
      <c r="M329" t="s">
        <v>22</v>
      </c>
      <c r="N329" s="2">
        <v>6200</v>
      </c>
    </row>
    <row r="330" spans="1:14" x14ac:dyDescent="0.25">
      <c r="A330" t="s">
        <v>79</v>
      </c>
      <c r="B330" t="s">
        <v>80</v>
      </c>
      <c r="C330" t="s">
        <v>16</v>
      </c>
      <c r="D330" t="s">
        <v>16</v>
      </c>
      <c r="E330" t="s">
        <v>17</v>
      </c>
      <c r="F330" t="s">
        <v>81</v>
      </c>
      <c r="G330">
        <v>41</v>
      </c>
      <c r="H330">
        <v>11</v>
      </c>
      <c r="I330">
        <v>22</v>
      </c>
      <c r="J330" t="s">
        <v>28</v>
      </c>
      <c r="K330" t="s">
        <v>20</v>
      </c>
      <c r="L330" t="s">
        <v>21</v>
      </c>
      <c r="M330" t="s">
        <v>29</v>
      </c>
      <c r="N330" s="2">
        <v>15000</v>
      </c>
    </row>
    <row r="331" spans="1:14" x14ac:dyDescent="0.25">
      <c r="A331" t="s">
        <v>116</v>
      </c>
      <c r="B331" t="s">
        <v>175</v>
      </c>
      <c r="C331" t="s">
        <v>172</v>
      </c>
      <c r="D331" t="s">
        <v>32</v>
      </c>
      <c r="E331" t="s">
        <v>49</v>
      </c>
      <c r="F331" t="s">
        <v>39</v>
      </c>
      <c r="G331">
        <v>40</v>
      </c>
      <c r="H331">
        <v>6.36</v>
      </c>
      <c r="I331">
        <v>20</v>
      </c>
      <c r="J331" t="s">
        <v>44</v>
      </c>
      <c r="K331" t="s">
        <v>20</v>
      </c>
      <c r="L331" t="s">
        <v>45</v>
      </c>
      <c r="M331" t="s">
        <v>149</v>
      </c>
      <c r="N331" s="2">
        <v>22000</v>
      </c>
    </row>
    <row r="332" spans="1:14" x14ac:dyDescent="0.25">
      <c r="A332" t="s">
        <v>113</v>
      </c>
      <c r="B332" t="s">
        <v>114</v>
      </c>
      <c r="C332" t="s">
        <v>16</v>
      </c>
      <c r="D332" t="s">
        <v>32</v>
      </c>
      <c r="E332" t="s">
        <v>17</v>
      </c>
      <c r="F332" t="s">
        <v>33</v>
      </c>
      <c r="G332">
        <v>42</v>
      </c>
      <c r="H332">
        <v>12.75</v>
      </c>
      <c r="I332">
        <v>22</v>
      </c>
      <c r="J332" t="s">
        <v>19</v>
      </c>
      <c r="K332" t="s">
        <v>20</v>
      </c>
      <c r="L332" t="s">
        <v>35</v>
      </c>
      <c r="M332" t="s">
        <v>54</v>
      </c>
      <c r="N332" s="2">
        <v>5500</v>
      </c>
    </row>
    <row r="333" spans="1:14" x14ac:dyDescent="0.25">
      <c r="A333" t="s">
        <v>72</v>
      </c>
      <c r="B333" t="s">
        <v>73</v>
      </c>
      <c r="C333" t="s">
        <v>172</v>
      </c>
      <c r="D333" t="s">
        <v>32</v>
      </c>
      <c r="E333" t="s">
        <v>17</v>
      </c>
      <c r="F333" t="s">
        <v>39</v>
      </c>
      <c r="G333">
        <v>39</v>
      </c>
      <c r="H333">
        <v>10.199999999999999</v>
      </c>
      <c r="I333">
        <v>22</v>
      </c>
      <c r="J333" t="s">
        <v>44</v>
      </c>
      <c r="K333" t="s">
        <v>20</v>
      </c>
      <c r="L333" t="s">
        <v>45</v>
      </c>
      <c r="M333" t="s">
        <v>50</v>
      </c>
      <c r="N333" s="2">
        <v>19000</v>
      </c>
    </row>
    <row r="334" spans="1:14" x14ac:dyDescent="0.25">
      <c r="A334" t="s">
        <v>89</v>
      </c>
      <c r="B334" t="s">
        <v>90</v>
      </c>
      <c r="C334" t="s">
        <v>16</v>
      </c>
      <c r="D334" t="s">
        <v>32</v>
      </c>
      <c r="E334" t="s">
        <v>17</v>
      </c>
      <c r="F334" t="s">
        <v>53</v>
      </c>
      <c r="G334">
        <v>41</v>
      </c>
      <c r="H334">
        <v>12.7</v>
      </c>
      <c r="I334">
        <v>22</v>
      </c>
      <c r="J334" t="s">
        <v>19</v>
      </c>
      <c r="K334" t="s">
        <v>20</v>
      </c>
      <c r="L334" t="s">
        <v>45</v>
      </c>
      <c r="M334" t="s">
        <v>40</v>
      </c>
      <c r="N334" s="2">
        <v>3500</v>
      </c>
    </row>
    <row r="335" spans="1:14" x14ac:dyDescent="0.25">
      <c r="A335" t="s">
        <v>14</v>
      </c>
      <c r="B335" t="s">
        <v>103</v>
      </c>
      <c r="C335" t="s">
        <v>16</v>
      </c>
      <c r="D335" t="s">
        <v>16</v>
      </c>
      <c r="E335" t="s">
        <v>17</v>
      </c>
      <c r="F335" t="s">
        <v>33</v>
      </c>
      <c r="G335">
        <v>36</v>
      </c>
      <c r="H335">
        <v>12.5</v>
      </c>
      <c r="I335">
        <v>20</v>
      </c>
      <c r="J335" t="s">
        <v>28</v>
      </c>
      <c r="K335" t="s">
        <v>20</v>
      </c>
      <c r="L335" t="s">
        <v>228</v>
      </c>
      <c r="M335" t="s">
        <v>40</v>
      </c>
      <c r="N335" s="2">
        <v>7400</v>
      </c>
    </row>
    <row r="336" spans="1:14" x14ac:dyDescent="0.25">
      <c r="A336" t="s">
        <v>23</v>
      </c>
      <c r="B336" t="s">
        <v>82</v>
      </c>
      <c r="C336" t="s">
        <v>16</v>
      </c>
      <c r="D336" t="s">
        <v>16</v>
      </c>
      <c r="E336" t="s">
        <v>17</v>
      </c>
      <c r="F336" t="s">
        <v>78</v>
      </c>
      <c r="G336">
        <v>42</v>
      </c>
      <c r="H336">
        <v>14.3</v>
      </c>
      <c r="I336">
        <v>20</v>
      </c>
      <c r="J336" t="s">
        <v>19</v>
      </c>
      <c r="K336" t="s">
        <v>106</v>
      </c>
      <c r="L336" t="s">
        <v>35</v>
      </c>
      <c r="M336" t="s">
        <v>22</v>
      </c>
      <c r="N336" s="2">
        <v>5000</v>
      </c>
    </row>
    <row r="337" spans="1:14" x14ac:dyDescent="0.25">
      <c r="A337" t="s">
        <v>41</v>
      </c>
      <c r="B337" t="s">
        <v>161</v>
      </c>
      <c r="C337" t="s">
        <v>16</v>
      </c>
      <c r="D337" t="s">
        <v>16</v>
      </c>
      <c r="E337" t="s">
        <v>17</v>
      </c>
      <c r="F337" t="s">
        <v>33</v>
      </c>
      <c r="G337">
        <v>39.799999999999997</v>
      </c>
      <c r="H337">
        <v>9.08</v>
      </c>
      <c r="I337">
        <v>20</v>
      </c>
      <c r="J337" t="s">
        <v>44</v>
      </c>
      <c r="K337" t="s">
        <v>20</v>
      </c>
      <c r="L337" t="s">
        <v>21</v>
      </c>
      <c r="M337" t="s">
        <v>36</v>
      </c>
      <c r="N337" s="2">
        <v>6200</v>
      </c>
    </row>
    <row r="338" spans="1:14" x14ac:dyDescent="0.25">
      <c r="A338" t="s">
        <v>220</v>
      </c>
      <c r="B338" t="s">
        <v>201</v>
      </c>
      <c r="C338" t="s">
        <v>16</v>
      </c>
      <c r="D338" t="s">
        <v>16</v>
      </c>
      <c r="E338" t="s">
        <v>17</v>
      </c>
      <c r="F338" t="s">
        <v>18</v>
      </c>
      <c r="G338">
        <v>43</v>
      </c>
      <c r="H338">
        <v>12.5</v>
      </c>
      <c r="I338">
        <v>21</v>
      </c>
      <c r="J338" t="s">
        <v>19</v>
      </c>
      <c r="K338" t="s">
        <v>20</v>
      </c>
      <c r="L338" t="s">
        <v>21</v>
      </c>
      <c r="M338" t="s">
        <v>58</v>
      </c>
      <c r="N338" s="2">
        <v>3100</v>
      </c>
    </row>
    <row r="339" spans="1:14" x14ac:dyDescent="0.25">
      <c r="A339" t="s">
        <v>37</v>
      </c>
      <c r="B339" t="s">
        <v>84</v>
      </c>
      <c r="C339" t="s">
        <v>16</v>
      </c>
      <c r="D339" t="s">
        <v>26</v>
      </c>
      <c r="E339" t="s">
        <v>17</v>
      </c>
      <c r="F339" t="s">
        <v>166</v>
      </c>
      <c r="G339">
        <v>42</v>
      </c>
      <c r="H339">
        <v>13.3</v>
      </c>
      <c r="I339">
        <v>20</v>
      </c>
      <c r="J339" t="s">
        <v>28</v>
      </c>
      <c r="K339" t="s">
        <v>20</v>
      </c>
      <c r="L339" t="s">
        <v>21</v>
      </c>
      <c r="M339" t="s">
        <v>58</v>
      </c>
      <c r="N339" s="2">
        <v>4100</v>
      </c>
    </row>
    <row r="340" spans="1:14" x14ac:dyDescent="0.25">
      <c r="A340" t="s">
        <v>86</v>
      </c>
      <c r="B340" t="s">
        <v>143</v>
      </c>
      <c r="C340" t="s">
        <v>16</v>
      </c>
      <c r="D340" t="s">
        <v>32</v>
      </c>
      <c r="E340" t="s">
        <v>17</v>
      </c>
      <c r="F340" t="s">
        <v>18</v>
      </c>
      <c r="G340">
        <v>44</v>
      </c>
      <c r="H340">
        <v>13.05</v>
      </c>
      <c r="I340">
        <v>24</v>
      </c>
      <c r="J340" t="s">
        <v>19</v>
      </c>
      <c r="K340" t="s">
        <v>20</v>
      </c>
      <c r="L340" t="s">
        <v>45</v>
      </c>
      <c r="M340" t="s">
        <v>145</v>
      </c>
      <c r="N340" s="2">
        <v>6500</v>
      </c>
    </row>
    <row r="341" spans="1:14" x14ac:dyDescent="0.25">
      <c r="A341" t="s">
        <v>89</v>
      </c>
      <c r="B341" t="s">
        <v>90</v>
      </c>
      <c r="C341" t="s">
        <v>16</v>
      </c>
      <c r="D341" t="s">
        <v>32</v>
      </c>
      <c r="E341" t="s">
        <v>17</v>
      </c>
      <c r="F341" t="s">
        <v>53</v>
      </c>
      <c r="G341">
        <v>41</v>
      </c>
      <c r="H341">
        <v>12.7</v>
      </c>
      <c r="I341">
        <v>22</v>
      </c>
      <c r="J341" t="s">
        <v>19</v>
      </c>
      <c r="K341" t="s">
        <v>20</v>
      </c>
      <c r="L341" t="s">
        <v>21</v>
      </c>
      <c r="M341" t="s">
        <v>40</v>
      </c>
      <c r="N341" s="2">
        <v>3800</v>
      </c>
    </row>
    <row r="342" spans="1:14" x14ac:dyDescent="0.25">
      <c r="A342" t="s">
        <v>113</v>
      </c>
      <c r="B342" t="s">
        <v>229</v>
      </c>
      <c r="C342" t="s">
        <v>16</v>
      </c>
      <c r="D342" t="s">
        <v>32</v>
      </c>
      <c r="E342" t="s">
        <v>17</v>
      </c>
      <c r="F342" t="s">
        <v>78</v>
      </c>
      <c r="G342">
        <v>39</v>
      </c>
      <c r="H342">
        <v>8.15</v>
      </c>
      <c r="I342">
        <v>20</v>
      </c>
      <c r="J342" t="s">
        <v>44</v>
      </c>
      <c r="K342" t="s">
        <v>20</v>
      </c>
      <c r="L342" t="s">
        <v>21</v>
      </c>
      <c r="M342" t="s">
        <v>54</v>
      </c>
      <c r="N342" s="2">
        <v>4900</v>
      </c>
    </row>
    <row r="343" spans="1:14" x14ac:dyDescent="0.25">
      <c r="A343" t="s">
        <v>62</v>
      </c>
      <c r="B343" t="s">
        <v>230</v>
      </c>
      <c r="C343" t="s">
        <v>16</v>
      </c>
      <c r="D343" t="s">
        <v>32</v>
      </c>
      <c r="E343" t="s">
        <v>17</v>
      </c>
      <c r="F343" t="s">
        <v>78</v>
      </c>
      <c r="G343">
        <v>40</v>
      </c>
      <c r="H343">
        <v>10.75</v>
      </c>
      <c r="I343">
        <v>20</v>
      </c>
      <c r="J343" t="s">
        <v>44</v>
      </c>
      <c r="K343" t="s">
        <v>20</v>
      </c>
      <c r="L343" t="s">
        <v>21</v>
      </c>
      <c r="M343" t="s">
        <v>130</v>
      </c>
      <c r="N343" s="2">
        <v>1850</v>
      </c>
    </row>
    <row r="344" spans="1:14" x14ac:dyDescent="0.25">
      <c r="A344" t="s">
        <v>99</v>
      </c>
      <c r="B344" t="s">
        <v>231</v>
      </c>
      <c r="C344" t="s">
        <v>16</v>
      </c>
      <c r="D344" t="s">
        <v>32</v>
      </c>
      <c r="E344" t="s">
        <v>17</v>
      </c>
      <c r="F344" t="s">
        <v>78</v>
      </c>
      <c r="G344">
        <v>42</v>
      </c>
      <c r="H344">
        <v>11.4</v>
      </c>
      <c r="I344">
        <v>22</v>
      </c>
      <c r="J344" t="s">
        <v>34</v>
      </c>
      <c r="K344" t="s">
        <v>20</v>
      </c>
      <c r="L344" t="s">
        <v>232</v>
      </c>
      <c r="M344" t="s">
        <v>36</v>
      </c>
      <c r="N344" s="2">
        <v>3900</v>
      </c>
    </row>
    <row r="345" spans="1:14" x14ac:dyDescent="0.25">
      <c r="A345" t="s">
        <v>233</v>
      </c>
      <c r="B345" t="s">
        <v>234</v>
      </c>
      <c r="C345" t="s">
        <v>16</v>
      </c>
      <c r="D345" t="s">
        <v>32</v>
      </c>
      <c r="E345" t="s">
        <v>17</v>
      </c>
      <c r="F345" t="s">
        <v>78</v>
      </c>
      <c r="G345">
        <v>40</v>
      </c>
      <c r="H345">
        <v>10.3</v>
      </c>
      <c r="I345">
        <v>20</v>
      </c>
      <c r="J345" t="s">
        <v>44</v>
      </c>
      <c r="K345" t="s">
        <v>20</v>
      </c>
      <c r="L345" t="s">
        <v>21</v>
      </c>
      <c r="M345" t="s">
        <v>112</v>
      </c>
      <c r="N345" s="2">
        <v>2750</v>
      </c>
    </row>
    <row r="346" spans="1:14" x14ac:dyDescent="0.25">
      <c r="A346" t="s">
        <v>14</v>
      </c>
      <c r="B346" t="s">
        <v>103</v>
      </c>
      <c r="C346" t="s">
        <v>16</v>
      </c>
      <c r="D346" t="s">
        <v>209</v>
      </c>
      <c r="E346" t="s">
        <v>17</v>
      </c>
      <c r="F346" t="s">
        <v>33</v>
      </c>
      <c r="G346">
        <v>41</v>
      </c>
      <c r="H346">
        <v>11.8</v>
      </c>
      <c r="I346">
        <v>20</v>
      </c>
      <c r="J346" t="s">
        <v>28</v>
      </c>
      <c r="K346" t="s">
        <v>20</v>
      </c>
      <c r="L346" t="s">
        <v>21</v>
      </c>
      <c r="M346" t="s">
        <v>40</v>
      </c>
      <c r="N346" s="2">
        <v>9500</v>
      </c>
    </row>
    <row r="347" spans="1:14" x14ac:dyDescent="0.25">
      <c r="A347" t="s">
        <v>23</v>
      </c>
      <c r="B347" t="s">
        <v>105</v>
      </c>
      <c r="C347" t="s">
        <v>16</v>
      </c>
      <c r="D347" t="s">
        <v>16</v>
      </c>
      <c r="E347" t="s">
        <v>49</v>
      </c>
      <c r="F347" t="s">
        <v>78</v>
      </c>
      <c r="G347">
        <v>42</v>
      </c>
      <c r="H347">
        <v>13.75</v>
      </c>
      <c r="I347">
        <v>20</v>
      </c>
      <c r="J347" t="s">
        <v>19</v>
      </c>
      <c r="K347" t="s">
        <v>106</v>
      </c>
      <c r="L347" t="s">
        <v>83</v>
      </c>
      <c r="M347" t="s">
        <v>22</v>
      </c>
      <c r="N347" s="2">
        <v>5350</v>
      </c>
    </row>
    <row r="348" spans="1:14" x14ac:dyDescent="0.25">
      <c r="A348" t="s">
        <v>37</v>
      </c>
      <c r="B348" t="s">
        <v>159</v>
      </c>
      <c r="C348" t="s">
        <v>16</v>
      </c>
      <c r="D348" t="s">
        <v>16</v>
      </c>
      <c r="E348" t="s">
        <v>17</v>
      </c>
      <c r="F348" t="s">
        <v>53</v>
      </c>
      <c r="G348">
        <v>44</v>
      </c>
      <c r="H348">
        <v>14.2</v>
      </c>
      <c r="I348">
        <v>22</v>
      </c>
      <c r="J348" t="s">
        <v>28</v>
      </c>
      <c r="K348" t="s">
        <v>20</v>
      </c>
      <c r="L348" t="s">
        <v>21</v>
      </c>
      <c r="M348" t="s">
        <v>58</v>
      </c>
      <c r="N348" s="2">
        <v>3250</v>
      </c>
    </row>
    <row r="349" spans="1:14" x14ac:dyDescent="0.25">
      <c r="A349" t="s">
        <v>41</v>
      </c>
      <c r="B349" t="s">
        <v>102</v>
      </c>
      <c r="C349" t="s">
        <v>235</v>
      </c>
      <c r="D349" t="s">
        <v>32</v>
      </c>
      <c r="E349" t="s">
        <v>49</v>
      </c>
      <c r="F349" t="s">
        <v>39</v>
      </c>
      <c r="G349">
        <v>27.5</v>
      </c>
      <c r="H349">
        <v>6.5</v>
      </c>
      <c r="I349">
        <v>18</v>
      </c>
      <c r="J349" t="s">
        <v>44</v>
      </c>
      <c r="K349" t="s">
        <v>20</v>
      </c>
      <c r="L349" t="s">
        <v>45</v>
      </c>
      <c r="M349" t="s">
        <v>46</v>
      </c>
      <c r="N349" s="2">
        <v>14200</v>
      </c>
    </row>
    <row r="350" spans="1:14" x14ac:dyDescent="0.25">
      <c r="A350" t="s">
        <v>30</v>
      </c>
      <c r="B350" t="s">
        <v>214</v>
      </c>
      <c r="C350" t="s">
        <v>16</v>
      </c>
      <c r="D350" t="s">
        <v>32</v>
      </c>
      <c r="E350" t="s">
        <v>17</v>
      </c>
      <c r="F350" t="s">
        <v>33</v>
      </c>
      <c r="G350">
        <v>39</v>
      </c>
      <c r="H350">
        <v>14</v>
      </c>
      <c r="I350">
        <v>22</v>
      </c>
      <c r="J350" t="s">
        <v>28</v>
      </c>
      <c r="K350" t="s">
        <v>20</v>
      </c>
      <c r="L350" t="s">
        <v>35</v>
      </c>
      <c r="M350" t="s">
        <v>75</v>
      </c>
      <c r="N350" s="2">
        <v>4950</v>
      </c>
    </row>
    <row r="351" spans="1:14" x14ac:dyDescent="0.25">
      <c r="A351" t="s">
        <v>47</v>
      </c>
      <c r="B351" t="s">
        <v>160</v>
      </c>
      <c r="C351" t="s">
        <v>16</v>
      </c>
      <c r="D351" t="s">
        <v>32</v>
      </c>
      <c r="E351" t="s">
        <v>17</v>
      </c>
      <c r="F351" t="s">
        <v>78</v>
      </c>
      <c r="G351">
        <v>40</v>
      </c>
      <c r="H351">
        <v>8.5</v>
      </c>
      <c r="I351">
        <v>20</v>
      </c>
      <c r="J351" t="s">
        <v>44</v>
      </c>
      <c r="K351" t="s">
        <v>20</v>
      </c>
      <c r="L351" t="s">
        <v>232</v>
      </c>
      <c r="M351" t="s">
        <v>40</v>
      </c>
      <c r="N351" s="2">
        <v>6500</v>
      </c>
    </row>
    <row r="352" spans="1:14" x14ac:dyDescent="0.25">
      <c r="A352" t="s">
        <v>86</v>
      </c>
      <c r="B352" t="s">
        <v>150</v>
      </c>
      <c r="C352" t="s">
        <v>25</v>
      </c>
      <c r="D352" t="s">
        <v>26</v>
      </c>
      <c r="E352" t="s">
        <v>49</v>
      </c>
      <c r="F352" t="s">
        <v>18</v>
      </c>
      <c r="G352">
        <v>44</v>
      </c>
      <c r="H352">
        <v>15.6</v>
      </c>
      <c r="I352">
        <v>24</v>
      </c>
      <c r="J352" t="s">
        <v>19</v>
      </c>
      <c r="K352" t="s">
        <v>20</v>
      </c>
      <c r="L352" t="s">
        <v>45</v>
      </c>
      <c r="M352" t="s">
        <v>145</v>
      </c>
      <c r="N352" s="2">
        <v>8500</v>
      </c>
    </row>
    <row r="353" spans="1:14" x14ac:dyDescent="0.25">
      <c r="A353" t="s">
        <v>76</v>
      </c>
      <c r="B353" t="s">
        <v>77</v>
      </c>
      <c r="C353" t="s">
        <v>16</v>
      </c>
      <c r="D353" t="s">
        <v>16</v>
      </c>
      <c r="E353" t="s">
        <v>17</v>
      </c>
      <c r="F353" t="s">
        <v>78</v>
      </c>
      <c r="G353">
        <v>41</v>
      </c>
      <c r="H353">
        <v>10.4</v>
      </c>
      <c r="I353">
        <v>20</v>
      </c>
      <c r="J353" t="s">
        <v>28</v>
      </c>
      <c r="K353" t="s">
        <v>20</v>
      </c>
      <c r="L353" t="s">
        <v>21</v>
      </c>
      <c r="M353" t="s">
        <v>29</v>
      </c>
      <c r="N353" s="2">
        <v>27000</v>
      </c>
    </row>
    <row r="354" spans="1:14" x14ac:dyDescent="0.25">
      <c r="A354" t="s">
        <v>93</v>
      </c>
      <c r="B354" t="s">
        <v>107</v>
      </c>
      <c r="C354" t="s">
        <v>16</v>
      </c>
      <c r="D354" t="s">
        <v>32</v>
      </c>
      <c r="E354" t="s">
        <v>17</v>
      </c>
      <c r="F354" t="s">
        <v>39</v>
      </c>
      <c r="G354">
        <v>40.4</v>
      </c>
      <c r="H354">
        <v>12.3</v>
      </c>
      <c r="I354">
        <v>20</v>
      </c>
      <c r="J354" t="s">
        <v>44</v>
      </c>
      <c r="K354" t="s">
        <v>20</v>
      </c>
      <c r="L354" t="s">
        <v>35</v>
      </c>
      <c r="M354" t="s">
        <v>142</v>
      </c>
      <c r="N354" s="2">
        <v>7250</v>
      </c>
    </row>
    <row r="355" spans="1:14" x14ac:dyDescent="0.25">
      <c r="A355" t="s">
        <v>135</v>
      </c>
      <c r="B355" t="s">
        <v>187</v>
      </c>
      <c r="C355" t="s">
        <v>183</v>
      </c>
      <c r="D355" t="s">
        <v>32</v>
      </c>
      <c r="E355" t="s">
        <v>49</v>
      </c>
      <c r="F355" t="s">
        <v>39</v>
      </c>
      <c r="G355">
        <v>38</v>
      </c>
      <c r="H355">
        <v>8.25</v>
      </c>
      <c r="I355">
        <v>20</v>
      </c>
      <c r="J355" t="s">
        <v>34</v>
      </c>
      <c r="K355" t="s">
        <v>20</v>
      </c>
      <c r="L355" t="s">
        <v>45</v>
      </c>
      <c r="M355" t="s">
        <v>149</v>
      </c>
      <c r="N355" s="2">
        <v>25000</v>
      </c>
    </row>
    <row r="356" spans="1:14" x14ac:dyDescent="0.25">
      <c r="A356" t="s">
        <v>69</v>
      </c>
      <c r="B356" t="s">
        <v>97</v>
      </c>
      <c r="C356" t="s">
        <v>98</v>
      </c>
      <c r="D356" t="s">
        <v>26</v>
      </c>
      <c r="E356" t="s">
        <v>17</v>
      </c>
      <c r="F356" t="s">
        <v>33</v>
      </c>
      <c r="G356">
        <v>42</v>
      </c>
      <c r="H356">
        <v>9.8000000000000007</v>
      </c>
      <c r="I356">
        <v>24</v>
      </c>
      <c r="J356" t="s">
        <v>19</v>
      </c>
      <c r="K356" t="s">
        <v>20</v>
      </c>
      <c r="L356" t="s">
        <v>45</v>
      </c>
      <c r="M356" t="s">
        <v>75</v>
      </c>
      <c r="N356" s="2">
        <v>3800</v>
      </c>
    </row>
    <row r="357" spans="1:14" x14ac:dyDescent="0.25">
      <c r="A357" t="s">
        <v>14</v>
      </c>
      <c r="B357" t="s">
        <v>103</v>
      </c>
      <c r="C357" t="s">
        <v>16</v>
      </c>
      <c r="D357" t="s">
        <v>16</v>
      </c>
      <c r="E357" t="s">
        <v>17</v>
      </c>
      <c r="F357" t="s">
        <v>33</v>
      </c>
      <c r="G357">
        <v>36</v>
      </c>
      <c r="H357">
        <v>12.5</v>
      </c>
      <c r="I357">
        <v>20</v>
      </c>
      <c r="J357" t="s">
        <v>44</v>
      </c>
      <c r="K357" t="s">
        <v>20</v>
      </c>
      <c r="L357" t="s">
        <v>236</v>
      </c>
      <c r="M357" t="s">
        <v>40</v>
      </c>
      <c r="N357" s="2">
        <v>8000</v>
      </c>
    </row>
    <row r="358" spans="1:14" x14ac:dyDescent="0.25">
      <c r="A358" t="s">
        <v>23</v>
      </c>
      <c r="B358" t="s">
        <v>82</v>
      </c>
      <c r="C358" t="s">
        <v>16</v>
      </c>
      <c r="D358" t="s">
        <v>16</v>
      </c>
      <c r="E358" t="s">
        <v>49</v>
      </c>
      <c r="F358" t="s">
        <v>78</v>
      </c>
      <c r="G358">
        <v>42</v>
      </c>
      <c r="H358">
        <v>14.3</v>
      </c>
      <c r="I358">
        <v>20</v>
      </c>
      <c r="J358" t="s">
        <v>19</v>
      </c>
      <c r="K358" t="s">
        <v>106</v>
      </c>
      <c r="L358" t="s">
        <v>83</v>
      </c>
      <c r="M358" t="s">
        <v>22</v>
      </c>
      <c r="N358" s="2">
        <v>4500</v>
      </c>
    </row>
    <row r="359" spans="1:14" x14ac:dyDescent="0.25">
      <c r="A359" t="s">
        <v>135</v>
      </c>
      <c r="B359" t="s">
        <v>136</v>
      </c>
      <c r="C359" t="s">
        <v>16</v>
      </c>
      <c r="D359" t="s">
        <v>16</v>
      </c>
      <c r="E359" t="s">
        <v>17</v>
      </c>
      <c r="F359" t="s">
        <v>137</v>
      </c>
      <c r="G359">
        <v>40.799999999999997</v>
      </c>
      <c r="H359">
        <v>8.3000000000000007</v>
      </c>
      <c r="I359">
        <v>20</v>
      </c>
      <c r="J359" t="s">
        <v>28</v>
      </c>
      <c r="K359" t="s">
        <v>20</v>
      </c>
      <c r="L359" t="s">
        <v>21</v>
      </c>
      <c r="M359" t="s">
        <v>50</v>
      </c>
      <c r="N359" s="2">
        <v>52000</v>
      </c>
    </row>
    <row r="360" spans="1:14" x14ac:dyDescent="0.25">
      <c r="A360" t="s">
        <v>76</v>
      </c>
      <c r="B360" t="s">
        <v>77</v>
      </c>
      <c r="C360" t="s">
        <v>16</v>
      </c>
      <c r="D360" t="s">
        <v>16</v>
      </c>
      <c r="E360" t="s">
        <v>17</v>
      </c>
      <c r="F360" t="s">
        <v>78</v>
      </c>
      <c r="G360">
        <v>41</v>
      </c>
      <c r="H360">
        <v>10.4</v>
      </c>
      <c r="I360">
        <v>20</v>
      </c>
      <c r="J360" t="s">
        <v>28</v>
      </c>
      <c r="K360" t="s">
        <v>20</v>
      </c>
      <c r="L360" t="s">
        <v>21</v>
      </c>
      <c r="M360" t="s">
        <v>29</v>
      </c>
      <c r="N360" s="2">
        <v>28500</v>
      </c>
    </row>
    <row r="361" spans="1:14" x14ac:dyDescent="0.25">
      <c r="A361" t="s">
        <v>93</v>
      </c>
      <c r="B361" t="s">
        <v>237</v>
      </c>
      <c r="C361" t="s">
        <v>16</v>
      </c>
      <c r="D361" t="s">
        <v>32</v>
      </c>
      <c r="E361" t="s">
        <v>17</v>
      </c>
      <c r="F361" t="s">
        <v>95</v>
      </c>
      <c r="G361">
        <v>41</v>
      </c>
      <c r="H361">
        <v>12.5</v>
      </c>
      <c r="I361">
        <v>20</v>
      </c>
      <c r="J361" t="s">
        <v>19</v>
      </c>
      <c r="K361" t="s">
        <v>20</v>
      </c>
      <c r="L361" t="s">
        <v>148</v>
      </c>
      <c r="M361" t="s">
        <v>149</v>
      </c>
      <c r="N361" s="2">
        <v>6800</v>
      </c>
    </row>
    <row r="362" spans="1:14" x14ac:dyDescent="0.25">
      <c r="A362" t="s">
        <v>133</v>
      </c>
      <c r="B362" t="s">
        <v>174</v>
      </c>
      <c r="C362" t="s">
        <v>98</v>
      </c>
      <c r="D362" t="s">
        <v>26</v>
      </c>
      <c r="E362" t="s">
        <v>17</v>
      </c>
      <c r="F362" t="s">
        <v>33</v>
      </c>
      <c r="G362">
        <v>42</v>
      </c>
      <c r="H362">
        <v>14.1</v>
      </c>
      <c r="I362">
        <v>24</v>
      </c>
      <c r="J362" t="s">
        <v>19</v>
      </c>
      <c r="K362" t="s">
        <v>20</v>
      </c>
      <c r="L362" t="s">
        <v>35</v>
      </c>
      <c r="M362" t="s">
        <v>145</v>
      </c>
      <c r="N362" s="2">
        <v>16000</v>
      </c>
    </row>
    <row r="363" spans="1:14" x14ac:dyDescent="0.25">
      <c r="A363" t="s">
        <v>113</v>
      </c>
      <c r="B363" t="s">
        <v>114</v>
      </c>
      <c r="C363" t="s">
        <v>16</v>
      </c>
      <c r="D363" t="s">
        <v>32</v>
      </c>
      <c r="E363" t="s">
        <v>17</v>
      </c>
      <c r="F363" t="s">
        <v>33</v>
      </c>
      <c r="G363">
        <v>42</v>
      </c>
      <c r="H363">
        <v>12.75</v>
      </c>
      <c r="I363">
        <v>20</v>
      </c>
      <c r="J363" t="s">
        <v>19</v>
      </c>
      <c r="K363" t="s">
        <v>20</v>
      </c>
      <c r="L363" t="s">
        <v>35</v>
      </c>
      <c r="M363" t="s">
        <v>54</v>
      </c>
      <c r="N363" s="2">
        <v>6500</v>
      </c>
    </row>
    <row r="364" spans="1:14" x14ac:dyDescent="0.25">
      <c r="A364" t="s">
        <v>72</v>
      </c>
      <c r="B364" t="s">
        <v>73</v>
      </c>
      <c r="C364" t="s">
        <v>183</v>
      </c>
      <c r="D364" t="s">
        <v>32</v>
      </c>
      <c r="E364" t="s">
        <v>17</v>
      </c>
      <c r="F364" t="s">
        <v>39</v>
      </c>
      <c r="G364">
        <v>39</v>
      </c>
      <c r="H364">
        <v>8.65</v>
      </c>
      <c r="I364">
        <v>20</v>
      </c>
      <c r="J364" t="s">
        <v>44</v>
      </c>
      <c r="K364" t="s">
        <v>20</v>
      </c>
      <c r="L364" t="s">
        <v>45</v>
      </c>
      <c r="M364" t="s">
        <v>75</v>
      </c>
      <c r="N364" s="2">
        <v>19000</v>
      </c>
    </row>
    <row r="365" spans="1:14" x14ac:dyDescent="0.25">
      <c r="A365" t="s">
        <v>109</v>
      </c>
      <c r="B365" t="s">
        <v>110</v>
      </c>
      <c r="C365" t="s">
        <v>16</v>
      </c>
      <c r="D365" t="s">
        <v>26</v>
      </c>
      <c r="E365" t="s">
        <v>17</v>
      </c>
      <c r="F365" t="s">
        <v>18</v>
      </c>
      <c r="G365">
        <v>45</v>
      </c>
      <c r="H365">
        <v>15.5</v>
      </c>
      <c r="I365">
        <v>23</v>
      </c>
      <c r="J365" t="s">
        <v>19</v>
      </c>
      <c r="K365" t="s">
        <v>20</v>
      </c>
      <c r="L365" t="s">
        <v>21</v>
      </c>
      <c r="M365" t="s">
        <v>112</v>
      </c>
      <c r="N365" s="2">
        <v>13500</v>
      </c>
    </row>
    <row r="366" spans="1:14" x14ac:dyDescent="0.25">
      <c r="A366" t="s">
        <v>128</v>
      </c>
      <c r="B366" t="s">
        <v>129</v>
      </c>
      <c r="C366" t="s">
        <v>16</v>
      </c>
      <c r="D366" t="s">
        <v>16</v>
      </c>
      <c r="E366" t="s">
        <v>17</v>
      </c>
      <c r="F366" t="s">
        <v>33</v>
      </c>
      <c r="G366">
        <v>42</v>
      </c>
      <c r="H366">
        <v>10.88</v>
      </c>
      <c r="I366">
        <v>25</v>
      </c>
      <c r="J366" t="s">
        <v>19</v>
      </c>
      <c r="K366" t="s">
        <v>20</v>
      </c>
      <c r="L366" t="s">
        <v>21</v>
      </c>
      <c r="M366" t="s">
        <v>142</v>
      </c>
      <c r="N366" s="2">
        <v>8000</v>
      </c>
    </row>
    <row r="367" spans="1:14" x14ac:dyDescent="0.25">
      <c r="A367" t="s">
        <v>120</v>
      </c>
      <c r="B367" t="s">
        <v>121</v>
      </c>
      <c r="C367" t="s">
        <v>16</v>
      </c>
      <c r="D367" t="s">
        <v>32</v>
      </c>
      <c r="E367" t="s">
        <v>17</v>
      </c>
      <c r="F367" t="s">
        <v>39</v>
      </c>
      <c r="G367">
        <v>43</v>
      </c>
      <c r="H367">
        <v>12.48</v>
      </c>
      <c r="I367">
        <v>23</v>
      </c>
      <c r="J367" t="s">
        <v>44</v>
      </c>
      <c r="K367" t="s">
        <v>20</v>
      </c>
      <c r="L367" t="s">
        <v>45</v>
      </c>
      <c r="M367" t="s">
        <v>122</v>
      </c>
      <c r="N367" s="2">
        <v>10000</v>
      </c>
    </row>
    <row r="368" spans="1:14" x14ac:dyDescent="0.25">
      <c r="A368" t="s">
        <v>14</v>
      </c>
      <c r="B368" t="s">
        <v>91</v>
      </c>
      <c r="C368" t="s">
        <v>16</v>
      </c>
      <c r="D368" t="s">
        <v>16</v>
      </c>
      <c r="E368" t="s">
        <v>17</v>
      </c>
      <c r="F368" t="s">
        <v>33</v>
      </c>
      <c r="G368">
        <v>40</v>
      </c>
      <c r="H368">
        <v>12.5</v>
      </c>
      <c r="I368">
        <v>20</v>
      </c>
      <c r="J368" t="s">
        <v>19</v>
      </c>
      <c r="K368" t="s">
        <v>20</v>
      </c>
      <c r="L368" t="s">
        <v>68</v>
      </c>
      <c r="M368" t="s">
        <v>40</v>
      </c>
      <c r="N368" s="2">
        <v>9700</v>
      </c>
    </row>
    <row r="369" spans="1:14" x14ac:dyDescent="0.25">
      <c r="A369" t="s">
        <v>135</v>
      </c>
      <c r="B369" t="s">
        <v>136</v>
      </c>
      <c r="C369" t="s">
        <v>16</v>
      </c>
      <c r="D369" t="s">
        <v>16</v>
      </c>
      <c r="E369" t="s">
        <v>17</v>
      </c>
      <c r="F369" t="s">
        <v>137</v>
      </c>
      <c r="G369">
        <v>40.5</v>
      </c>
      <c r="H369">
        <v>8.3000000000000007</v>
      </c>
      <c r="I369">
        <v>21</v>
      </c>
      <c r="J369" t="s">
        <v>28</v>
      </c>
      <c r="K369" t="s">
        <v>20</v>
      </c>
      <c r="L369" t="s">
        <v>21</v>
      </c>
      <c r="M369" t="s">
        <v>50</v>
      </c>
      <c r="N369" s="2">
        <v>29800</v>
      </c>
    </row>
    <row r="370" spans="1:14" x14ac:dyDescent="0.25">
      <c r="A370" t="s">
        <v>23</v>
      </c>
      <c r="B370" t="s">
        <v>82</v>
      </c>
      <c r="C370" t="s">
        <v>16</v>
      </c>
      <c r="D370" t="s">
        <v>16</v>
      </c>
      <c r="E370" t="s">
        <v>49</v>
      </c>
      <c r="F370" t="s">
        <v>78</v>
      </c>
      <c r="G370">
        <v>42</v>
      </c>
      <c r="H370">
        <v>14.3</v>
      </c>
      <c r="I370">
        <v>20</v>
      </c>
      <c r="J370" t="s">
        <v>19</v>
      </c>
      <c r="K370" t="s">
        <v>106</v>
      </c>
      <c r="L370" t="s">
        <v>35</v>
      </c>
      <c r="M370" t="s">
        <v>22</v>
      </c>
      <c r="N370" s="2">
        <v>5350</v>
      </c>
    </row>
    <row r="371" spans="1:14" x14ac:dyDescent="0.25">
      <c r="A371" t="s">
        <v>76</v>
      </c>
      <c r="B371" t="s">
        <v>77</v>
      </c>
      <c r="C371" t="s">
        <v>16</v>
      </c>
      <c r="D371" t="s">
        <v>16</v>
      </c>
      <c r="E371" t="s">
        <v>17</v>
      </c>
      <c r="F371" t="s">
        <v>78</v>
      </c>
      <c r="G371">
        <v>41</v>
      </c>
      <c r="H371">
        <v>9.8000000000000007</v>
      </c>
      <c r="I371">
        <v>20</v>
      </c>
      <c r="J371" t="s">
        <v>28</v>
      </c>
      <c r="K371" t="s">
        <v>20</v>
      </c>
      <c r="L371" t="s">
        <v>21</v>
      </c>
      <c r="M371" t="s">
        <v>29</v>
      </c>
      <c r="N371" s="2">
        <v>18500</v>
      </c>
    </row>
    <row r="372" spans="1:14" x14ac:dyDescent="0.25">
      <c r="A372" t="s">
        <v>93</v>
      </c>
      <c r="B372" t="s">
        <v>94</v>
      </c>
      <c r="C372" t="s">
        <v>16</v>
      </c>
      <c r="D372" t="s">
        <v>32</v>
      </c>
      <c r="E372" t="s">
        <v>17</v>
      </c>
      <c r="F372" t="s">
        <v>95</v>
      </c>
      <c r="G372">
        <v>43</v>
      </c>
      <c r="H372">
        <v>15</v>
      </c>
      <c r="I372">
        <v>22</v>
      </c>
      <c r="J372" t="s">
        <v>19</v>
      </c>
      <c r="K372" t="s">
        <v>20</v>
      </c>
      <c r="L372" t="s">
        <v>21</v>
      </c>
      <c r="M372" t="s">
        <v>145</v>
      </c>
      <c r="N372" s="2">
        <v>4950</v>
      </c>
    </row>
    <row r="373" spans="1:14" x14ac:dyDescent="0.25">
      <c r="A373" t="s">
        <v>113</v>
      </c>
      <c r="B373" t="s">
        <v>114</v>
      </c>
      <c r="C373" t="s">
        <v>16</v>
      </c>
      <c r="D373" t="s">
        <v>32</v>
      </c>
      <c r="E373" t="s">
        <v>17</v>
      </c>
      <c r="F373" t="s">
        <v>33</v>
      </c>
      <c r="G373">
        <v>42</v>
      </c>
      <c r="H373">
        <v>12.75</v>
      </c>
      <c r="I373">
        <v>20</v>
      </c>
      <c r="J373" t="s">
        <v>34</v>
      </c>
      <c r="K373" t="s">
        <v>20</v>
      </c>
      <c r="L373" t="s">
        <v>141</v>
      </c>
      <c r="M373" t="s">
        <v>54</v>
      </c>
      <c r="N373" s="2">
        <v>7900</v>
      </c>
    </row>
    <row r="374" spans="1:14" x14ac:dyDescent="0.25">
      <c r="A374" t="s">
        <v>41</v>
      </c>
      <c r="B374" t="s">
        <v>102</v>
      </c>
      <c r="C374" t="s">
        <v>16</v>
      </c>
      <c r="D374" t="s">
        <v>32</v>
      </c>
      <c r="E374" t="s">
        <v>49</v>
      </c>
      <c r="F374" t="s">
        <v>39</v>
      </c>
      <c r="G374">
        <v>31.4</v>
      </c>
      <c r="H374">
        <v>7.25</v>
      </c>
      <c r="I374">
        <v>18</v>
      </c>
      <c r="J374" t="s">
        <v>44</v>
      </c>
      <c r="K374" t="s">
        <v>20</v>
      </c>
      <c r="L374" t="s">
        <v>45</v>
      </c>
      <c r="M374" t="s">
        <v>46</v>
      </c>
      <c r="N374" s="2">
        <v>4500</v>
      </c>
    </row>
    <row r="375" spans="1:14" x14ac:dyDescent="0.25">
      <c r="A375" t="s">
        <v>133</v>
      </c>
      <c r="B375" t="s">
        <v>174</v>
      </c>
      <c r="C375" t="s">
        <v>25</v>
      </c>
      <c r="D375" t="s">
        <v>26</v>
      </c>
      <c r="E375" t="s">
        <v>17</v>
      </c>
      <c r="F375" t="s">
        <v>33</v>
      </c>
      <c r="G375">
        <v>44</v>
      </c>
      <c r="H375">
        <v>14.5</v>
      </c>
      <c r="I375">
        <v>24</v>
      </c>
      <c r="J375" t="s">
        <v>19</v>
      </c>
      <c r="K375" t="s">
        <v>20</v>
      </c>
      <c r="L375" t="s">
        <v>141</v>
      </c>
      <c r="M375" t="s">
        <v>145</v>
      </c>
      <c r="N375" s="2">
        <v>16000</v>
      </c>
    </row>
    <row r="376" spans="1:14" x14ac:dyDescent="0.25">
      <c r="A376" t="s">
        <v>128</v>
      </c>
      <c r="B376" t="s">
        <v>129</v>
      </c>
      <c r="C376" t="s">
        <v>16</v>
      </c>
      <c r="D376" t="s">
        <v>16</v>
      </c>
      <c r="E376" t="s">
        <v>17</v>
      </c>
      <c r="F376" t="s">
        <v>33</v>
      </c>
      <c r="G376">
        <v>42</v>
      </c>
      <c r="H376">
        <v>10.88</v>
      </c>
      <c r="I376">
        <v>22</v>
      </c>
      <c r="J376" t="s">
        <v>28</v>
      </c>
      <c r="K376" t="s">
        <v>20</v>
      </c>
      <c r="L376" t="s">
        <v>21</v>
      </c>
      <c r="M376" t="s">
        <v>130</v>
      </c>
      <c r="N376" s="2">
        <v>12800</v>
      </c>
    </row>
    <row r="377" spans="1:14" x14ac:dyDescent="0.25">
      <c r="A377" t="s">
        <v>47</v>
      </c>
      <c r="B377" t="s">
        <v>160</v>
      </c>
      <c r="C377" t="s">
        <v>16</v>
      </c>
      <c r="D377" t="s">
        <v>32</v>
      </c>
      <c r="E377" t="s">
        <v>17</v>
      </c>
      <c r="F377" t="s">
        <v>78</v>
      </c>
      <c r="G377">
        <v>40</v>
      </c>
      <c r="H377">
        <v>8.7799999999999994</v>
      </c>
      <c r="I377">
        <v>20</v>
      </c>
      <c r="J377" t="s">
        <v>44</v>
      </c>
      <c r="K377" t="s">
        <v>20</v>
      </c>
      <c r="L377" t="s">
        <v>147</v>
      </c>
      <c r="M377" t="s">
        <v>40</v>
      </c>
      <c r="N377" s="2">
        <v>8500</v>
      </c>
    </row>
    <row r="378" spans="1:14" x14ac:dyDescent="0.25">
      <c r="A378" t="s">
        <v>93</v>
      </c>
      <c r="B378" t="s">
        <v>107</v>
      </c>
      <c r="C378" t="s">
        <v>16</v>
      </c>
      <c r="D378" t="s">
        <v>32</v>
      </c>
      <c r="E378" t="s">
        <v>17</v>
      </c>
      <c r="F378" t="s">
        <v>39</v>
      </c>
      <c r="G378">
        <v>41</v>
      </c>
      <c r="H378">
        <v>12.3</v>
      </c>
      <c r="I378">
        <v>22</v>
      </c>
      <c r="J378" t="s">
        <v>28</v>
      </c>
      <c r="K378" t="s">
        <v>20</v>
      </c>
      <c r="L378" t="s">
        <v>147</v>
      </c>
      <c r="M378" t="s">
        <v>36</v>
      </c>
      <c r="N378" s="2">
        <v>8500</v>
      </c>
    </row>
    <row r="379" spans="1:14" x14ac:dyDescent="0.25">
      <c r="A379" t="s">
        <v>86</v>
      </c>
      <c r="B379" t="s">
        <v>150</v>
      </c>
      <c r="C379" t="s">
        <v>25</v>
      </c>
      <c r="D379" t="s">
        <v>26</v>
      </c>
      <c r="E379" t="s">
        <v>17</v>
      </c>
      <c r="F379" t="s">
        <v>18</v>
      </c>
      <c r="G379">
        <v>44</v>
      </c>
      <c r="H379">
        <v>13.05</v>
      </c>
      <c r="I379">
        <v>24</v>
      </c>
      <c r="J379" t="s">
        <v>19</v>
      </c>
      <c r="K379" t="s">
        <v>20</v>
      </c>
      <c r="L379" t="s">
        <v>238</v>
      </c>
      <c r="M379" t="s">
        <v>145</v>
      </c>
      <c r="N379" s="2">
        <v>7500</v>
      </c>
    </row>
    <row r="380" spans="1:14" x14ac:dyDescent="0.25">
      <c r="A380" t="s">
        <v>135</v>
      </c>
      <c r="B380" t="s">
        <v>136</v>
      </c>
      <c r="C380" t="s">
        <v>16</v>
      </c>
      <c r="D380" t="s">
        <v>16</v>
      </c>
      <c r="E380" t="s">
        <v>17</v>
      </c>
      <c r="F380" t="s">
        <v>137</v>
      </c>
      <c r="G380">
        <v>40.5</v>
      </c>
      <c r="H380">
        <v>8.3000000000000007</v>
      </c>
      <c r="I380">
        <v>20</v>
      </c>
      <c r="J380" t="s">
        <v>28</v>
      </c>
      <c r="K380" t="s">
        <v>20</v>
      </c>
      <c r="L380" t="s">
        <v>21</v>
      </c>
      <c r="M380" t="s">
        <v>50</v>
      </c>
      <c r="N380" s="2">
        <v>39000</v>
      </c>
    </row>
    <row r="381" spans="1:14" x14ac:dyDescent="0.25">
      <c r="A381" t="s">
        <v>76</v>
      </c>
      <c r="B381" t="s">
        <v>77</v>
      </c>
      <c r="C381" t="s">
        <v>16</v>
      </c>
      <c r="D381" t="s">
        <v>16</v>
      </c>
      <c r="E381" t="s">
        <v>17</v>
      </c>
      <c r="F381" t="s">
        <v>78</v>
      </c>
      <c r="G381">
        <v>37</v>
      </c>
      <c r="H381">
        <v>9.8000000000000007</v>
      </c>
      <c r="I381">
        <v>20</v>
      </c>
      <c r="J381" t="s">
        <v>28</v>
      </c>
      <c r="K381" t="s">
        <v>20</v>
      </c>
      <c r="L381" t="s">
        <v>21</v>
      </c>
      <c r="M381" t="s">
        <v>75</v>
      </c>
      <c r="N381" s="2">
        <v>19500</v>
      </c>
    </row>
    <row r="382" spans="1:14" x14ac:dyDescent="0.25">
      <c r="A382" t="s">
        <v>133</v>
      </c>
      <c r="B382" t="s">
        <v>174</v>
      </c>
      <c r="C382" t="s">
        <v>25</v>
      </c>
      <c r="D382" t="s">
        <v>26</v>
      </c>
      <c r="E382" t="s">
        <v>17</v>
      </c>
      <c r="F382" t="s">
        <v>33</v>
      </c>
      <c r="G382">
        <v>44</v>
      </c>
      <c r="H382">
        <v>14.5</v>
      </c>
      <c r="I382">
        <v>24</v>
      </c>
      <c r="J382" t="s">
        <v>19</v>
      </c>
      <c r="K382" t="s">
        <v>20</v>
      </c>
      <c r="L382" t="s">
        <v>148</v>
      </c>
      <c r="M382" t="s">
        <v>145</v>
      </c>
      <c r="N382" s="2">
        <v>13000</v>
      </c>
    </row>
    <row r="383" spans="1:14" x14ac:dyDescent="0.25">
      <c r="A383" t="s">
        <v>113</v>
      </c>
      <c r="B383" t="s">
        <v>114</v>
      </c>
      <c r="C383" t="s">
        <v>16</v>
      </c>
      <c r="D383" t="s">
        <v>32</v>
      </c>
      <c r="E383" t="s">
        <v>17</v>
      </c>
      <c r="F383" t="s">
        <v>33</v>
      </c>
      <c r="G383">
        <v>42</v>
      </c>
      <c r="H383">
        <v>12.75</v>
      </c>
      <c r="I383">
        <v>20</v>
      </c>
      <c r="J383" t="s">
        <v>34</v>
      </c>
      <c r="K383" t="s">
        <v>20</v>
      </c>
      <c r="L383" t="s">
        <v>239</v>
      </c>
      <c r="M383" t="s">
        <v>54</v>
      </c>
      <c r="N383" s="2">
        <v>7500</v>
      </c>
    </row>
    <row r="384" spans="1:14" x14ac:dyDescent="0.25">
      <c r="A384" t="s">
        <v>79</v>
      </c>
      <c r="B384" t="s">
        <v>80</v>
      </c>
      <c r="C384" t="s">
        <v>16</v>
      </c>
      <c r="D384" t="s">
        <v>16</v>
      </c>
      <c r="E384" t="s">
        <v>17</v>
      </c>
      <c r="F384" t="s">
        <v>81</v>
      </c>
      <c r="G384">
        <v>41</v>
      </c>
      <c r="H384">
        <v>11</v>
      </c>
      <c r="I384">
        <v>22</v>
      </c>
      <c r="J384" t="s">
        <v>28</v>
      </c>
      <c r="K384" t="s">
        <v>20</v>
      </c>
      <c r="L384" t="s">
        <v>240</v>
      </c>
      <c r="M384" t="s">
        <v>29</v>
      </c>
      <c r="N384" s="2">
        <v>23000</v>
      </c>
    </row>
    <row r="385" spans="1:14" x14ac:dyDescent="0.25">
      <c r="A385" t="s">
        <v>72</v>
      </c>
      <c r="B385" t="s">
        <v>73</v>
      </c>
      <c r="C385" t="s">
        <v>183</v>
      </c>
      <c r="D385" t="s">
        <v>32</v>
      </c>
      <c r="E385" t="s">
        <v>49</v>
      </c>
      <c r="F385" t="s">
        <v>39</v>
      </c>
      <c r="G385">
        <v>40</v>
      </c>
      <c r="H385">
        <v>6.95</v>
      </c>
      <c r="I385">
        <v>20</v>
      </c>
      <c r="J385" t="s">
        <v>44</v>
      </c>
      <c r="K385" t="s">
        <v>20</v>
      </c>
      <c r="L385" t="s">
        <v>45</v>
      </c>
      <c r="M385" t="s">
        <v>54</v>
      </c>
      <c r="N385" s="2">
        <v>24000</v>
      </c>
    </row>
    <row r="386" spans="1:14" x14ac:dyDescent="0.25">
      <c r="A386" t="s">
        <v>109</v>
      </c>
      <c r="B386" t="s">
        <v>110</v>
      </c>
      <c r="C386" t="s">
        <v>16</v>
      </c>
      <c r="D386" t="s">
        <v>140</v>
      </c>
      <c r="E386" t="s">
        <v>17</v>
      </c>
      <c r="F386" t="s">
        <v>18</v>
      </c>
      <c r="G386">
        <v>45</v>
      </c>
      <c r="H386">
        <v>15.5</v>
      </c>
      <c r="I386">
        <v>23</v>
      </c>
      <c r="J386" t="s">
        <v>19</v>
      </c>
      <c r="K386" t="s">
        <v>20</v>
      </c>
      <c r="L386" t="s">
        <v>147</v>
      </c>
      <c r="M386" t="s">
        <v>112</v>
      </c>
      <c r="N386" s="2">
        <v>11000</v>
      </c>
    </row>
    <row r="387" spans="1:14" x14ac:dyDescent="0.25">
      <c r="A387" t="s">
        <v>126</v>
      </c>
      <c r="B387" t="s">
        <v>127</v>
      </c>
      <c r="C387" t="s">
        <v>16</v>
      </c>
      <c r="D387" t="s">
        <v>32</v>
      </c>
      <c r="E387" t="s">
        <v>17</v>
      </c>
      <c r="F387" t="s">
        <v>78</v>
      </c>
      <c r="G387">
        <v>44</v>
      </c>
      <c r="H387">
        <v>14.45</v>
      </c>
      <c r="I387">
        <v>22</v>
      </c>
      <c r="J387" t="s">
        <v>19</v>
      </c>
      <c r="K387" t="s">
        <v>20</v>
      </c>
      <c r="L387" t="s">
        <v>148</v>
      </c>
      <c r="M387" t="s">
        <v>36</v>
      </c>
      <c r="N387" s="2">
        <v>6000</v>
      </c>
    </row>
    <row r="388" spans="1:14" x14ac:dyDescent="0.25">
      <c r="A388" t="s">
        <v>14</v>
      </c>
      <c r="B388" t="s">
        <v>103</v>
      </c>
      <c r="C388" t="s">
        <v>16</v>
      </c>
      <c r="D388" t="s">
        <v>16</v>
      </c>
      <c r="E388" t="s">
        <v>17</v>
      </c>
      <c r="F388" t="s">
        <v>33</v>
      </c>
      <c r="G388">
        <v>36</v>
      </c>
      <c r="H388">
        <v>12</v>
      </c>
      <c r="I388">
        <v>20</v>
      </c>
      <c r="J388" t="s">
        <v>44</v>
      </c>
      <c r="K388" t="s">
        <v>20</v>
      </c>
      <c r="L388" t="s">
        <v>21</v>
      </c>
      <c r="M388" t="s">
        <v>40</v>
      </c>
      <c r="N388" s="2">
        <v>7500</v>
      </c>
    </row>
    <row r="389" spans="1:14" x14ac:dyDescent="0.25">
      <c r="A389" t="s">
        <v>23</v>
      </c>
      <c r="B389" t="s">
        <v>82</v>
      </c>
      <c r="C389" t="s">
        <v>16</v>
      </c>
      <c r="D389" t="s">
        <v>16</v>
      </c>
      <c r="E389" t="s">
        <v>17</v>
      </c>
      <c r="F389" t="s">
        <v>78</v>
      </c>
      <c r="G389">
        <v>42</v>
      </c>
      <c r="H389">
        <v>13.7</v>
      </c>
      <c r="I389">
        <v>20</v>
      </c>
      <c r="J389" t="s">
        <v>19</v>
      </c>
      <c r="K389" t="s">
        <v>20</v>
      </c>
      <c r="L389" t="s">
        <v>83</v>
      </c>
      <c r="M389" t="s">
        <v>29</v>
      </c>
      <c r="N389" s="2">
        <v>6500</v>
      </c>
    </row>
    <row r="390" spans="1:14" x14ac:dyDescent="0.25">
      <c r="A390" t="s">
        <v>30</v>
      </c>
      <c r="B390" t="s">
        <v>201</v>
      </c>
      <c r="C390" t="s">
        <v>16</v>
      </c>
      <c r="D390" t="s">
        <v>16</v>
      </c>
      <c r="E390" t="s">
        <v>17</v>
      </c>
      <c r="F390" t="s">
        <v>18</v>
      </c>
      <c r="G390">
        <v>43</v>
      </c>
      <c r="H390">
        <v>13</v>
      </c>
      <c r="I390">
        <v>21</v>
      </c>
      <c r="J390" t="s">
        <v>28</v>
      </c>
      <c r="K390" t="s">
        <v>20</v>
      </c>
      <c r="L390" t="s">
        <v>21</v>
      </c>
      <c r="M390" t="s">
        <v>58</v>
      </c>
      <c r="N390" s="2">
        <v>3700</v>
      </c>
    </row>
    <row r="391" spans="1:14" x14ac:dyDescent="0.25">
      <c r="A391" t="s">
        <v>37</v>
      </c>
      <c r="B391" t="s">
        <v>84</v>
      </c>
      <c r="C391" t="s">
        <v>16</v>
      </c>
      <c r="D391" t="s">
        <v>26</v>
      </c>
      <c r="E391" t="s">
        <v>17</v>
      </c>
      <c r="F391" t="s">
        <v>53</v>
      </c>
      <c r="G391">
        <v>44</v>
      </c>
      <c r="H391">
        <v>14.2</v>
      </c>
      <c r="I391">
        <v>22</v>
      </c>
      <c r="J391" t="s">
        <v>19</v>
      </c>
      <c r="K391" t="s">
        <v>20</v>
      </c>
      <c r="L391" t="s">
        <v>21</v>
      </c>
      <c r="M391" t="s">
        <v>36</v>
      </c>
      <c r="N391" s="2">
        <v>4500</v>
      </c>
    </row>
    <row r="392" spans="1:14" x14ac:dyDescent="0.25">
      <c r="A392" t="s">
        <v>41</v>
      </c>
      <c r="B392" t="s">
        <v>186</v>
      </c>
      <c r="C392" t="s">
        <v>16</v>
      </c>
      <c r="D392" t="s">
        <v>16</v>
      </c>
      <c r="E392" t="s">
        <v>17</v>
      </c>
      <c r="F392" t="s">
        <v>39</v>
      </c>
      <c r="G392">
        <v>42</v>
      </c>
      <c r="H392">
        <v>13</v>
      </c>
      <c r="I392">
        <v>22</v>
      </c>
      <c r="J392" t="s">
        <v>44</v>
      </c>
      <c r="K392" t="s">
        <v>20</v>
      </c>
      <c r="L392" t="s">
        <v>21</v>
      </c>
      <c r="M392" t="s">
        <v>36</v>
      </c>
      <c r="N392" s="2">
        <v>7500</v>
      </c>
    </row>
    <row r="393" spans="1:14" x14ac:dyDescent="0.25">
      <c r="A393" t="s">
        <v>47</v>
      </c>
      <c r="B393" t="s">
        <v>160</v>
      </c>
      <c r="C393" t="s">
        <v>16</v>
      </c>
      <c r="D393" t="s">
        <v>32</v>
      </c>
      <c r="E393" t="s">
        <v>17</v>
      </c>
      <c r="F393" t="s">
        <v>78</v>
      </c>
      <c r="G393">
        <v>40</v>
      </c>
      <c r="H393">
        <v>8.8000000000000007</v>
      </c>
      <c r="I393">
        <v>20</v>
      </c>
      <c r="J393" t="s">
        <v>44</v>
      </c>
      <c r="K393" t="s">
        <v>20</v>
      </c>
      <c r="L393" t="s">
        <v>169</v>
      </c>
      <c r="M393" t="s">
        <v>40</v>
      </c>
      <c r="N393" s="2">
        <v>6000</v>
      </c>
    </row>
    <row r="394" spans="1:14" x14ac:dyDescent="0.25">
      <c r="A394" t="s">
        <v>14</v>
      </c>
      <c r="B394" t="s">
        <v>91</v>
      </c>
      <c r="C394" t="s">
        <v>16</v>
      </c>
      <c r="D394" t="s">
        <v>16</v>
      </c>
      <c r="E394" t="s">
        <v>17</v>
      </c>
      <c r="F394" t="s">
        <v>33</v>
      </c>
      <c r="G394">
        <v>40</v>
      </c>
      <c r="H394">
        <v>12.5</v>
      </c>
      <c r="I394">
        <v>20</v>
      </c>
      <c r="J394" t="s">
        <v>19</v>
      </c>
      <c r="K394" t="s">
        <v>20</v>
      </c>
      <c r="L394" t="s">
        <v>241</v>
      </c>
      <c r="M394" t="s">
        <v>40</v>
      </c>
      <c r="N394" s="2">
        <v>9500</v>
      </c>
    </row>
    <row r="395" spans="1:14" x14ac:dyDescent="0.25">
      <c r="A395" t="s">
        <v>23</v>
      </c>
      <c r="B395" t="s">
        <v>242</v>
      </c>
      <c r="C395" t="s">
        <v>16</v>
      </c>
      <c r="D395" t="s">
        <v>16</v>
      </c>
      <c r="E395" t="s">
        <v>17</v>
      </c>
      <c r="F395" t="s">
        <v>33</v>
      </c>
      <c r="G395">
        <v>39</v>
      </c>
      <c r="H395">
        <v>10.6</v>
      </c>
      <c r="I395">
        <v>20</v>
      </c>
      <c r="J395" t="s">
        <v>19</v>
      </c>
      <c r="K395" t="s">
        <v>20</v>
      </c>
      <c r="L395" t="s">
        <v>21</v>
      </c>
      <c r="M395" t="s">
        <v>54</v>
      </c>
      <c r="N395" s="2">
        <v>4800</v>
      </c>
    </row>
    <row r="396" spans="1:14" x14ac:dyDescent="0.25">
      <c r="A396" t="s">
        <v>30</v>
      </c>
      <c r="B396" t="s">
        <v>214</v>
      </c>
      <c r="C396" t="s">
        <v>16</v>
      </c>
      <c r="D396" t="s">
        <v>32</v>
      </c>
      <c r="E396" t="s">
        <v>17</v>
      </c>
      <c r="F396" t="s">
        <v>33</v>
      </c>
      <c r="G396">
        <v>39</v>
      </c>
      <c r="H396">
        <v>14.5</v>
      </c>
      <c r="I396">
        <v>22</v>
      </c>
      <c r="J396" t="s">
        <v>28</v>
      </c>
      <c r="K396" t="s">
        <v>20</v>
      </c>
      <c r="L396" t="s">
        <v>35</v>
      </c>
      <c r="M396" t="s">
        <v>75</v>
      </c>
      <c r="N396" s="2">
        <v>5200</v>
      </c>
    </row>
    <row r="397" spans="1:14" x14ac:dyDescent="0.25">
      <c r="A397" t="s">
        <v>37</v>
      </c>
      <c r="B397" t="s">
        <v>243</v>
      </c>
      <c r="C397" t="s">
        <v>16</v>
      </c>
      <c r="D397" t="s">
        <v>16</v>
      </c>
      <c r="E397" t="s">
        <v>17</v>
      </c>
      <c r="F397" t="s">
        <v>53</v>
      </c>
      <c r="G397">
        <v>44</v>
      </c>
      <c r="H397">
        <v>16.95</v>
      </c>
      <c r="I397">
        <v>22</v>
      </c>
      <c r="J397" t="s">
        <v>28</v>
      </c>
      <c r="K397" t="s">
        <v>20</v>
      </c>
      <c r="L397" t="s">
        <v>141</v>
      </c>
      <c r="M397" t="s">
        <v>40</v>
      </c>
      <c r="N397" s="2">
        <v>6900</v>
      </c>
    </row>
    <row r="398" spans="1:14" x14ac:dyDescent="0.25">
      <c r="A398" t="s">
        <v>41</v>
      </c>
      <c r="B398" t="s">
        <v>161</v>
      </c>
      <c r="C398" t="s">
        <v>16</v>
      </c>
      <c r="D398" t="s">
        <v>16</v>
      </c>
      <c r="E398" t="s">
        <v>17</v>
      </c>
      <c r="F398" t="s">
        <v>33</v>
      </c>
      <c r="G398">
        <v>35.1</v>
      </c>
      <c r="H398">
        <v>8.83</v>
      </c>
      <c r="I398">
        <v>18</v>
      </c>
      <c r="J398" t="s">
        <v>44</v>
      </c>
      <c r="K398" t="s">
        <v>20</v>
      </c>
      <c r="L398" t="s">
        <v>21</v>
      </c>
      <c r="M398" t="s">
        <v>36</v>
      </c>
      <c r="N398" s="2">
        <v>5500</v>
      </c>
    </row>
    <row r="399" spans="1:14" x14ac:dyDescent="0.25">
      <c r="A399" t="s">
        <v>14</v>
      </c>
      <c r="B399" t="s">
        <v>103</v>
      </c>
      <c r="C399" t="s">
        <v>16</v>
      </c>
      <c r="D399" t="s">
        <v>16</v>
      </c>
      <c r="E399" t="s">
        <v>17</v>
      </c>
      <c r="F399" t="s">
        <v>33</v>
      </c>
      <c r="G399">
        <v>41</v>
      </c>
      <c r="H399">
        <v>11.7</v>
      </c>
      <c r="I399">
        <v>20</v>
      </c>
      <c r="J399" t="s">
        <v>34</v>
      </c>
      <c r="K399" t="s">
        <v>20</v>
      </c>
      <c r="L399" t="s">
        <v>21</v>
      </c>
      <c r="M399" t="s">
        <v>40</v>
      </c>
      <c r="N399" s="2">
        <v>8000</v>
      </c>
    </row>
    <row r="400" spans="1:14" x14ac:dyDescent="0.25">
      <c r="A400" t="s">
        <v>135</v>
      </c>
      <c r="B400" t="s">
        <v>136</v>
      </c>
      <c r="C400" t="s">
        <v>16</v>
      </c>
      <c r="D400" t="s">
        <v>16</v>
      </c>
      <c r="E400" t="s">
        <v>17</v>
      </c>
      <c r="F400" t="s">
        <v>137</v>
      </c>
      <c r="G400">
        <v>40.5</v>
      </c>
      <c r="H400">
        <v>8.3000000000000007</v>
      </c>
      <c r="I400">
        <v>21</v>
      </c>
      <c r="J400" t="s">
        <v>28</v>
      </c>
      <c r="K400" t="s">
        <v>20</v>
      </c>
      <c r="L400" t="s">
        <v>21</v>
      </c>
      <c r="M400" t="s">
        <v>50</v>
      </c>
      <c r="N400" s="2">
        <v>40000</v>
      </c>
    </row>
    <row r="401" spans="1:14" x14ac:dyDescent="0.25">
      <c r="A401" t="s">
        <v>76</v>
      </c>
      <c r="B401" t="s">
        <v>77</v>
      </c>
      <c r="C401" t="s">
        <v>16</v>
      </c>
      <c r="D401" t="s">
        <v>16</v>
      </c>
      <c r="E401" t="s">
        <v>17</v>
      </c>
      <c r="F401" t="s">
        <v>78</v>
      </c>
      <c r="G401">
        <v>37</v>
      </c>
      <c r="H401">
        <v>9</v>
      </c>
      <c r="I401">
        <v>16</v>
      </c>
      <c r="J401" t="s">
        <v>28</v>
      </c>
      <c r="K401" t="s">
        <v>20</v>
      </c>
      <c r="L401" t="s">
        <v>21</v>
      </c>
      <c r="M401" t="s">
        <v>29</v>
      </c>
      <c r="N401" s="2">
        <v>18000</v>
      </c>
    </row>
    <row r="402" spans="1:14" x14ac:dyDescent="0.25">
      <c r="A402" t="s">
        <v>93</v>
      </c>
      <c r="B402" t="s">
        <v>107</v>
      </c>
      <c r="C402" t="s">
        <v>16</v>
      </c>
      <c r="D402" t="s">
        <v>32</v>
      </c>
      <c r="E402" t="s">
        <v>17</v>
      </c>
      <c r="F402" t="s">
        <v>39</v>
      </c>
      <c r="G402">
        <v>40.4</v>
      </c>
      <c r="H402">
        <v>12.3</v>
      </c>
      <c r="I402">
        <v>22</v>
      </c>
      <c r="J402" t="s">
        <v>34</v>
      </c>
      <c r="K402" t="s">
        <v>20</v>
      </c>
      <c r="L402" t="s">
        <v>21</v>
      </c>
      <c r="M402" t="s">
        <v>29</v>
      </c>
      <c r="N402" s="2">
        <v>7500</v>
      </c>
    </row>
    <row r="403" spans="1:14" x14ac:dyDescent="0.25">
      <c r="A403" t="s">
        <v>133</v>
      </c>
      <c r="B403" t="s">
        <v>174</v>
      </c>
      <c r="C403" t="s">
        <v>25</v>
      </c>
      <c r="D403" t="s">
        <v>26</v>
      </c>
      <c r="E403" t="s">
        <v>17</v>
      </c>
      <c r="F403" t="s">
        <v>33</v>
      </c>
      <c r="G403">
        <v>44</v>
      </c>
      <c r="H403">
        <v>14.5</v>
      </c>
      <c r="I403">
        <v>25</v>
      </c>
      <c r="J403" t="s">
        <v>19</v>
      </c>
      <c r="K403" t="s">
        <v>20</v>
      </c>
      <c r="L403" t="s">
        <v>35</v>
      </c>
      <c r="M403" t="s">
        <v>145</v>
      </c>
      <c r="N403" s="2">
        <v>14000</v>
      </c>
    </row>
    <row r="404" spans="1:14" x14ac:dyDescent="0.25">
      <c r="A404" t="s">
        <v>109</v>
      </c>
      <c r="B404" t="s">
        <v>110</v>
      </c>
      <c r="C404" t="s">
        <v>16</v>
      </c>
      <c r="D404" t="s">
        <v>111</v>
      </c>
      <c r="E404" t="s">
        <v>17</v>
      </c>
      <c r="F404" t="s">
        <v>18</v>
      </c>
      <c r="G404">
        <v>45</v>
      </c>
      <c r="H404">
        <v>15.4</v>
      </c>
      <c r="I404">
        <v>23</v>
      </c>
      <c r="J404" t="s">
        <v>19</v>
      </c>
      <c r="K404" t="s">
        <v>20</v>
      </c>
      <c r="L404" t="s">
        <v>21</v>
      </c>
      <c r="M404" t="s">
        <v>112</v>
      </c>
      <c r="N404" s="2">
        <v>14000</v>
      </c>
    </row>
    <row r="405" spans="1:14" x14ac:dyDescent="0.25">
      <c r="A405" t="s">
        <v>72</v>
      </c>
      <c r="B405" t="s">
        <v>73</v>
      </c>
      <c r="C405" t="s">
        <v>168</v>
      </c>
      <c r="D405" t="s">
        <v>32</v>
      </c>
      <c r="E405" t="s">
        <v>49</v>
      </c>
      <c r="F405" t="s">
        <v>39</v>
      </c>
      <c r="G405">
        <v>40</v>
      </c>
      <c r="H405">
        <v>6.8</v>
      </c>
      <c r="I405">
        <v>20</v>
      </c>
      <c r="J405" t="s">
        <v>44</v>
      </c>
      <c r="K405" t="s">
        <v>20</v>
      </c>
      <c r="L405" t="s">
        <v>45</v>
      </c>
      <c r="M405" t="s">
        <v>181</v>
      </c>
      <c r="N405" s="2">
        <v>25000</v>
      </c>
    </row>
    <row r="406" spans="1:14" x14ac:dyDescent="0.25">
      <c r="A406" t="s">
        <v>47</v>
      </c>
      <c r="B406" t="s">
        <v>96</v>
      </c>
      <c r="C406" t="s">
        <v>16</v>
      </c>
      <c r="D406" t="s">
        <v>32</v>
      </c>
      <c r="E406" t="s">
        <v>17</v>
      </c>
      <c r="F406" t="s">
        <v>78</v>
      </c>
      <c r="G406">
        <v>39</v>
      </c>
      <c r="H406">
        <v>7.8</v>
      </c>
      <c r="I406">
        <v>20</v>
      </c>
      <c r="J406" t="s">
        <v>44</v>
      </c>
      <c r="K406" t="s">
        <v>20</v>
      </c>
      <c r="L406" t="s">
        <v>45</v>
      </c>
      <c r="M406" t="s">
        <v>40</v>
      </c>
      <c r="N406" s="2">
        <v>6500</v>
      </c>
    </row>
    <row r="407" spans="1:14" x14ac:dyDescent="0.25">
      <c r="A407" t="s">
        <v>113</v>
      </c>
      <c r="B407" t="s">
        <v>114</v>
      </c>
      <c r="C407" t="s">
        <v>16</v>
      </c>
      <c r="D407" t="s">
        <v>16</v>
      </c>
      <c r="E407" t="s">
        <v>17</v>
      </c>
      <c r="F407" t="s">
        <v>33</v>
      </c>
      <c r="G407">
        <v>42</v>
      </c>
      <c r="H407">
        <v>12.75</v>
      </c>
      <c r="I407">
        <v>20</v>
      </c>
      <c r="J407" t="s">
        <v>28</v>
      </c>
      <c r="K407" t="s">
        <v>20</v>
      </c>
      <c r="L407" t="s">
        <v>35</v>
      </c>
      <c r="M407" t="s">
        <v>54</v>
      </c>
      <c r="N407" s="2">
        <v>7000</v>
      </c>
    </row>
    <row r="408" spans="1:14" x14ac:dyDescent="0.25">
      <c r="A408" t="s">
        <v>124</v>
      </c>
      <c r="B408" t="s">
        <v>125</v>
      </c>
      <c r="C408" t="s">
        <v>25</v>
      </c>
      <c r="D408" t="s">
        <v>25</v>
      </c>
      <c r="E408" t="s">
        <v>17</v>
      </c>
      <c r="F408" t="s">
        <v>39</v>
      </c>
      <c r="G408">
        <v>40</v>
      </c>
      <c r="H408">
        <v>5.15</v>
      </c>
      <c r="I408">
        <v>28</v>
      </c>
      <c r="J408" t="s">
        <v>19</v>
      </c>
      <c r="K408" t="s">
        <v>20</v>
      </c>
      <c r="L408" t="s">
        <v>45</v>
      </c>
      <c r="M408" t="s">
        <v>181</v>
      </c>
      <c r="N408" s="2">
        <v>10000</v>
      </c>
    </row>
    <row r="409" spans="1:14" x14ac:dyDescent="0.25">
      <c r="A409" t="s">
        <v>128</v>
      </c>
      <c r="B409" t="s">
        <v>129</v>
      </c>
      <c r="C409" t="s">
        <v>16</v>
      </c>
      <c r="D409" t="s">
        <v>16</v>
      </c>
      <c r="E409" t="s">
        <v>17</v>
      </c>
      <c r="F409" t="s">
        <v>33</v>
      </c>
      <c r="G409">
        <v>42</v>
      </c>
      <c r="H409">
        <v>10.88</v>
      </c>
      <c r="I409">
        <v>22</v>
      </c>
      <c r="J409" t="s">
        <v>28</v>
      </c>
      <c r="K409" t="s">
        <v>20</v>
      </c>
      <c r="L409" t="s">
        <v>21</v>
      </c>
      <c r="M409" t="s">
        <v>130</v>
      </c>
      <c r="N409" s="2">
        <v>9000</v>
      </c>
    </row>
    <row r="410" spans="1:14" x14ac:dyDescent="0.25">
      <c r="A410" t="s">
        <v>14</v>
      </c>
      <c r="B410" t="s">
        <v>91</v>
      </c>
      <c r="C410" t="s">
        <v>16</v>
      </c>
      <c r="D410" t="s">
        <v>16</v>
      </c>
      <c r="E410" t="s">
        <v>17</v>
      </c>
      <c r="F410" t="s">
        <v>33</v>
      </c>
      <c r="G410">
        <v>40</v>
      </c>
      <c r="H410">
        <v>12.1</v>
      </c>
      <c r="I410">
        <v>20</v>
      </c>
      <c r="J410" t="s">
        <v>19</v>
      </c>
      <c r="K410" t="s">
        <v>20</v>
      </c>
      <c r="L410" t="s">
        <v>185</v>
      </c>
      <c r="M410" t="s">
        <v>40</v>
      </c>
      <c r="N410" s="2">
        <v>9450</v>
      </c>
    </row>
    <row r="411" spans="1:14" x14ac:dyDescent="0.25">
      <c r="A411" t="s">
        <v>135</v>
      </c>
      <c r="B411" t="s">
        <v>136</v>
      </c>
      <c r="C411" t="s">
        <v>16</v>
      </c>
      <c r="D411" t="s">
        <v>16</v>
      </c>
      <c r="E411" t="s">
        <v>17</v>
      </c>
      <c r="F411" t="s">
        <v>137</v>
      </c>
      <c r="G411">
        <v>40.799999999999997</v>
      </c>
      <c r="H411">
        <v>8.3000000000000007</v>
      </c>
      <c r="I411">
        <v>21</v>
      </c>
      <c r="J411" t="s">
        <v>28</v>
      </c>
      <c r="K411" t="s">
        <v>20</v>
      </c>
      <c r="L411" t="s">
        <v>21</v>
      </c>
      <c r="M411" t="s">
        <v>181</v>
      </c>
      <c r="N411" s="2">
        <v>29800</v>
      </c>
    </row>
    <row r="412" spans="1:14" x14ac:dyDescent="0.25">
      <c r="A412" t="s">
        <v>76</v>
      </c>
      <c r="B412" t="s">
        <v>77</v>
      </c>
      <c r="C412" t="s">
        <v>16</v>
      </c>
      <c r="D412" t="s">
        <v>16</v>
      </c>
      <c r="E412" t="s">
        <v>17</v>
      </c>
      <c r="F412" t="s">
        <v>78</v>
      </c>
      <c r="G412">
        <v>41</v>
      </c>
      <c r="H412">
        <v>9.8000000000000007</v>
      </c>
      <c r="I412">
        <v>20</v>
      </c>
      <c r="J412" t="s">
        <v>28</v>
      </c>
      <c r="K412" t="s">
        <v>20</v>
      </c>
      <c r="L412" t="s">
        <v>148</v>
      </c>
      <c r="M412" t="s">
        <v>54</v>
      </c>
      <c r="N412" s="2">
        <v>22300</v>
      </c>
    </row>
    <row r="413" spans="1:14" x14ac:dyDescent="0.25">
      <c r="A413" t="s">
        <v>133</v>
      </c>
      <c r="B413" t="s">
        <v>134</v>
      </c>
      <c r="C413" t="s">
        <v>25</v>
      </c>
      <c r="D413" t="s">
        <v>26</v>
      </c>
      <c r="E413" t="s">
        <v>17</v>
      </c>
      <c r="F413" t="s">
        <v>78</v>
      </c>
      <c r="G413">
        <v>42</v>
      </c>
      <c r="H413">
        <v>10.6</v>
      </c>
      <c r="I413">
        <v>22</v>
      </c>
      <c r="J413" t="s">
        <v>19</v>
      </c>
      <c r="K413" t="s">
        <v>20</v>
      </c>
      <c r="L413" t="s">
        <v>21</v>
      </c>
      <c r="M413" t="s">
        <v>36</v>
      </c>
      <c r="N413" s="2">
        <v>8100</v>
      </c>
    </row>
    <row r="414" spans="1:14" x14ac:dyDescent="0.25">
      <c r="A414" t="s">
        <v>93</v>
      </c>
      <c r="B414" t="s">
        <v>208</v>
      </c>
      <c r="C414" t="s">
        <v>16</v>
      </c>
      <c r="D414" t="s">
        <v>32</v>
      </c>
      <c r="E414" t="s">
        <v>17</v>
      </c>
      <c r="F414" t="s">
        <v>95</v>
      </c>
      <c r="G414">
        <v>40</v>
      </c>
      <c r="H414">
        <v>10.8</v>
      </c>
      <c r="I414">
        <v>20</v>
      </c>
      <c r="J414" t="s">
        <v>19</v>
      </c>
      <c r="K414" t="s">
        <v>20</v>
      </c>
      <c r="L414" t="s">
        <v>21</v>
      </c>
      <c r="M414" t="s">
        <v>36</v>
      </c>
      <c r="N414" s="2">
        <v>3900</v>
      </c>
    </row>
    <row r="415" spans="1:14" x14ac:dyDescent="0.25">
      <c r="A415" t="s">
        <v>244</v>
      </c>
      <c r="B415" t="s">
        <v>171</v>
      </c>
      <c r="C415" t="s">
        <v>168</v>
      </c>
      <c r="D415" t="s">
        <v>32</v>
      </c>
      <c r="E415" t="s">
        <v>49</v>
      </c>
      <c r="F415" t="s">
        <v>39</v>
      </c>
      <c r="G415">
        <v>38.5</v>
      </c>
      <c r="H415">
        <v>7.8</v>
      </c>
      <c r="I415">
        <v>18</v>
      </c>
      <c r="J415" t="s">
        <v>44</v>
      </c>
      <c r="K415" t="s">
        <v>20</v>
      </c>
      <c r="L415" t="s">
        <v>45</v>
      </c>
      <c r="M415" t="s">
        <v>145</v>
      </c>
      <c r="N415" s="2">
        <v>23300</v>
      </c>
    </row>
    <row r="416" spans="1:14" x14ac:dyDescent="0.25">
      <c r="A416" t="s">
        <v>72</v>
      </c>
      <c r="B416" t="s">
        <v>73</v>
      </c>
      <c r="C416" t="s">
        <v>168</v>
      </c>
      <c r="D416" t="s">
        <v>32</v>
      </c>
      <c r="E416" t="s">
        <v>17</v>
      </c>
      <c r="F416" t="s">
        <v>39</v>
      </c>
      <c r="G416">
        <v>39</v>
      </c>
      <c r="H416">
        <v>8.65</v>
      </c>
      <c r="I416">
        <v>20</v>
      </c>
      <c r="J416" t="s">
        <v>44</v>
      </c>
      <c r="K416" t="s">
        <v>20</v>
      </c>
      <c r="L416" t="s">
        <v>21</v>
      </c>
      <c r="M416" t="s">
        <v>173</v>
      </c>
      <c r="N416" s="2">
        <v>23200</v>
      </c>
    </row>
    <row r="417" spans="1:14" x14ac:dyDescent="0.25">
      <c r="A417" t="s">
        <v>126</v>
      </c>
      <c r="B417" t="s">
        <v>127</v>
      </c>
      <c r="C417" t="s">
        <v>16</v>
      </c>
      <c r="D417" t="s">
        <v>32</v>
      </c>
      <c r="E417" t="s">
        <v>17</v>
      </c>
      <c r="F417" t="s">
        <v>78</v>
      </c>
      <c r="G417">
        <v>44</v>
      </c>
      <c r="H417">
        <v>14.4</v>
      </c>
      <c r="I417">
        <v>22</v>
      </c>
      <c r="J417" t="s">
        <v>19</v>
      </c>
      <c r="K417" t="s">
        <v>20</v>
      </c>
      <c r="L417" t="s">
        <v>245</v>
      </c>
      <c r="M417" t="s">
        <v>36</v>
      </c>
      <c r="N417" s="2">
        <v>6300</v>
      </c>
    </row>
    <row r="418" spans="1:14" x14ac:dyDescent="0.25">
      <c r="A418" t="s">
        <v>113</v>
      </c>
      <c r="B418" t="s">
        <v>114</v>
      </c>
      <c r="C418" t="s">
        <v>16</v>
      </c>
      <c r="D418" t="s">
        <v>32</v>
      </c>
      <c r="E418" t="s">
        <v>17</v>
      </c>
      <c r="F418" t="s">
        <v>33</v>
      </c>
      <c r="G418">
        <v>38</v>
      </c>
      <c r="H418">
        <v>12.45</v>
      </c>
      <c r="I418">
        <v>20</v>
      </c>
      <c r="J418" t="s">
        <v>34</v>
      </c>
      <c r="K418" t="s">
        <v>20</v>
      </c>
      <c r="L418" t="s">
        <v>148</v>
      </c>
      <c r="M418" t="s">
        <v>54</v>
      </c>
      <c r="N418" s="2">
        <v>5600</v>
      </c>
    </row>
    <row r="419" spans="1:14" x14ac:dyDescent="0.25">
      <c r="A419" t="s">
        <v>86</v>
      </c>
      <c r="B419" t="s">
        <v>150</v>
      </c>
      <c r="C419" t="s">
        <v>25</v>
      </c>
      <c r="D419" t="s">
        <v>32</v>
      </c>
      <c r="E419" t="s">
        <v>49</v>
      </c>
      <c r="F419" t="s">
        <v>33</v>
      </c>
      <c r="G419">
        <v>44</v>
      </c>
      <c r="H419">
        <v>13.05</v>
      </c>
      <c r="I419">
        <v>24</v>
      </c>
      <c r="J419" t="s">
        <v>19</v>
      </c>
      <c r="K419" t="s">
        <v>20</v>
      </c>
      <c r="L419" t="s">
        <v>45</v>
      </c>
      <c r="M419" t="s">
        <v>88</v>
      </c>
      <c r="N419" s="2">
        <v>6900</v>
      </c>
    </row>
    <row r="420" spans="1:14" x14ac:dyDescent="0.25">
      <c r="A420" t="s">
        <v>14</v>
      </c>
      <c r="B420" t="s">
        <v>217</v>
      </c>
      <c r="C420" t="s">
        <v>16</v>
      </c>
      <c r="D420" t="s">
        <v>16</v>
      </c>
      <c r="E420" t="s">
        <v>17</v>
      </c>
      <c r="F420" t="s">
        <v>33</v>
      </c>
      <c r="G420">
        <v>40</v>
      </c>
      <c r="H420">
        <v>12.4</v>
      </c>
      <c r="I420">
        <v>20</v>
      </c>
      <c r="J420" t="s">
        <v>34</v>
      </c>
      <c r="K420" t="s">
        <v>20</v>
      </c>
      <c r="L420" t="s">
        <v>35</v>
      </c>
      <c r="M420" t="s">
        <v>145</v>
      </c>
      <c r="N420" s="2">
        <v>13500</v>
      </c>
    </row>
    <row r="421" spans="1:14" x14ac:dyDescent="0.25">
      <c r="A421" t="s">
        <v>23</v>
      </c>
      <c r="B421" t="s">
        <v>82</v>
      </c>
      <c r="C421" t="s">
        <v>16</v>
      </c>
      <c r="D421" t="s">
        <v>16</v>
      </c>
      <c r="E421" t="s">
        <v>49</v>
      </c>
      <c r="F421" t="s">
        <v>78</v>
      </c>
      <c r="G421">
        <v>42</v>
      </c>
      <c r="H421">
        <v>14.3</v>
      </c>
      <c r="I421">
        <v>20</v>
      </c>
      <c r="J421" t="s">
        <v>19</v>
      </c>
      <c r="K421" t="s">
        <v>106</v>
      </c>
      <c r="L421" t="s">
        <v>35</v>
      </c>
      <c r="M421" t="s">
        <v>22</v>
      </c>
      <c r="N421" s="2">
        <v>4500</v>
      </c>
    </row>
    <row r="422" spans="1:14" x14ac:dyDescent="0.25">
      <c r="A422" t="s">
        <v>41</v>
      </c>
      <c r="B422" t="s">
        <v>161</v>
      </c>
      <c r="C422" t="s">
        <v>16</v>
      </c>
      <c r="D422" t="s">
        <v>32</v>
      </c>
      <c r="E422" t="s">
        <v>17</v>
      </c>
      <c r="F422" t="s">
        <v>33</v>
      </c>
      <c r="G422">
        <v>39.799999999999997</v>
      </c>
      <c r="H422">
        <v>9.08</v>
      </c>
      <c r="I422">
        <v>20</v>
      </c>
      <c r="J422" t="s">
        <v>44</v>
      </c>
      <c r="K422" t="s">
        <v>20</v>
      </c>
      <c r="L422" t="s">
        <v>21</v>
      </c>
      <c r="M422" t="s">
        <v>36</v>
      </c>
      <c r="N422" s="2">
        <v>6600</v>
      </c>
    </row>
    <row r="423" spans="1:14" x14ac:dyDescent="0.25">
      <c r="A423" t="s">
        <v>37</v>
      </c>
      <c r="B423" t="s">
        <v>159</v>
      </c>
      <c r="C423" t="s">
        <v>16</v>
      </c>
      <c r="D423" t="s">
        <v>32</v>
      </c>
      <c r="E423" t="s">
        <v>17</v>
      </c>
      <c r="F423" t="s">
        <v>53</v>
      </c>
      <c r="G423">
        <v>42</v>
      </c>
      <c r="H423">
        <v>14.35</v>
      </c>
      <c r="I423">
        <v>20</v>
      </c>
      <c r="J423" t="s">
        <v>19</v>
      </c>
      <c r="K423" t="s">
        <v>20</v>
      </c>
      <c r="L423" t="s">
        <v>21</v>
      </c>
      <c r="M423" t="s">
        <v>58</v>
      </c>
      <c r="N423" s="2">
        <v>4400</v>
      </c>
    </row>
    <row r="424" spans="1:14" x14ac:dyDescent="0.25">
      <c r="A424" t="s">
        <v>30</v>
      </c>
      <c r="B424" t="s">
        <v>201</v>
      </c>
      <c r="C424" t="s">
        <v>16</v>
      </c>
      <c r="D424" t="s">
        <v>16</v>
      </c>
      <c r="E424" t="s">
        <v>17</v>
      </c>
      <c r="F424" t="s">
        <v>18</v>
      </c>
      <c r="G424">
        <v>41</v>
      </c>
      <c r="H424">
        <v>12</v>
      </c>
      <c r="I424">
        <v>20</v>
      </c>
      <c r="J424" t="s">
        <v>28</v>
      </c>
      <c r="K424" t="s">
        <v>20</v>
      </c>
      <c r="L424" t="s">
        <v>21</v>
      </c>
      <c r="M424" t="s">
        <v>58</v>
      </c>
      <c r="N424" s="2">
        <v>2800</v>
      </c>
    </row>
    <row r="425" spans="1:14" x14ac:dyDescent="0.25">
      <c r="A425" t="s">
        <v>47</v>
      </c>
      <c r="B425" t="s">
        <v>96</v>
      </c>
      <c r="C425" t="s">
        <v>16</v>
      </c>
      <c r="D425" t="s">
        <v>32</v>
      </c>
      <c r="E425" t="s">
        <v>17</v>
      </c>
      <c r="F425" t="s">
        <v>78</v>
      </c>
      <c r="G425">
        <v>40</v>
      </c>
      <c r="H425">
        <v>7.45</v>
      </c>
      <c r="I425">
        <v>20</v>
      </c>
      <c r="J425" t="s">
        <v>44</v>
      </c>
      <c r="K425" t="s">
        <v>20</v>
      </c>
      <c r="L425" t="s">
        <v>45</v>
      </c>
      <c r="M425" t="s">
        <v>176</v>
      </c>
      <c r="N425" s="2">
        <v>6300</v>
      </c>
    </row>
    <row r="426" spans="1:14" x14ac:dyDescent="0.25">
      <c r="A426" t="s">
        <v>135</v>
      </c>
      <c r="B426" t="s">
        <v>187</v>
      </c>
      <c r="C426" t="s">
        <v>189</v>
      </c>
      <c r="D426" t="s">
        <v>32</v>
      </c>
      <c r="E426" t="s">
        <v>49</v>
      </c>
      <c r="F426" t="s">
        <v>39</v>
      </c>
      <c r="G426">
        <v>38</v>
      </c>
      <c r="H426">
        <v>7.68</v>
      </c>
      <c r="I426">
        <v>19</v>
      </c>
      <c r="J426" t="s">
        <v>34</v>
      </c>
      <c r="K426" t="s">
        <v>20</v>
      </c>
      <c r="L426" t="s">
        <v>45</v>
      </c>
      <c r="M426" t="s">
        <v>149</v>
      </c>
      <c r="N426" s="2">
        <v>22900</v>
      </c>
    </row>
    <row r="427" spans="1:14" x14ac:dyDescent="0.25">
      <c r="A427" t="s">
        <v>76</v>
      </c>
      <c r="B427" t="s">
        <v>77</v>
      </c>
      <c r="C427" t="s">
        <v>16</v>
      </c>
      <c r="D427" t="s">
        <v>16</v>
      </c>
      <c r="E427" t="s">
        <v>17</v>
      </c>
      <c r="F427" t="s">
        <v>78</v>
      </c>
      <c r="G427">
        <v>41</v>
      </c>
      <c r="H427">
        <v>9.8000000000000007</v>
      </c>
      <c r="I427">
        <v>20</v>
      </c>
      <c r="J427" t="s">
        <v>19</v>
      </c>
      <c r="K427" t="s">
        <v>20</v>
      </c>
      <c r="L427" t="s">
        <v>21</v>
      </c>
      <c r="M427" t="s">
        <v>29</v>
      </c>
      <c r="N427" s="2">
        <v>22500</v>
      </c>
    </row>
    <row r="428" spans="1:14" x14ac:dyDescent="0.25">
      <c r="A428" t="s">
        <v>113</v>
      </c>
      <c r="B428" t="s">
        <v>114</v>
      </c>
      <c r="C428" t="s">
        <v>16</v>
      </c>
      <c r="D428" t="s">
        <v>16</v>
      </c>
      <c r="E428" t="s">
        <v>17</v>
      </c>
      <c r="F428" t="s">
        <v>33</v>
      </c>
      <c r="G428">
        <v>42</v>
      </c>
      <c r="H428">
        <v>12.75</v>
      </c>
      <c r="I428">
        <v>20</v>
      </c>
      <c r="J428" t="s">
        <v>28</v>
      </c>
      <c r="K428" t="s">
        <v>20</v>
      </c>
      <c r="L428" t="s">
        <v>35</v>
      </c>
      <c r="M428" t="s">
        <v>54</v>
      </c>
      <c r="N428" s="2">
        <v>6900</v>
      </c>
    </row>
    <row r="429" spans="1:14" x14ac:dyDescent="0.25">
      <c r="A429" t="s">
        <v>79</v>
      </c>
      <c r="B429" t="s">
        <v>80</v>
      </c>
      <c r="C429" t="s">
        <v>16</v>
      </c>
      <c r="D429" t="s">
        <v>16</v>
      </c>
      <c r="E429" t="s">
        <v>17</v>
      </c>
      <c r="F429" t="s">
        <v>81</v>
      </c>
      <c r="G429">
        <v>41</v>
      </c>
      <c r="H429">
        <v>11</v>
      </c>
      <c r="I429">
        <v>20</v>
      </c>
      <c r="J429" t="s">
        <v>19</v>
      </c>
      <c r="K429" t="s">
        <v>20</v>
      </c>
      <c r="L429" t="s">
        <v>240</v>
      </c>
      <c r="M429" t="s">
        <v>29</v>
      </c>
      <c r="N429" s="2">
        <v>20200</v>
      </c>
    </row>
    <row r="430" spans="1:14" x14ac:dyDescent="0.25">
      <c r="A430" t="s">
        <v>93</v>
      </c>
      <c r="B430" t="s">
        <v>107</v>
      </c>
      <c r="C430" t="s">
        <v>16</v>
      </c>
      <c r="D430" t="s">
        <v>32</v>
      </c>
      <c r="E430" t="s">
        <v>17</v>
      </c>
      <c r="F430" t="s">
        <v>39</v>
      </c>
      <c r="G430">
        <v>40.4</v>
      </c>
      <c r="H430">
        <v>12.6</v>
      </c>
      <c r="I430">
        <v>20</v>
      </c>
      <c r="J430" t="s">
        <v>44</v>
      </c>
      <c r="K430" t="s">
        <v>20</v>
      </c>
      <c r="L430" t="s">
        <v>45</v>
      </c>
      <c r="M430" t="s">
        <v>149</v>
      </c>
      <c r="N430" s="2">
        <v>7600</v>
      </c>
    </row>
    <row r="431" spans="1:14" x14ac:dyDescent="0.25">
      <c r="A431" t="s">
        <v>86</v>
      </c>
      <c r="B431" t="s">
        <v>143</v>
      </c>
      <c r="C431" t="s">
        <v>16</v>
      </c>
      <c r="D431" t="s">
        <v>32</v>
      </c>
      <c r="E431" t="s">
        <v>17</v>
      </c>
      <c r="F431" t="s">
        <v>18</v>
      </c>
      <c r="G431">
        <v>44</v>
      </c>
      <c r="H431">
        <v>15.65</v>
      </c>
      <c r="I431">
        <v>24</v>
      </c>
      <c r="J431" t="s">
        <v>19</v>
      </c>
      <c r="K431" t="s">
        <v>20</v>
      </c>
      <c r="L431" t="s">
        <v>21</v>
      </c>
      <c r="M431" t="s">
        <v>145</v>
      </c>
      <c r="N431" s="2">
        <v>6500</v>
      </c>
    </row>
    <row r="432" spans="1:14" x14ac:dyDescent="0.25">
      <c r="A432" t="s">
        <v>135</v>
      </c>
      <c r="B432" t="s">
        <v>136</v>
      </c>
      <c r="C432" t="s">
        <v>16</v>
      </c>
      <c r="D432" t="s">
        <v>16</v>
      </c>
      <c r="E432" t="s">
        <v>17</v>
      </c>
      <c r="F432" t="s">
        <v>137</v>
      </c>
      <c r="G432">
        <v>40.5</v>
      </c>
      <c r="H432">
        <v>8.3000000000000007</v>
      </c>
      <c r="I432">
        <v>21</v>
      </c>
      <c r="J432" t="s">
        <v>28</v>
      </c>
      <c r="K432" t="s">
        <v>20</v>
      </c>
      <c r="L432" t="s">
        <v>21</v>
      </c>
      <c r="M432" t="s">
        <v>50</v>
      </c>
      <c r="N432" s="2">
        <v>34000</v>
      </c>
    </row>
    <row r="433" spans="1:14" x14ac:dyDescent="0.25">
      <c r="A433" t="s">
        <v>76</v>
      </c>
      <c r="B433" t="s">
        <v>77</v>
      </c>
      <c r="C433" t="s">
        <v>16</v>
      </c>
      <c r="D433" t="s">
        <v>16</v>
      </c>
      <c r="E433" t="s">
        <v>17</v>
      </c>
      <c r="F433" t="s">
        <v>78</v>
      </c>
      <c r="G433">
        <v>41</v>
      </c>
      <c r="H433">
        <v>9.8000000000000007</v>
      </c>
      <c r="I433">
        <v>20</v>
      </c>
      <c r="J433" t="s">
        <v>19</v>
      </c>
      <c r="K433" t="s">
        <v>20</v>
      </c>
      <c r="L433" t="s">
        <v>21</v>
      </c>
      <c r="M433" t="s">
        <v>29</v>
      </c>
      <c r="N433" s="2">
        <v>22000</v>
      </c>
    </row>
    <row r="434" spans="1:14" x14ac:dyDescent="0.25">
      <c r="A434" t="s">
        <v>93</v>
      </c>
      <c r="B434" t="s">
        <v>107</v>
      </c>
      <c r="C434" t="s">
        <v>16</v>
      </c>
      <c r="D434" t="s">
        <v>32</v>
      </c>
      <c r="E434" t="s">
        <v>17</v>
      </c>
      <c r="F434" t="s">
        <v>39</v>
      </c>
      <c r="G434">
        <v>41</v>
      </c>
      <c r="H434">
        <v>12.3</v>
      </c>
      <c r="I434">
        <v>22</v>
      </c>
      <c r="J434" t="s">
        <v>34</v>
      </c>
      <c r="K434" t="s">
        <v>20</v>
      </c>
      <c r="L434" t="s">
        <v>21</v>
      </c>
      <c r="M434" t="s">
        <v>246</v>
      </c>
      <c r="N434" s="2">
        <v>9500</v>
      </c>
    </row>
    <row r="435" spans="1:14" x14ac:dyDescent="0.25">
      <c r="A435" t="s">
        <v>133</v>
      </c>
      <c r="B435" t="s">
        <v>174</v>
      </c>
      <c r="C435" t="s">
        <v>98</v>
      </c>
      <c r="D435" t="s">
        <v>26</v>
      </c>
      <c r="E435" t="s">
        <v>17</v>
      </c>
      <c r="F435" t="s">
        <v>33</v>
      </c>
      <c r="G435">
        <v>41</v>
      </c>
      <c r="H435">
        <v>14.6</v>
      </c>
      <c r="I435">
        <v>20</v>
      </c>
      <c r="J435" t="s">
        <v>19</v>
      </c>
      <c r="K435" t="s">
        <v>20</v>
      </c>
      <c r="L435" t="s">
        <v>35</v>
      </c>
      <c r="M435" t="s">
        <v>36</v>
      </c>
      <c r="N435" s="2">
        <v>14000</v>
      </c>
    </row>
    <row r="436" spans="1:14" x14ac:dyDescent="0.25">
      <c r="A436" t="s">
        <v>72</v>
      </c>
      <c r="B436" t="s">
        <v>73</v>
      </c>
      <c r="C436" t="s">
        <v>189</v>
      </c>
      <c r="D436" t="s">
        <v>32</v>
      </c>
      <c r="E436" t="s">
        <v>49</v>
      </c>
      <c r="F436" t="s">
        <v>39</v>
      </c>
      <c r="G436">
        <v>39</v>
      </c>
      <c r="H436">
        <v>10.199999999999999</v>
      </c>
      <c r="I436">
        <v>22</v>
      </c>
      <c r="J436" t="s">
        <v>44</v>
      </c>
      <c r="K436" t="s">
        <v>20</v>
      </c>
      <c r="L436" t="s">
        <v>45</v>
      </c>
      <c r="M436" t="s">
        <v>75</v>
      </c>
      <c r="N436" s="2">
        <v>26000</v>
      </c>
    </row>
    <row r="437" spans="1:14" x14ac:dyDescent="0.25">
      <c r="A437" t="s">
        <v>113</v>
      </c>
      <c r="B437" t="s">
        <v>114</v>
      </c>
      <c r="C437" t="s">
        <v>16</v>
      </c>
      <c r="D437" t="s">
        <v>32</v>
      </c>
      <c r="E437" t="s">
        <v>17</v>
      </c>
      <c r="F437" t="s">
        <v>33</v>
      </c>
      <c r="G437">
        <v>38</v>
      </c>
      <c r="H437">
        <v>12.5</v>
      </c>
      <c r="I437">
        <v>20</v>
      </c>
      <c r="J437" t="s">
        <v>44</v>
      </c>
      <c r="K437" t="s">
        <v>20</v>
      </c>
      <c r="L437" t="s">
        <v>35</v>
      </c>
      <c r="M437" t="s">
        <v>54</v>
      </c>
      <c r="N437" s="2">
        <v>7000</v>
      </c>
    </row>
    <row r="438" spans="1:14" x14ac:dyDescent="0.25">
      <c r="A438" t="s">
        <v>109</v>
      </c>
      <c r="B438" t="s">
        <v>110</v>
      </c>
      <c r="C438" t="s">
        <v>16</v>
      </c>
      <c r="D438" t="s">
        <v>247</v>
      </c>
      <c r="E438" t="s">
        <v>17</v>
      </c>
      <c r="F438" t="s">
        <v>18</v>
      </c>
      <c r="G438">
        <v>45</v>
      </c>
      <c r="H438">
        <v>15.4</v>
      </c>
      <c r="I438">
        <v>23</v>
      </c>
      <c r="J438" t="s">
        <v>19</v>
      </c>
      <c r="K438" t="s">
        <v>20</v>
      </c>
      <c r="L438" t="s">
        <v>45</v>
      </c>
      <c r="M438" t="s">
        <v>112</v>
      </c>
      <c r="N438" s="2">
        <v>10000</v>
      </c>
    </row>
    <row r="439" spans="1:14" x14ac:dyDescent="0.25">
      <c r="A439" t="s">
        <v>128</v>
      </c>
      <c r="B439" t="s">
        <v>129</v>
      </c>
      <c r="C439" t="s">
        <v>16</v>
      </c>
      <c r="D439" t="s">
        <v>16</v>
      </c>
      <c r="E439" t="s">
        <v>17</v>
      </c>
      <c r="F439" t="s">
        <v>33</v>
      </c>
      <c r="G439">
        <v>42</v>
      </c>
      <c r="H439">
        <v>10.88</v>
      </c>
      <c r="I439">
        <v>22</v>
      </c>
      <c r="J439" t="s">
        <v>28</v>
      </c>
      <c r="K439" t="s">
        <v>20</v>
      </c>
      <c r="L439" t="s">
        <v>21</v>
      </c>
      <c r="M439" t="s">
        <v>130</v>
      </c>
      <c r="N439" s="2">
        <v>11500</v>
      </c>
    </row>
    <row r="440" spans="1:14" x14ac:dyDescent="0.25">
      <c r="A440" t="s">
        <v>118</v>
      </c>
      <c r="B440" t="s">
        <v>119</v>
      </c>
      <c r="C440" t="s">
        <v>16</v>
      </c>
      <c r="D440" t="s">
        <v>32</v>
      </c>
      <c r="E440" t="s">
        <v>17</v>
      </c>
      <c r="F440" t="s">
        <v>33</v>
      </c>
      <c r="G440">
        <v>42.2</v>
      </c>
      <c r="H440">
        <v>12.6</v>
      </c>
      <c r="I440">
        <v>20</v>
      </c>
      <c r="J440" t="s">
        <v>28</v>
      </c>
      <c r="K440" t="s">
        <v>20</v>
      </c>
      <c r="L440" t="s">
        <v>21</v>
      </c>
      <c r="M440" t="s">
        <v>29</v>
      </c>
      <c r="N440" s="2">
        <v>7500</v>
      </c>
    </row>
    <row r="441" spans="1:14" x14ac:dyDescent="0.25">
      <c r="A441" t="s">
        <v>79</v>
      </c>
      <c r="B441" t="s">
        <v>80</v>
      </c>
      <c r="C441" t="s">
        <v>16</v>
      </c>
      <c r="D441" t="s">
        <v>16</v>
      </c>
      <c r="E441" t="s">
        <v>17</v>
      </c>
      <c r="F441" t="s">
        <v>81</v>
      </c>
      <c r="G441">
        <v>41.5</v>
      </c>
      <c r="H441">
        <v>11</v>
      </c>
      <c r="I441">
        <v>22</v>
      </c>
      <c r="J441" t="s">
        <v>44</v>
      </c>
      <c r="K441" t="s">
        <v>20</v>
      </c>
      <c r="L441" t="s">
        <v>21</v>
      </c>
      <c r="M441" t="s">
        <v>29</v>
      </c>
      <c r="N441" s="2">
        <v>20000</v>
      </c>
    </row>
    <row r="442" spans="1:14" x14ac:dyDescent="0.25">
      <c r="A442" t="s">
        <v>135</v>
      </c>
      <c r="B442" t="s">
        <v>136</v>
      </c>
      <c r="C442" t="s">
        <v>16</v>
      </c>
      <c r="D442" t="s">
        <v>16</v>
      </c>
      <c r="E442" t="s">
        <v>17</v>
      </c>
      <c r="F442" t="s">
        <v>137</v>
      </c>
      <c r="G442">
        <v>40</v>
      </c>
      <c r="H442">
        <v>8.3000000000000007</v>
      </c>
      <c r="I442">
        <v>20</v>
      </c>
      <c r="J442" t="s">
        <v>28</v>
      </c>
      <c r="K442" t="s">
        <v>20</v>
      </c>
      <c r="L442" t="s">
        <v>21</v>
      </c>
      <c r="M442" t="s">
        <v>50</v>
      </c>
      <c r="N442" s="2">
        <v>26000</v>
      </c>
    </row>
    <row r="443" spans="1:14" x14ac:dyDescent="0.25">
      <c r="A443" t="s">
        <v>76</v>
      </c>
      <c r="B443" t="s">
        <v>77</v>
      </c>
      <c r="C443" t="s">
        <v>16</v>
      </c>
      <c r="D443" t="s">
        <v>16</v>
      </c>
      <c r="E443" t="s">
        <v>17</v>
      </c>
      <c r="F443" t="s">
        <v>78</v>
      </c>
      <c r="G443">
        <v>41</v>
      </c>
      <c r="H443">
        <v>10.4</v>
      </c>
      <c r="I443">
        <v>20</v>
      </c>
      <c r="J443" t="s">
        <v>248</v>
      </c>
      <c r="K443" t="s">
        <v>20</v>
      </c>
      <c r="L443" t="s">
        <v>21</v>
      </c>
      <c r="M443" t="s">
        <v>29</v>
      </c>
      <c r="N443" s="2">
        <v>17000</v>
      </c>
    </row>
    <row r="444" spans="1:14" x14ac:dyDescent="0.25">
      <c r="A444" t="s">
        <v>93</v>
      </c>
      <c r="B444" t="s">
        <v>107</v>
      </c>
      <c r="C444" t="s">
        <v>16</v>
      </c>
      <c r="D444" t="s">
        <v>32</v>
      </c>
      <c r="E444" t="s">
        <v>17</v>
      </c>
      <c r="F444" t="s">
        <v>39</v>
      </c>
      <c r="G444">
        <v>42.3</v>
      </c>
      <c r="H444">
        <v>14.2</v>
      </c>
      <c r="I444">
        <v>22</v>
      </c>
      <c r="J444" t="s">
        <v>34</v>
      </c>
      <c r="K444" t="s">
        <v>20</v>
      </c>
      <c r="L444" t="s">
        <v>35</v>
      </c>
      <c r="M444" t="s">
        <v>142</v>
      </c>
      <c r="N444" s="2">
        <v>7800</v>
      </c>
    </row>
    <row r="445" spans="1:14" x14ac:dyDescent="0.25">
      <c r="A445" t="s">
        <v>244</v>
      </c>
      <c r="B445" t="s">
        <v>171</v>
      </c>
      <c r="C445" t="s">
        <v>189</v>
      </c>
      <c r="D445" t="s">
        <v>32</v>
      </c>
      <c r="E445" t="s">
        <v>49</v>
      </c>
      <c r="F445" t="s">
        <v>39</v>
      </c>
      <c r="G445">
        <v>37</v>
      </c>
      <c r="H445">
        <v>7.5</v>
      </c>
      <c r="I445">
        <v>18</v>
      </c>
      <c r="J445" t="s">
        <v>44</v>
      </c>
      <c r="K445" t="s">
        <v>20</v>
      </c>
      <c r="L445" t="s">
        <v>45</v>
      </c>
      <c r="M445" t="s">
        <v>50</v>
      </c>
      <c r="N445" s="2">
        <v>17500</v>
      </c>
    </row>
    <row r="446" spans="1:14" x14ac:dyDescent="0.25">
      <c r="A446" t="s">
        <v>79</v>
      </c>
      <c r="B446" t="s">
        <v>80</v>
      </c>
      <c r="C446" t="s">
        <v>16</v>
      </c>
      <c r="D446" t="s">
        <v>26</v>
      </c>
      <c r="E446" t="s">
        <v>17</v>
      </c>
      <c r="F446" t="s">
        <v>81</v>
      </c>
      <c r="G446">
        <v>42.5</v>
      </c>
      <c r="H446">
        <v>13.7</v>
      </c>
      <c r="I446">
        <v>22</v>
      </c>
      <c r="J446" t="s">
        <v>28</v>
      </c>
      <c r="K446" t="s">
        <v>20</v>
      </c>
      <c r="L446" t="s">
        <v>21</v>
      </c>
      <c r="M446" t="s">
        <v>75</v>
      </c>
      <c r="N446" s="2">
        <v>20000</v>
      </c>
    </row>
    <row r="447" spans="1:14" x14ac:dyDescent="0.25">
      <c r="A447" t="s">
        <v>128</v>
      </c>
      <c r="B447" t="s">
        <v>129</v>
      </c>
      <c r="C447" t="s">
        <v>16</v>
      </c>
      <c r="D447" t="s">
        <v>16</v>
      </c>
      <c r="E447" t="s">
        <v>17</v>
      </c>
      <c r="F447" t="s">
        <v>33</v>
      </c>
      <c r="G447">
        <v>41</v>
      </c>
      <c r="H447">
        <v>10.88</v>
      </c>
      <c r="I447">
        <v>26</v>
      </c>
      <c r="J447" t="s">
        <v>19</v>
      </c>
      <c r="K447" t="s">
        <v>20</v>
      </c>
      <c r="L447" t="s">
        <v>35</v>
      </c>
      <c r="M447" t="s">
        <v>142</v>
      </c>
      <c r="N447" s="2">
        <v>12000</v>
      </c>
    </row>
    <row r="448" spans="1:14" x14ac:dyDescent="0.25">
      <c r="A448" t="s">
        <v>113</v>
      </c>
      <c r="B448" t="s">
        <v>114</v>
      </c>
      <c r="C448" t="s">
        <v>16</v>
      </c>
      <c r="D448" t="s">
        <v>32</v>
      </c>
      <c r="E448" t="s">
        <v>17</v>
      </c>
      <c r="F448" t="s">
        <v>33</v>
      </c>
      <c r="G448">
        <v>42</v>
      </c>
      <c r="H448">
        <v>12.75</v>
      </c>
      <c r="I448">
        <v>22</v>
      </c>
      <c r="J448" t="s">
        <v>44</v>
      </c>
      <c r="K448" t="s">
        <v>20</v>
      </c>
      <c r="L448" t="s">
        <v>35</v>
      </c>
      <c r="M448" t="s">
        <v>54</v>
      </c>
      <c r="N448" s="2">
        <v>7500</v>
      </c>
    </row>
    <row r="449" spans="1:14" x14ac:dyDescent="0.25">
      <c r="A449" t="s">
        <v>109</v>
      </c>
      <c r="B449" t="s">
        <v>110</v>
      </c>
      <c r="C449" t="s">
        <v>16</v>
      </c>
      <c r="D449" t="s">
        <v>26</v>
      </c>
      <c r="E449" t="s">
        <v>17</v>
      </c>
      <c r="F449" t="s">
        <v>18</v>
      </c>
      <c r="G449">
        <v>45</v>
      </c>
      <c r="H449">
        <v>15.5</v>
      </c>
      <c r="I449">
        <v>23</v>
      </c>
      <c r="J449" t="s">
        <v>19</v>
      </c>
      <c r="K449" t="s">
        <v>20</v>
      </c>
      <c r="L449" t="s">
        <v>21</v>
      </c>
      <c r="M449" t="s">
        <v>112</v>
      </c>
      <c r="N449" s="2">
        <v>14000</v>
      </c>
    </row>
    <row r="450" spans="1:14" x14ac:dyDescent="0.25">
      <c r="A450" t="s">
        <v>133</v>
      </c>
      <c r="B450" t="s">
        <v>134</v>
      </c>
      <c r="C450" t="s">
        <v>25</v>
      </c>
      <c r="D450" t="s">
        <v>26</v>
      </c>
      <c r="E450" t="s">
        <v>17</v>
      </c>
      <c r="F450" t="s">
        <v>78</v>
      </c>
      <c r="G450">
        <v>45</v>
      </c>
      <c r="H450">
        <v>10.95</v>
      </c>
      <c r="I450">
        <v>22</v>
      </c>
      <c r="J450" t="s">
        <v>28</v>
      </c>
      <c r="K450" t="s">
        <v>20</v>
      </c>
      <c r="L450" t="s">
        <v>45</v>
      </c>
      <c r="M450" t="s">
        <v>36</v>
      </c>
      <c r="N450" s="2">
        <v>9500</v>
      </c>
    </row>
    <row r="451" spans="1:14" x14ac:dyDescent="0.25">
      <c r="A451" t="s">
        <v>72</v>
      </c>
      <c r="B451" t="s">
        <v>73</v>
      </c>
      <c r="C451" t="s">
        <v>74</v>
      </c>
      <c r="D451" t="s">
        <v>32</v>
      </c>
      <c r="E451" t="s">
        <v>49</v>
      </c>
      <c r="F451" t="s">
        <v>39</v>
      </c>
      <c r="G451">
        <v>38</v>
      </c>
      <c r="H451">
        <v>8.25</v>
      </c>
      <c r="I451">
        <v>20</v>
      </c>
      <c r="J451" t="s">
        <v>44</v>
      </c>
      <c r="K451" t="s">
        <v>20</v>
      </c>
      <c r="L451" t="s">
        <v>45</v>
      </c>
      <c r="M451" t="s">
        <v>75</v>
      </c>
      <c r="N451" s="2">
        <v>22000</v>
      </c>
    </row>
    <row r="452" spans="1:14" x14ac:dyDescent="0.25">
      <c r="A452" t="s">
        <v>116</v>
      </c>
      <c r="B452" t="s">
        <v>249</v>
      </c>
      <c r="C452" t="s">
        <v>16</v>
      </c>
      <c r="D452" t="s">
        <v>16</v>
      </c>
      <c r="E452" t="s">
        <v>17</v>
      </c>
      <c r="F452" t="s">
        <v>33</v>
      </c>
      <c r="G452">
        <v>42</v>
      </c>
      <c r="H452">
        <v>9.4</v>
      </c>
      <c r="I452">
        <v>22</v>
      </c>
      <c r="J452" t="s">
        <v>28</v>
      </c>
      <c r="K452" t="s">
        <v>20</v>
      </c>
      <c r="L452" t="s">
        <v>21</v>
      </c>
      <c r="M452" t="s">
        <v>149</v>
      </c>
      <c r="N452" s="2">
        <v>10500</v>
      </c>
    </row>
    <row r="453" spans="1:14" x14ac:dyDescent="0.25">
      <c r="A453" t="s">
        <v>135</v>
      </c>
      <c r="B453" t="s">
        <v>136</v>
      </c>
      <c r="C453" t="s">
        <v>16</v>
      </c>
      <c r="D453" t="s">
        <v>16</v>
      </c>
      <c r="E453" t="s">
        <v>17</v>
      </c>
      <c r="F453" t="s">
        <v>137</v>
      </c>
      <c r="G453">
        <v>40.5</v>
      </c>
      <c r="H453">
        <v>8.3000000000000007</v>
      </c>
      <c r="I453">
        <v>22</v>
      </c>
      <c r="J453" t="s">
        <v>28</v>
      </c>
      <c r="K453" t="s">
        <v>20</v>
      </c>
      <c r="L453" t="s">
        <v>21</v>
      </c>
      <c r="M453" t="s">
        <v>50</v>
      </c>
      <c r="N453" s="2">
        <v>29000</v>
      </c>
    </row>
    <row r="454" spans="1:14" x14ac:dyDescent="0.25">
      <c r="A454" t="s">
        <v>76</v>
      </c>
      <c r="B454" t="s">
        <v>77</v>
      </c>
      <c r="C454" t="s">
        <v>168</v>
      </c>
      <c r="D454" t="s">
        <v>32</v>
      </c>
      <c r="E454" t="s">
        <v>17</v>
      </c>
      <c r="F454" t="s">
        <v>78</v>
      </c>
      <c r="G454">
        <v>37</v>
      </c>
      <c r="H454">
        <v>9.8000000000000007</v>
      </c>
      <c r="I454">
        <v>20</v>
      </c>
      <c r="J454" t="s">
        <v>19</v>
      </c>
      <c r="K454" t="s">
        <v>20</v>
      </c>
      <c r="L454" t="s">
        <v>21</v>
      </c>
      <c r="M454" t="s">
        <v>29</v>
      </c>
      <c r="N454" s="2">
        <v>38500</v>
      </c>
    </row>
    <row r="455" spans="1:14" x14ac:dyDescent="0.25">
      <c r="A455" t="s">
        <v>133</v>
      </c>
      <c r="B455" t="s">
        <v>134</v>
      </c>
      <c r="C455" t="s">
        <v>25</v>
      </c>
      <c r="D455" t="s">
        <v>26</v>
      </c>
      <c r="E455" t="s">
        <v>17</v>
      </c>
      <c r="F455" t="s">
        <v>78</v>
      </c>
      <c r="G455">
        <v>42</v>
      </c>
      <c r="H455">
        <v>9.85</v>
      </c>
      <c r="I455">
        <v>22</v>
      </c>
      <c r="J455" t="s">
        <v>28</v>
      </c>
      <c r="K455" t="s">
        <v>20</v>
      </c>
      <c r="L455" t="s">
        <v>45</v>
      </c>
      <c r="M455" t="s">
        <v>36</v>
      </c>
      <c r="N455" s="2">
        <v>7500</v>
      </c>
    </row>
    <row r="456" spans="1:14" x14ac:dyDescent="0.25">
      <c r="A456" t="s">
        <v>72</v>
      </c>
      <c r="B456" t="s">
        <v>73</v>
      </c>
      <c r="C456" t="s">
        <v>168</v>
      </c>
      <c r="D456" t="s">
        <v>32</v>
      </c>
      <c r="E456" t="s">
        <v>17</v>
      </c>
      <c r="F456" t="s">
        <v>39</v>
      </c>
      <c r="G456">
        <v>39</v>
      </c>
      <c r="H456">
        <v>10.199999999999999</v>
      </c>
      <c r="I456">
        <v>20</v>
      </c>
      <c r="J456" t="s">
        <v>44</v>
      </c>
      <c r="K456" t="s">
        <v>20</v>
      </c>
      <c r="L456" t="s">
        <v>45</v>
      </c>
      <c r="M456" t="s">
        <v>173</v>
      </c>
      <c r="N456" s="2">
        <v>25000</v>
      </c>
    </row>
    <row r="457" spans="1:14" x14ac:dyDescent="0.25">
      <c r="A457" t="s">
        <v>93</v>
      </c>
      <c r="B457" t="s">
        <v>94</v>
      </c>
      <c r="C457" t="s">
        <v>16</v>
      </c>
      <c r="D457" t="s">
        <v>32</v>
      </c>
      <c r="E457" t="s">
        <v>17</v>
      </c>
      <c r="F457" t="s">
        <v>95</v>
      </c>
      <c r="G457">
        <v>41</v>
      </c>
      <c r="H457">
        <v>15.3</v>
      </c>
      <c r="I457">
        <v>20</v>
      </c>
      <c r="J457" t="s">
        <v>19</v>
      </c>
      <c r="K457" t="s">
        <v>20</v>
      </c>
      <c r="L457" t="s">
        <v>21</v>
      </c>
      <c r="M457" t="s">
        <v>36</v>
      </c>
      <c r="N457" s="2">
        <v>5900</v>
      </c>
    </row>
    <row r="458" spans="1:14" x14ac:dyDescent="0.25">
      <c r="A458" t="s">
        <v>109</v>
      </c>
      <c r="B458" t="s">
        <v>110</v>
      </c>
      <c r="C458" t="s">
        <v>16</v>
      </c>
      <c r="D458" t="s">
        <v>205</v>
      </c>
      <c r="E458" t="s">
        <v>17</v>
      </c>
      <c r="F458" t="s">
        <v>18</v>
      </c>
      <c r="G458">
        <v>45</v>
      </c>
      <c r="H458">
        <v>15.5</v>
      </c>
      <c r="I458">
        <v>23</v>
      </c>
      <c r="J458" t="s">
        <v>19</v>
      </c>
      <c r="K458" t="s">
        <v>20</v>
      </c>
      <c r="L458" t="s">
        <v>21</v>
      </c>
      <c r="M458" t="s">
        <v>112</v>
      </c>
      <c r="N458" s="2">
        <v>12000</v>
      </c>
    </row>
    <row r="459" spans="1:14" x14ac:dyDescent="0.25">
      <c r="A459" t="s">
        <v>113</v>
      </c>
      <c r="B459" t="s">
        <v>114</v>
      </c>
      <c r="C459" t="s">
        <v>16</v>
      </c>
      <c r="D459" t="s">
        <v>32</v>
      </c>
      <c r="E459" t="s">
        <v>17</v>
      </c>
      <c r="F459" t="s">
        <v>33</v>
      </c>
      <c r="G459">
        <v>38</v>
      </c>
      <c r="H459">
        <v>12.45</v>
      </c>
      <c r="I459">
        <v>20</v>
      </c>
      <c r="J459" t="s">
        <v>44</v>
      </c>
      <c r="K459" t="s">
        <v>20</v>
      </c>
      <c r="L459" t="s">
        <v>35</v>
      </c>
      <c r="M459" t="s">
        <v>54</v>
      </c>
      <c r="N459" s="2">
        <v>6200</v>
      </c>
    </row>
    <row r="460" spans="1:14" x14ac:dyDescent="0.25">
      <c r="A460" t="s">
        <v>126</v>
      </c>
      <c r="B460" t="s">
        <v>127</v>
      </c>
      <c r="C460" t="s">
        <v>16</v>
      </c>
      <c r="D460" t="s">
        <v>26</v>
      </c>
      <c r="E460" t="s">
        <v>17</v>
      </c>
      <c r="F460" t="s">
        <v>78</v>
      </c>
      <c r="G460">
        <v>42</v>
      </c>
      <c r="H460">
        <v>13.07</v>
      </c>
      <c r="I460">
        <v>20</v>
      </c>
      <c r="J460" t="s">
        <v>19</v>
      </c>
      <c r="K460" t="s">
        <v>20</v>
      </c>
      <c r="L460" t="s">
        <v>35</v>
      </c>
      <c r="M460" t="s">
        <v>22</v>
      </c>
      <c r="N460" s="2">
        <v>6800</v>
      </c>
    </row>
    <row r="461" spans="1:14" x14ac:dyDescent="0.25">
      <c r="A461" t="s">
        <v>79</v>
      </c>
      <c r="B461" t="s">
        <v>182</v>
      </c>
      <c r="C461" t="s">
        <v>172</v>
      </c>
      <c r="D461" t="s">
        <v>32</v>
      </c>
      <c r="E461" t="s">
        <v>49</v>
      </c>
      <c r="F461" t="s">
        <v>39</v>
      </c>
      <c r="G461">
        <v>40</v>
      </c>
      <c r="H461">
        <v>6.79</v>
      </c>
      <c r="I461">
        <v>20</v>
      </c>
      <c r="J461" t="s">
        <v>44</v>
      </c>
      <c r="K461" t="s">
        <v>20</v>
      </c>
      <c r="L461" t="s">
        <v>45</v>
      </c>
      <c r="M461" t="s">
        <v>173</v>
      </c>
      <c r="N461" s="2">
        <v>28000</v>
      </c>
    </row>
    <row r="462" spans="1:14" x14ac:dyDescent="0.25">
      <c r="A462" t="s">
        <v>86</v>
      </c>
      <c r="B462" t="s">
        <v>150</v>
      </c>
      <c r="C462" t="s">
        <v>25</v>
      </c>
      <c r="D462" t="s">
        <v>32</v>
      </c>
      <c r="E462" t="s">
        <v>17</v>
      </c>
      <c r="F462" t="s">
        <v>18</v>
      </c>
      <c r="G462">
        <v>44</v>
      </c>
      <c r="H462">
        <v>16.149999999999999</v>
      </c>
      <c r="I462">
        <v>24</v>
      </c>
      <c r="J462" t="s">
        <v>19</v>
      </c>
      <c r="K462" t="s">
        <v>20</v>
      </c>
      <c r="L462" t="s">
        <v>45</v>
      </c>
      <c r="M462" t="s">
        <v>145</v>
      </c>
      <c r="N462" s="2">
        <v>9500</v>
      </c>
    </row>
    <row r="463" spans="1:14" x14ac:dyDescent="0.25">
      <c r="A463" t="s">
        <v>89</v>
      </c>
      <c r="B463" t="s">
        <v>90</v>
      </c>
      <c r="C463" t="s">
        <v>16</v>
      </c>
      <c r="D463" t="s">
        <v>205</v>
      </c>
      <c r="E463" t="s">
        <v>17</v>
      </c>
      <c r="F463" t="s">
        <v>53</v>
      </c>
      <c r="G463">
        <v>41</v>
      </c>
      <c r="H463">
        <v>11.9</v>
      </c>
      <c r="I463">
        <v>22</v>
      </c>
      <c r="J463" t="s">
        <v>19</v>
      </c>
      <c r="K463" t="s">
        <v>20</v>
      </c>
      <c r="L463" t="s">
        <v>45</v>
      </c>
      <c r="M463" t="s">
        <v>40</v>
      </c>
      <c r="N463" s="2">
        <v>3500</v>
      </c>
    </row>
    <row r="464" spans="1:14" x14ac:dyDescent="0.25">
      <c r="A464" t="s">
        <v>86</v>
      </c>
      <c r="B464" t="s">
        <v>143</v>
      </c>
      <c r="C464" t="s">
        <v>16</v>
      </c>
      <c r="D464" t="s">
        <v>32</v>
      </c>
      <c r="E464" t="s">
        <v>17</v>
      </c>
      <c r="F464" t="s">
        <v>18</v>
      </c>
      <c r="G464">
        <v>42</v>
      </c>
      <c r="H464">
        <v>14.5</v>
      </c>
      <c r="I464">
        <v>22</v>
      </c>
      <c r="J464" t="s">
        <v>19</v>
      </c>
      <c r="K464" t="s">
        <v>20</v>
      </c>
      <c r="L464" t="s">
        <v>21</v>
      </c>
      <c r="M464" t="s">
        <v>54</v>
      </c>
      <c r="N464" s="2">
        <v>7200</v>
      </c>
    </row>
    <row r="465" spans="1:14" x14ac:dyDescent="0.25">
      <c r="A465" t="s">
        <v>93</v>
      </c>
      <c r="B465" t="s">
        <v>107</v>
      </c>
      <c r="C465" t="s">
        <v>16</v>
      </c>
      <c r="D465" t="s">
        <v>32</v>
      </c>
      <c r="E465" t="s">
        <v>17</v>
      </c>
      <c r="F465" t="s">
        <v>39</v>
      </c>
      <c r="G465">
        <v>41</v>
      </c>
      <c r="H465">
        <v>12.3</v>
      </c>
      <c r="I465">
        <v>22</v>
      </c>
      <c r="J465" t="s">
        <v>28</v>
      </c>
      <c r="K465" t="s">
        <v>20</v>
      </c>
      <c r="L465" t="s">
        <v>45</v>
      </c>
      <c r="M465" t="s">
        <v>29</v>
      </c>
      <c r="N465" s="2">
        <v>7900</v>
      </c>
    </row>
    <row r="466" spans="1:14" x14ac:dyDescent="0.25">
      <c r="A466" t="s">
        <v>135</v>
      </c>
      <c r="B466" t="s">
        <v>136</v>
      </c>
      <c r="C466" t="s">
        <v>16</v>
      </c>
      <c r="D466" t="s">
        <v>16</v>
      </c>
      <c r="E466" t="s">
        <v>17</v>
      </c>
      <c r="F466" t="s">
        <v>137</v>
      </c>
      <c r="G466">
        <v>40</v>
      </c>
      <c r="H466">
        <v>8.3000000000000007</v>
      </c>
      <c r="I466">
        <v>22</v>
      </c>
      <c r="J466" t="s">
        <v>28</v>
      </c>
      <c r="K466" t="s">
        <v>20</v>
      </c>
      <c r="L466" t="s">
        <v>21</v>
      </c>
      <c r="M466" t="s">
        <v>50</v>
      </c>
      <c r="N466" s="2">
        <v>36000</v>
      </c>
    </row>
    <row r="467" spans="1:14" x14ac:dyDescent="0.25">
      <c r="A467" t="s">
        <v>76</v>
      </c>
      <c r="B467" t="s">
        <v>77</v>
      </c>
      <c r="C467" t="s">
        <v>16</v>
      </c>
      <c r="D467" t="s">
        <v>16</v>
      </c>
      <c r="E467" t="s">
        <v>17</v>
      </c>
      <c r="F467" t="s">
        <v>78</v>
      </c>
      <c r="G467">
        <v>41</v>
      </c>
      <c r="H467">
        <v>10.4</v>
      </c>
      <c r="I467">
        <v>20</v>
      </c>
      <c r="J467" t="s">
        <v>28</v>
      </c>
      <c r="K467" t="s">
        <v>20</v>
      </c>
      <c r="L467" t="s">
        <v>21</v>
      </c>
      <c r="M467" t="s">
        <v>29</v>
      </c>
      <c r="N467" s="2">
        <v>28500</v>
      </c>
    </row>
    <row r="468" spans="1:14" x14ac:dyDescent="0.25">
      <c r="A468" t="s">
        <v>109</v>
      </c>
      <c r="B468" t="s">
        <v>110</v>
      </c>
      <c r="C468" t="s">
        <v>16</v>
      </c>
      <c r="D468" t="s">
        <v>111</v>
      </c>
      <c r="E468" t="s">
        <v>17</v>
      </c>
      <c r="F468" t="s">
        <v>18</v>
      </c>
      <c r="G468">
        <v>45</v>
      </c>
      <c r="H468">
        <v>15.4</v>
      </c>
      <c r="I468">
        <v>23</v>
      </c>
      <c r="J468" t="s">
        <v>19</v>
      </c>
      <c r="K468" t="s">
        <v>20</v>
      </c>
      <c r="L468" t="s">
        <v>21</v>
      </c>
      <c r="M468" t="s">
        <v>112</v>
      </c>
      <c r="N468" s="2">
        <v>15000</v>
      </c>
    </row>
    <row r="469" spans="1:14" x14ac:dyDescent="0.25">
      <c r="A469" t="s">
        <v>72</v>
      </c>
      <c r="B469" t="s">
        <v>73</v>
      </c>
      <c r="C469" t="s">
        <v>235</v>
      </c>
      <c r="D469" t="s">
        <v>32</v>
      </c>
      <c r="E469" t="s">
        <v>17</v>
      </c>
      <c r="F469" t="s">
        <v>39</v>
      </c>
      <c r="G469">
        <v>39</v>
      </c>
      <c r="H469">
        <v>10.199999999999999</v>
      </c>
      <c r="I469">
        <v>20</v>
      </c>
      <c r="J469" t="s">
        <v>44</v>
      </c>
      <c r="K469" t="s">
        <v>20</v>
      </c>
      <c r="L469" t="s">
        <v>21</v>
      </c>
      <c r="M469" t="s">
        <v>58</v>
      </c>
      <c r="N469" s="2">
        <v>26000</v>
      </c>
    </row>
    <row r="470" spans="1:14" x14ac:dyDescent="0.25">
      <c r="A470" t="s">
        <v>113</v>
      </c>
      <c r="B470" t="s">
        <v>138</v>
      </c>
      <c r="C470" t="s">
        <v>16</v>
      </c>
      <c r="D470" t="s">
        <v>32</v>
      </c>
      <c r="E470" t="s">
        <v>17</v>
      </c>
      <c r="F470" t="s">
        <v>78</v>
      </c>
      <c r="G470">
        <v>42</v>
      </c>
      <c r="H470">
        <v>13.5</v>
      </c>
      <c r="I470">
        <v>22</v>
      </c>
      <c r="J470" t="s">
        <v>28</v>
      </c>
      <c r="K470" t="s">
        <v>20</v>
      </c>
      <c r="L470" t="s">
        <v>35</v>
      </c>
      <c r="M470" t="s">
        <v>54</v>
      </c>
      <c r="N470" s="2">
        <v>6500</v>
      </c>
    </row>
    <row r="471" spans="1:14" x14ac:dyDescent="0.25">
      <c r="A471" t="s">
        <v>128</v>
      </c>
      <c r="B471" t="s">
        <v>129</v>
      </c>
      <c r="C471" t="s">
        <v>16</v>
      </c>
      <c r="D471" t="s">
        <v>16</v>
      </c>
      <c r="E471" t="s">
        <v>17</v>
      </c>
      <c r="F471" t="s">
        <v>33</v>
      </c>
      <c r="G471">
        <v>38</v>
      </c>
      <c r="H471">
        <v>10.88</v>
      </c>
      <c r="I471">
        <v>20</v>
      </c>
      <c r="J471" t="s">
        <v>28</v>
      </c>
      <c r="K471" t="s">
        <v>20</v>
      </c>
      <c r="L471" t="s">
        <v>21</v>
      </c>
      <c r="M471" t="s">
        <v>130</v>
      </c>
      <c r="N471" s="2">
        <v>12000</v>
      </c>
    </row>
    <row r="472" spans="1:14" x14ac:dyDescent="0.25">
      <c r="A472" t="s">
        <v>133</v>
      </c>
      <c r="B472" t="s">
        <v>174</v>
      </c>
      <c r="C472" t="s">
        <v>25</v>
      </c>
      <c r="D472" t="s">
        <v>26</v>
      </c>
      <c r="E472" t="s">
        <v>17</v>
      </c>
      <c r="F472" t="s">
        <v>33</v>
      </c>
      <c r="G472">
        <v>44</v>
      </c>
      <c r="H472">
        <v>14.5</v>
      </c>
      <c r="I472">
        <v>24</v>
      </c>
      <c r="J472" t="s">
        <v>19</v>
      </c>
      <c r="K472" t="s">
        <v>20</v>
      </c>
      <c r="L472" t="s">
        <v>35</v>
      </c>
      <c r="M472" t="s">
        <v>145</v>
      </c>
      <c r="N472" s="2">
        <v>18500</v>
      </c>
    </row>
    <row r="473" spans="1:14" x14ac:dyDescent="0.25">
      <c r="A473" t="s">
        <v>120</v>
      </c>
      <c r="B473" t="s">
        <v>121</v>
      </c>
      <c r="C473" t="s">
        <v>16</v>
      </c>
      <c r="D473" t="s">
        <v>32</v>
      </c>
      <c r="E473" t="s">
        <v>17</v>
      </c>
      <c r="F473" t="s">
        <v>39</v>
      </c>
      <c r="G473">
        <v>43</v>
      </c>
      <c r="H473">
        <v>11.48</v>
      </c>
      <c r="I473">
        <v>23</v>
      </c>
      <c r="J473" t="s">
        <v>19</v>
      </c>
      <c r="K473" t="s">
        <v>20</v>
      </c>
      <c r="L473" t="s">
        <v>45</v>
      </c>
      <c r="M473" t="s">
        <v>122</v>
      </c>
      <c r="N473" s="2">
        <v>9500</v>
      </c>
    </row>
    <row r="474" spans="1:14" x14ac:dyDescent="0.25">
      <c r="A474" t="s">
        <v>99</v>
      </c>
      <c r="B474" t="s">
        <v>231</v>
      </c>
      <c r="C474" t="s">
        <v>16</v>
      </c>
      <c r="D474" t="s">
        <v>32</v>
      </c>
      <c r="E474" t="s">
        <v>17</v>
      </c>
      <c r="F474" t="s">
        <v>78</v>
      </c>
      <c r="G474">
        <v>39</v>
      </c>
      <c r="H474">
        <v>9.9</v>
      </c>
      <c r="I474">
        <v>19</v>
      </c>
      <c r="J474" t="s">
        <v>44</v>
      </c>
      <c r="K474" t="s">
        <v>20</v>
      </c>
      <c r="L474" t="s">
        <v>21</v>
      </c>
      <c r="M474" t="s">
        <v>36</v>
      </c>
      <c r="N474" s="2">
        <v>3500</v>
      </c>
    </row>
    <row r="475" spans="1:14" x14ac:dyDescent="0.25">
      <c r="A475" t="s">
        <v>14</v>
      </c>
      <c r="B475" t="s">
        <v>91</v>
      </c>
      <c r="C475" t="s">
        <v>16</v>
      </c>
      <c r="D475" t="s">
        <v>16</v>
      </c>
      <c r="E475" t="s">
        <v>17</v>
      </c>
      <c r="F475" t="s">
        <v>33</v>
      </c>
      <c r="G475">
        <v>40</v>
      </c>
      <c r="H475">
        <v>12.5</v>
      </c>
      <c r="I475">
        <v>20</v>
      </c>
      <c r="J475" t="s">
        <v>19</v>
      </c>
      <c r="K475" t="s">
        <v>20</v>
      </c>
      <c r="L475" t="s">
        <v>185</v>
      </c>
      <c r="M475" t="s">
        <v>40</v>
      </c>
      <c r="N475" s="2">
        <v>9900</v>
      </c>
    </row>
    <row r="476" spans="1:14" x14ac:dyDescent="0.25">
      <c r="A476" t="s">
        <v>23</v>
      </c>
      <c r="B476" t="s">
        <v>82</v>
      </c>
      <c r="C476" t="s">
        <v>16</v>
      </c>
      <c r="D476" t="s">
        <v>16</v>
      </c>
      <c r="E476" t="s">
        <v>49</v>
      </c>
      <c r="F476" t="s">
        <v>78</v>
      </c>
      <c r="G476">
        <v>42</v>
      </c>
      <c r="H476">
        <v>14.3</v>
      </c>
      <c r="I476">
        <v>20</v>
      </c>
      <c r="J476" t="s">
        <v>19</v>
      </c>
      <c r="K476" t="s">
        <v>106</v>
      </c>
      <c r="L476" t="s">
        <v>35</v>
      </c>
      <c r="M476" t="s">
        <v>22</v>
      </c>
      <c r="N476" s="2">
        <v>4300</v>
      </c>
    </row>
    <row r="477" spans="1:14" x14ac:dyDescent="0.25">
      <c r="A477" t="s">
        <v>93</v>
      </c>
      <c r="B477" t="s">
        <v>107</v>
      </c>
      <c r="C477" t="s">
        <v>16</v>
      </c>
      <c r="D477" t="s">
        <v>32</v>
      </c>
      <c r="E477" t="s">
        <v>17</v>
      </c>
      <c r="F477" t="s">
        <v>39</v>
      </c>
      <c r="G477">
        <v>40.4</v>
      </c>
      <c r="H477">
        <v>12.3</v>
      </c>
      <c r="I477">
        <v>20</v>
      </c>
      <c r="J477" t="s">
        <v>34</v>
      </c>
      <c r="K477" t="s">
        <v>20</v>
      </c>
      <c r="L477" t="s">
        <v>45</v>
      </c>
      <c r="M477" t="s">
        <v>29</v>
      </c>
      <c r="N477" s="2">
        <v>7500</v>
      </c>
    </row>
    <row r="478" spans="1:14" x14ac:dyDescent="0.25">
      <c r="A478" t="s">
        <v>133</v>
      </c>
      <c r="B478" t="s">
        <v>174</v>
      </c>
      <c r="C478" t="s">
        <v>98</v>
      </c>
      <c r="D478" t="s">
        <v>26</v>
      </c>
      <c r="E478" t="s">
        <v>17</v>
      </c>
      <c r="F478" t="s">
        <v>33</v>
      </c>
      <c r="G478">
        <v>44</v>
      </c>
      <c r="H478">
        <v>14.5</v>
      </c>
      <c r="I478">
        <v>24</v>
      </c>
      <c r="J478" t="s">
        <v>19</v>
      </c>
      <c r="K478" t="s">
        <v>20</v>
      </c>
      <c r="L478" t="s">
        <v>35</v>
      </c>
      <c r="M478" t="s">
        <v>145</v>
      </c>
      <c r="N478" s="2">
        <v>15500</v>
      </c>
    </row>
    <row r="479" spans="1:14" x14ac:dyDescent="0.25">
      <c r="A479" t="s">
        <v>86</v>
      </c>
      <c r="B479" t="s">
        <v>143</v>
      </c>
      <c r="C479" t="s">
        <v>16</v>
      </c>
      <c r="D479" t="s">
        <v>32</v>
      </c>
      <c r="E479" t="s">
        <v>49</v>
      </c>
      <c r="F479" t="s">
        <v>18</v>
      </c>
      <c r="G479">
        <v>44</v>
      </c>
      <c r="H479">
        <v>13.05</v>
      </c>
      <c r="I479">
        <v>24</v>
      </c>
      <c r="J479" t="s">
        <v>19</v>
      </c>
      <c r="K479" t="s">
        <v>20</v>
      </c>
      <c r="L479" t="s">
        <v>45</v>
      </c>
      <c r="M479" t="s">
        <v>88</v>
      </c>
      <c r="N479" s="2">
        <v>5200</v>
      </c>
    </row>
    <row r="480" spans="1:14" x14ac:dyDescent="0.25">
      <c r="A480" t="s">
        <v>135</v>
      </c>
      <c r="B480" t="s">
        <v>187</v>
      </c>
      <c r="C480" t="s">
        <v>172</v>
      </c>
      <c r="D480" t="s">
        <v>32</v>
      </c>
      <c r="E480" t="s">
        <v>17</v>
      </c>
      <c r="F480" t="s">
        <v>39</v>
      </c>
      <c r="G480">
        <v>37</v>
      </c>
      <c r="H480">
        <v>8.5</v>
      </c>
      <c r="I480">
        <v>18</v>
      </c>
      <c r="J480" t="s">
        <v>34</v>
      </c>
      <c r="K480" t="s">
        <v>20</v>
      </c>
      <c r="L480" t="s">
        <v>21</v>
      </c>
      <c r="M480" t="s">
        <v>50</v>
      </c>
      <c r="N480" s="2">
        <v>25000</v>
      </c>
    </row>
    <row r="481" spans="1:14" x14ac:dyDescent="0.25">
      <c r="A481" t="s">
        <v>76</v>
      </c>
      <c r="B481" t="s">
        <v>77</v>
      </c>
      <c r="C481" t="s">
        <v>16</v>
      </c>
      <c r="D481" t="s">
        <v>16</v>
      </c>
      <c r="E481" t="s">
        <v>17</v>
      </c>
      <c r="F481" t="s">
        <v>78</v>
      </c>
      <c r="G481">
        <v>41</v>
      </c>
      <c r="H481">
        <v>10.4</v>
      </c>
      <c r="I481">
        <v>20</v>
      </c>
      <c r="J481" t="s">
        <v>28</v>
      </c>
      <c r="K481" t="s">
        <v>20</v>
      </c>
      <c r="L481" t="s">
        <v>21</v>
      </c>
      <c r="M481" t="s">
        <v>29</v>
      </c>
      <c r="N481" s="2">
        <v>19500</v>
      </c>
    </row>
    <row r="482" spans="1:14" x14ac:dyDescent="0.25">
      <c r="A482" t="s">
        <v>79</v>
      </c>
      <c r="B482" t="s">
        <v>182</v>
      </c>
      <c r="C482" t="s">
        <v>168</v>
      </c>
      <c r="D482" t="s">
        <v>32</v>
      </c>
      <c r="E482" t="s">
        <v>17</v>
      </c>
      <c r="F482" t="s">
        <v>39</v>
      </c>
      <c r="G482">
        <v>40</v>
      </c>
      <c r="H482">
        <v>6.79</v>
      </c>
      <c r="I482">
        <v>20</v>
      </c>
      <c r="J482" t="s">
        <v>34</v>
      </c>
      <c r="K482" t="s">
        <v>20</v>
      </c>
      <c r="L482" t="s">
        <v>45</v>
      </c>
      <c r="M482" t="s">
        <v>75</v>
      </c>
      <c r="N482" s="2">
        <v>15000</v>
      </c>
    </row>
    <row r="483" spans="1:14" x14ac:dyDescent="0.25">
      <c r="A483" t="s">
        <v>109</v>
      </c>
      <c r="B483" t="s">
        <v>110</v>
      </c>
      <c r="C483" t="s">
        <v>25</v>
      </c>
      <c r="D483" t="s">
        <v>140</v>
      </c>
      <c r="E483" t="s">
        <v>17</v>
      </c>
      <c r="F483" t="s">
        <v>18</v>
      </c>
      <c r="G483">
        <v>45</v>
      </c>
      <c r="H483">
        <v>15.4</v>
      </c>
      <c r="I483">
        <v>23</v>
      </c>
      <c r="J483" t="s">
        <v>19</v>
      </c>
      <c r="K483" t="s">
        <v>20</v>
      </c>
      <c r="L483" t="s">
        <v>45</v>
      </c>
      <c r="M483" t="s">
        <v>112</v>
      </c>
      <c r="N483" s="2">
        <v>14000</v>
      </c>
    </row>
    <row r="484" spans="1:14" x14ac:dyDescent="0.25">
      <c r="A484" t="s">
        <v>128</v>
      </c>
      <c r="B484" t="s">
        <v>129</v>
      </c>
      <c r="C484" t="s">
        <v>16</v>
      </c>
      <c r="D484" t="s">
        <v>16</v>
      </c>
      <c r="E484" t="s">
        <v>17</v>
      </c>
      <c r="F484" t="s">
        <v>33</v>
      </c>
      <c r="G484">
        <v>42</v>
      </c>
      <c r="H484">
        <v>10.88</v>
      </c>
      <c r="I484">
        <v>25</v>
      </c>
      <c r="J484" t="s">
        <v>28</v>
      </c>
      <c r="K484" t="s">
        <v>20</v>
      </c>
      <c r="L484" t="s">
        <v>45</v>
      </c>
      <c r="M484" t="s">
        <v>130</v>
      </c>
      <c r="N484" s="2">
        <v>7500</v>
      </c>
    </row>
    <row r="485" spans="1:14" x14ac:dyDescent="0.25">
      <c r="A485" t="s">
        <v>120</v>
      </c>
      <c r="B485" t="s">
        <v>121</v>
      </c>
      <c r="C485" t="s">
        <v>16</v>
      </c>
      <c r="D485" t="s">
        <v>32</v>
      </c>
      <c r="E485" t="s">
        <v>17</v>
      </c>
      <c r="F485" t="s">
        <v>39</v>
      </c>
      <c r="G485">
        <v>43</v>
      </c>
      <c r="H485">
        <v>11.48</v>
      </c>
      <c r="I485">
        <v>22</v>
      </c>
      <c r="J485" t="s">
        <v>34</v>
      </c>
      <c r="K485" t="s">
        <v>20</v>
      </c>
      <c r="L485" t="s">
        <v>45</v>
      </c>
      <c r="M485" t="s">
        <v>122</v>
      </c>
      <c r="N485" s="2">
        <v>8500</v>
      </c>
    </row>
    <row r="486" spans="1:14" x14ac:dyDescent="0.25">
      <c r="A486" t="s">
        <v>14</v>
      </c>
      <c r="B486" t="s">
        <v>103</v>
      </c>
      <c r="C486" t="s">
        <v>16</v>
      </c>
      <c r="D486" t="s">
        <v>209</v>
      </c>
      <c r="E486" t="s">
        <v>17</v>
      </c>
      <c r="F486" t="s">
        <v>33</v>
      </c>
      <c r="G486">
        <v>36</v>
      </c>
      <c r="H486">
        <v>12</v>
      </c>
      <c r="I486">
        <v>20</v>
      </c>
      <c r="J486" t="s">
        <v>28</v>
      </c>
      <c r="K486" t="s">
        <v>20</v>
      </c>
      <c r="L486" t="s">
        <v>21</v>
      </c>
      <c r="M486" t="s">
        <v>40</v>
      </c>
      <c r="N486" s="2">
        <v>7650</v>
      </c>
    </row>
    <row r="487" spans="1:14" x14ac:dyDescent="0.25">
      <c r="A487" t="s">
        <v>23</v>
      </c>
      <c r="B487" t="s">
        <v>82</v>
      </c>
      <c r="C487" t="s">
        <v>16</v>
      </c>
      <c r="D487" t="s">
        <v>16</v>
      </c>
      <c r="E487" t="s">
        <v>49</v>
      </c>
      <c r="F487" t="s">
        <v>78</v>
      </c>
      <c r="G487">
        <v>42</v>
      </c>
      <c r="H487">
        <v>14.3</v>
      </c>
      <c r="I487">
        <v>20</v>
      </c>
      <c r="J487" t="s">
        <v>19</v>
      </c>
      <c r="K487" t="s">
        <v>106</v>
      </c>
      <c r="L487" t="s">
        <v>35</v>
      </c>
      <c r="M487" t="s">
        <v>22</v>
      </c>
      <c r="N487" s="2">
        <v>5200</v>
      </c>
    </row>
    <row r="488" spans="1:14" x14ac:dyDescent="0.25">
      <c r="A488" t="s">
        <v>135</v>
      </c>
      <c r="B488" t="s">
        <v>136</v>
      </c>
      <c r="C488" t="s">
        <v>16</v>
      </c>
      <c r="D488" t="s">
        <v>16</v>
      </c>
      <c r="E488" t="s">
        <v>17</v>
      </c>
      <c r="F488" t="s">
        <v>137</v>
      </c>
      <c r="G488">
        <v>40.5</v>
      </c>
      <c r="H488">
        <v>8.3000000000000007</v>
      </c>
      <c r="I488">
        <v>20</v>
      </c>
      <c r="J488" t="s">
        <v>28</v>
      </c>
      <c r="K488" t="s">
        <v>20</v>
      </c>
      <c r="L488" t="s">
        <v>148</v>
      </c>
      <c r="M488" t="s">
        <v>181</v>
      </c>
      <c r="N488" s="2">
        <v>67000</v>
      </c>
    </row>
    <row r="489" spans="1:14" x14ac:dyDescent="0.25">
      <c r="A489" t="s">
        <v>76</v>
      </c>
      <c r="B489" t="s">
        <v>77</v>
      </c>
      <c r="C489" t="s">
        <v>16</v>
      </c>
      <c r="D489" t="s">
        <v>16</v>
      </c>
      <c r="E489" t="s">
        <v>17</v>
      </c>
      <c r="F489" t="s">
        <v>78</v>
      </c>
      <c r="G489">
        <v>41</v>
      </c>
      <c r="H489">
        <v>9.8000000000000007</v>
      </c>
      <c r="I489">
        <v>20</v>
      </c>
      <c r="J489" t="s">
        <v>28</v>
      </c>
      <c r="K489" t="s">
        <v>20</v>
      </c>
      <c r="L489" t="s">
        <v>169</v>
      </c>
      <c r="M489" t="s">
        <v>29</v>
      </c>
      <c r="N489" s="2">
        <v>25000</v>
      </c>
    </row>
    <row r="490" spans="1:14" x14ac:dyDescent="0.25">
      <c r="A490" t="s">
        <v>41</v>
      </c>
      <c r="B490" t="s">
        <v>186</v>
      </c>
      <c r="C490" t="s">
        <v>16</v>
      </c>
      <c r="D490" t="s">
        <v>16</v>
      </c>
      <c r="E490" t="s">
        <v>17</v>
      </c>
      <c r="F490" t="s">
        <v>39</v>
      </c>
      <c r="G490">
        <v>36.6</v>
      </c>
      <c r="H490">
        <v>12.05</v>
      </c>
      <c r="I490">
        <v>18</v>
      </c>
      <c r="J490" t="s">
        <v>44</v>
      </c>
      <c r="K490" t="s">
        <v>20</v>
      </c>
      <c r="L490" t="s">
        <v>21</v>
      </c>
      <c r="M490" t="s">
        <v>36</v>
      </c>
      <c r="N490" s="2">
        <v>4700</v>
      </c>
    </row>
    <row r="491" spans="1:14" x14ac:dyDescent="0.25">
      <c r="A491" t="s">
        <v>93</v>
      </c>
      <c r="B491" t="s">
        <v>107</v>
      </c>
      <c r="C491" t="s">
        <v>16</v>
      </c>
      <c r="D491" t="s">
        <v>32</v>
      </c>
      <c r="E491" t="s">
        <v>17</v>
      </c>
      <c r="F491" t="s">
        <v>39</v>
      </c>
      <c r="G491">
        <v>42.3</v>
      </c>
      <c r="H491">
        <v>14.2</v>
      </c>
      <c r="I491">
        <v>22</v>
      </c>
      <c r="J491" t="s">
        <v>28</v>
      </c>
      <c r="K491" t="s">
        <v>20</v>
      </c>
      <c r="L491" t="s">
        <v>45</v>
      </c>
      <c r="M491" t="s">
        <v>29</v>
      </c>
      <c r="N491" s="2">
        <v>9100</v>
      </c>
    </row>
    <row r="492" spans="1:14" x14ac:dyDescent="0.25">
      <c r="A492" t="s">
        <v>47</v>
      </c>
      <c r="B492" t="s">
        <v>160</v>
      </c>
      <c r="C492" t="s">
        <v>16</v>
      </c>
      <c r="D492" t="s">
        <v>32</v>
      </c>
      <c r="E492" t="s">
        <v>17</v>
      </c>
      <c r="F492" t="s">
        <v>78</v>
      </c>
      <c r="G492">
        <v>39</v>
      </c>
      <c r="H492">
        <v>8.5</v>
      </c>
      <c r="I492">
        <v>20</v>
      </c>
      <c r="J492" t="s">
        <v>44</v>
      </c>
      <c r="K492" t="s">
        <v>20</v>
      </c>
      <c r="L492" t="s">
        <v>232</v>
      </c>
      <c r="M492" t="s">
        <v>40</v>
      </c>
      <c r="N492" s="2">
        <v>8200</v>
      </c>
    </row>
    <row r="493" spans="1:14" x14ac:dyDescent="0.25">
      <c r="A493" t="s">
        <v>109</v>
      </c>
      <c r="B493" t="s">
        <v>110</v>
      </c>
      <c r="C493" t="s">
        <v>16</v>
      </c>
      <c r="D493" t="s">
        <v>111</v>
      </c>
      <c r="E493" t="s">
        <v>17</v>
      </c>
      <c r="F493" t="s">
        <v>18</v>
      </c>
      <c r="G493">
        <v>45</v>
      </c>
      <c r="H493">
        <v>15.5</v>
      </c>
      <c r="I493">
        <v>23</v>
      </c>
      <c r="J493" t="s">
        <v>19</v>
      </c>
      <c r="K493" t="s">
        <v>20</v>
      </c>
      <c r="L493" t="s">
        <v>21</v>
      </c>
      <c r="M493" t="s">
        <v>112</v>
      </c>
      <c r="N493" s="2">
        <v>12500</v>
      </c>
    </row>
    <row r="494" spans="1:14" x14ac:dyDescent="0.25">
      <c r="A494" t="s">
        <v>72</v>
      </c>
      <c r="B494" t="s">
        <v>73</v>
      </c>
      <c r="C494" t="s">
        <v>115</v>
      </c>
      <c r="D494" t="s">
        <v>32</v>
      </c>
      <c r="E494" t="s">
        <v>17</v>
      </c>
      <c r="F494" t="s">
        <v>39</v>
      </c>
      <c r="G494">
        <v>39</v>
      </c>
      <c r="H494">
        <v>9.9</v>
      </c>
      <c r="I494">
        <v>22</v>
      </c>
      <c r="J494" t="s">
        <v>34</v>
      </c>
      <c r="K494" t="s">
        <v>20</v>
      </c>
      <c r="L494" t="s">
        <v>232</v>
      </c>
      <c r="M494" t="s">
        <v>173</v>
      </c>
      <c r="N494" s="2">
        <v>27900</v>
      </c>
    </row>
    <row r="495" spans="1:14" x14ac:dyDescent="0.25">
      <c r="A495" t="s">
        <v>126</v>
      </c>
      <c r="B495" t="s">
        <v>127</v>
      </c>
      <c r="C495" t="s">
        <v>16</v>
      </c>
      <c r="D495" t="s">
        <v>26</v>
      </c>
      <c r="E495" t="s">
        <v>17</v>
      </c>
      <c r="F495" t="s">
        <v>78</v>
      </c>
      <c r="G495">
        <v>42</v>
      </c>
      <c r="H495">
        <v>12.67</v>
      </c>
      <c r="I495">
        <v>20</v>
      </c>
      <c r="J495" t="s">
        <v>19</v>
      </c>
      <c r="K495" t="s">
        <v>20</v>
      </c>
      <c r="L495" t="s">
        <v>141</v>
      </c>
      <c r="M495" t="s">
        <v>36</v>
      </c>
      <c r="N495" s="2">
        <v>6500</v>
      </c>
    </row>
    <row r="496" spans="1:14" x14ac:dyDescent="0.25">
      <c r="A496" t="s">
        <v>51</v>
      </c>
      <c r="B496" t="s">
        <v>52</v>
      </c>
      <c r="C496" t="s">
        <v>16</v>
      </c>
      <c r="D496" t="s">
        <v>154</v>
      </c>
      <c r="E496" t="s">
        <v>17</v>
      </c>
      <c r="F496" t="s">
        <v>53</v>
      </c>
      <c r="G496">
        <v>44.3</v>
      </c>
      <c r="H496">
        <v>13.1</v>
      </c>
      <c r="I496">
        <v>22</v>
      </c>
      <c r="J496" t="s">
        <v>19</v>
      </c>
      <c r="K496" t="s">
        <v>155</v>
      </c>
      <c r="L496" t="s">
        <v>68</v>
      </c>
      <c r="M496" t="s">
        <v>54</v>
      </c>
      <c r="N496" s="2">
        <v>1200</v>
      </c>
    </row>
    <row r="497" spans="1:14" x14ac:dyDescent="0.25">
      <c r="A497" t="s">
        <v>89</v>
      </c>
      <c r="B497" t="s">
        <v>90</v>
      </c>
      <c r="C497" t="s">
        <v>16</v>
      </c>
      <c r="D497" t="s">
        <v>32</v>
      </c>
      <c r="E497" t="s">
        <v>17</v>
      </c>
      <c r="F497" t="s">
        <v>53</v>
      </c>
      <c r="G497">
        <v>41</v>
      </c>
      <c r="H497">
        <v>14.75</v>
      </c>
      <c r="I497">
        <v>22</v>
      </c>
      <c r="J497" t="s">
        <v>19</v>
      </c>
      <c r="K497" t="s">
        <v>20</v>
      </c>
      <c r="L497" t="s">
        <v>45</v>
      </c>
      <c r="M497" t="s">
        <v>40</v>
      </c>
      <c r="N497" s="2">
        <v>3800</v>
      </c>
    </row>
    <row r="498" spans="1:14" x14ac:dyDescent="0.25">
      <c r="A498" t="s">
        <v>93</v>
      </c>
      <c r="B498" t="s">
        <v>94</v>
      </c>
      <c r="C498" t="s">
        <v>16</v>
      </c>
      <c r="D498" t="s">
        <v>32</v>
      </c>
      <c r="E498" t="s">
        <v>17</v>
      </c>
      <c r="F498" t="s">
        <v>95</v>
      </c>
      <c r="G498">
        <v>39</v>
      </c>
      <c r="H498">
        <v>10.86</v>
      </c>
      <c r="I498">
        <v>20</v>
      </c>
      <c r="J498" t="s">
        <v>19</v>
      </c>
      <c r="K498" t="s">
        <v>20</v>
      </c>
      <c r="L498" t="s">
        <v>21</v>
      </c>
      <c r="M498" t="s">
        <v>36</v>
      </c>
      <c r="N498" s="2">
        <v>4500</v>
      </c>
    </row>
    <row r="499" spans="1:14" x14ac:dyDescent="0.25">
      <c r="A499" t="s">
        <v>86</v>
      </c>
      <c r="B499" t="s">
        <v>143</v>
      </c>
      <c r="C499" t="s">
        <v>25</v>
      </c>
      <c r="D499" t="s">
        <v>26</v>
      </c>
      <c r="E499" t="s">
        <v>17</v>
      </c>
      <c r="F499" t="s">
        <v>18</v>
      </c>
      <c r="G499">
        <v>44</v>
      </c>
      <c r="H499">
        <v>15.65</v>
      </c>
      <c r="I499">
        <v>24</v>
      </c>
      <c r="J499" t="s">
        <v>19</v>
      </c>
      <c r="K499" t="s">
        <v>20</v>
      </c>
      <c r="L499" t="s">
        <v>45</v>
      </c>
      <c r="M499" t="s">
        <v>145</v>
      </c>
      <c r="N499" s="2">
        <v>9500</v>
      </c>
    </row>
    <row r="500" spans="1:14" x14ac:dyDescent="0.25">
      <c r="A500" t="s">
        <v>135</v>
      </c>
      <c r="B500" t="s">
        <v>136</v>
      </c>
      <c r="C500" t="s">
        <v>16</v>
      </c>
      <c r="D500" t="s">
        <v>16</v>
      </c>
      <c r="E500" t="s">
        <v>17</v>
      </c>
      <c r="F500" t="s">
        <v>137</v>
      </c>
      <c r="G500">
        <v>40.5</v>
      </c>
      <c r="H500">
        <v>8.3000000000000007</v>
      </c>
      <c r="I500">
        <v>20</v>
      </c>
      <c r="J500" t="s">
        <v>28</v>
      </c>
      <c r="K500" t="s">
        <v>20</v>
      </c>
      <c r="L500" t="s">
        <v>21</v>
      </c>
      <c r="M500" t="s">
        <v>50</v>
      </c>
      <c r="N500" s="2">
        <v>35000</v>
      </c>
    </row>
    <row r="501" spans="1:14" x14ac:dyDescent="0.25">
      <c r="A501" t="s">
        <v>76</v>
      </c>
      <c r="B501" t="s">
        <v>77</v>
      </c>
      <c r="C501" t="s">
        <v>16</v>
      </c>
      <c r="D501" t="s">
        <v>16</v>
      </c>
      <c r="E501" t="s">
        <v>17</v>
      </c>
      <c r="F501" t="s">
        <v>78</v>
      </c>
      <c r="G501">
        <v>41</v>
      </c>
      <c r="H501">
        <v>10.4</v>
      </c>
      <c r="I501">
        <v>20</v>
      </c>
      <c r="J501" t="s">
        <v>19</v>
      </c>
      <c r="K501" t="s">
        <v>20</v>
      </c>
      <c r="L501" t="s">
        <v>21</v>
      </c>
      <c r="M501" t="s">
        <v>29</v>
      </c>
      <c r="N501" s="2">
        <v>24000</v>
      </c>
    </row>
    <row r="502" spans="1:14" x14ac:dyDescent="0.25">
      <c r="A502" t="s">
        <v>72</v>
      </c>
      <c r="B502" t="s">
        <v>73</v>
      </c>
      <c r="C502" t="s">
        <v>189</v>
      </c>
      <c r="D502" t="s">
        <v>32</v>
      </c>
      <c r="E502" t="s">
        <v>17</v>
      </c>
      <c r="F502" t="s">
        <v>39</v>
      </c>
      <c r="G502">
        <v>38.5</v>
      </c>
      <c r="H502">
        <v>8.25</v>
      </c>
      <c r="I502">
        <v>20</v>
      </c>
      <c r="J502" t="s">
        <v>34</v>
      </c>
      <c r="K502" t="s">
        <v>20</v>
      </c>
      <c r="L502" t="s">
        <v>21</v>
      </c>
      <c r="M502" t="s">
        <v>58</v>
      </c>
      <c r="N502" s="2">
        <v>21500</v>
      </c>
    </row>
    <row r="503" spans="1:14" x14ac:dyDescent="0.25">
      <c r="A503" t="s">
        <v>109</v>
      </c>
      <c r="B503" t="s">
        <v>110</v>
      </c>
      <c r="C503" t="s">
        <v>16</v>
      </c>
      <c r="D503" t="s">
        <v>140</v>
      </c>
      <c r="E503" t="s">
        <v>17</v>
      </c>
      <c r="F503" t="s">
        <v>18</v>
      </c>
      <c r="G503">
        <v>45</v>
      </c>
      <c r="H503">
        <v>15.5</v>
      </c>
      <c r="I503">
        <v>23</v>
      </c>
      <c r="J503" t="s">
        <v>19</v>
      </c>
      <c r="K503" t="s">
        <v>20</v>
      </c>
      <c r="L503" t="s">
        <v>21</v>
      </c>
      <c r="M503" t="s">
        <v>112</v>
      </c>
      <c r="N503" s="2">
        <v>13500</v>
      </c>
    </row>
    <row r="504" spans="1:14" x14ac:dyDescent="0.25">
      <c r="A504" t="s">
        <v>62</v>
      </c>
      <c r="B504" t="s">
        <v>63</v>
      </c>
      <c r="C504" t="s">
        <v>16</v>
      </c>
      <c r="D504" t="s">
        <v>32</v>
      </c>
      <c r="E504" t="s">
        <v>17</v>
      </c>
      <c r="F504" t="s">
        <v>39</v>
      </c>
      <c r="G504">
        <v>38.5</v>
      </c>
      <c r="H504">
        <v>9.6999999999999993</v>
      </c>
      <c r="I504">
        <v>20</v>
      </c>
      <c r="J504" t="s">
        <v>28</v>
      </c>
      <c r="K504" t="s">
        <v>20</v>
      </c>
      <c r="L504" t="s">
        <v>21</v>
      </c>
      <c r="M504" t="s">
        <v>64</v>
      </c>
      <c r="N504" s="2">
        <v>1800</v>
      </c>
    </row>
    <row r="505" spans="1:14" x14ac:dyDescent="0.25">
      <c r="A505" t="s">
        <v>79</v>
      </c>
      <c r="B505" t="s">
        <v>80</v>
      </c>
      <c r="C505" t="s">
        <v>16</v>
      </c>
      <c r="D505" t="s">
        <v>16</v>
      </c>
      <c r="E505" t="s">
        <v>17</v>
      </c>
      <c r="F505" t="s">
        <v>81</v>
      </c>
      <c r="G505">
        <v>41.5</v>
      </c>
      <c r="H505">
        <v>11</v>
      </c>
      <c r="I505">
        <v>22</v>
      </c>
      <c r="J505" t="s">
        <v>28</v>
      </c>
      <c r="K505" t="s">
        <v>20</v>
      </c>
      <c r="L505" t="s">
        <v>21</v>
      </c>
      <c r="M505" t="s">
        <v>75</v>
      </c>
      <c r="N505" s="2">
        <v>19000</v>
      </c>
    </row>
    <row r="506" spans="1:14" x14ac:dyDescent="0.25">
      <c r="A506" t="s">
        <v>196</v>
      </c>
      <c r="B506" t="s">
        <v>197</v>
      </c>
      <c r="C506" t="s">
        <v>16</v>
      </c>
      <c r="D506" t="s">
        <v>32</v>
      </c>
      <c r="E506" t="s">
        <v>17</v>
      </c>
      <c r="F506" t="s">
        <v>78</v>
      </c>
      <c r="G506">
        <v>40</v>
      </c>
      <c r="H506">
        <v>10.6</v>
      </c>
      <c r="I506">
        <v>20</v>
      </c>
      <c r="J506" t="s">
        <v>44</v>
      </c>
      <c r="K506" t="s">
        <v>20</v>
      </c>
      <c r="L506" t="s">
        <v>21</v>
      </c>
      <c r="M506" t="s">
        <v>58</v>
      </c>
      <c r="N506" s="2">
        <v>1200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0823A-8459-493F-A9B2-7C08648D38FE}">
  <sheetPr codeName="Sheet10">
    <tabColor theme="2"/>
  </sheetPr>
  <dimension ref="A1:N506"/>
  <sheetViews>
    <sheetView tabSelected="1" workbookViewId="0">
      <selection activeCell="H40" sqref="H40"/>
    </sheetView>
  </sheetViews>
  <sheetFormatPr defaultRowHeight="15" x14ac:dyDescent="0.25"/>
  <cols>
    <col min="1" max="1" width="19.7109375" bestFit="1" customWidth="1"/>
    <col min="2" max="2" width="24" bestFit="1" customWidth="1"/>
    <col min="3" max="3" width="23.42578125" bestFit="1" customWidth="1"/>
    <col min="4" max="4" width="15.28515625" bestFit="1" customWidth="1"/>
    <col min="5" max="5" width="15.5703125" bestFit="1" customWidth="1"/>
    <col min="6" max="6" width="16.42578125" bestFit="1" customWidth="1"/>
    <col min="7" max="7" width="19.42578125" bestFit="1" customWidth="1"/>
    <col min="8" max="8" width="19.7109375" bestFit="1" customWidth="1"/>
    <col min="9" max="9" width="16.7109375" bestFit="1" customWidth="1"/>
    <col min="10" max="10" width="11.42578125" bestFit="1" customWidth="1"/>
    <col min="11" max="11" width="15" bestFit="1" customWidth="1"/>
    <col min="12" max="12" width="32" bestFit="1" customWidth="1"/>
    <col min="13" max="13" width="14.42578125" bestFit="1" customWidth="1"/>
    <col min="14" max="14" width="10.85546875" style="2" bestFit="1" customWidth="1"/>
  </cols>
  <sheetData>
    <row r="1" spans="1:14" x14ac:dyDescent="0.25">
      <c r="A1" t="s">
        <v>0</v>
      </c>
      <c r="B1" t="s">
        <v>1</v>
      </c>
      <c r="C1" t="s">
        <v>2</v>
      </c>
      <c r="D1" t="s">
        <v>3</v>
      </c>
      <c r="E1" t="s">
        <v>4</v>
      </c>
      <c r="F1" t="s">
        <v>5</v>
      </c>
      <c r="G1" t="s">
        <v>6</v>
      </c>
      <c r="H1" t="s">
        <v>7</v>
      </c>
      <c r="I1" t="s">
        <v>8</v>
      </c>
      <c r="J1" t="s">
        <v>9</v>
      </c>
      <c r="K1" t="s">
        <v>10</v>
      </c>
      <c r="L1" t="s">
        <v>11</v>
      </c>
      <c r="M1" t="s">
        <v>12</v>
      </c>
      <c r="N1" s="2" t="s">
        <v>13</v>
      </c>
    </row>
    <row r="2" spans="1:14" x14ac:dyDescent="0.25">
      <c r="A2" t="s">
        <v>14</v>
      </c>
      <c r="B2" t="s">
        <v>15</v>
      </c>
      <c r="C2" t="s">
        <v>16</v>
      </c>
      <c r="D2" t="s">
        <v>16</v>
      </c>
      <c r="E2" t="s">
        <v>17</v>
      </c>
      <c r="F2" t="s">
        <v>18</v>
      </c>
      <c r="G2">
        <v>40</v>
      </c>
      <c r="H2">
        <v>13</v>
      </c>
      <c r="I2">
        <v>20</v>
      </c>
      <c r="J2" t="s">
        <v>19</v>
      </c>
      <c r="K2" t="s">
        <v>20</v>
      </c>
      <c r="L2" t="s">
        <v>21</v>
      </c>
      <c r="M2" t="s">
        <v>22</v>
      </c>
      <c r="N2" s="2">
        <v>9500</v>
      </c>
    </row>
    <row r="3" spans="1:14" x14ac:dyDescent="0.25">
      <c r="A3" t="s">
        <v>23</v>
      </c>
      <c r="B3" t="s">
        <v>24</v>
      </c>
      <c r="C3" t="s">
        <v>25</v>
      </c>
      <c r="D3" t="s">
        <v>26</v>
      </c>
      <c r="E3" t="s">
        <v>17</v>
      </c>
      <c r="F3" t="s">
        <v>27</v>
      </c>
      <c r="G3">
        <v>43.5</v>
      </c>
      <c r="H3">
        <v>14.47</v>
      </c>
      <c r="I3">
        <v>21</v>
      </c>
      <c r="J3" t="s">
        <v>28</v>
      </c>
      <c r="K3" t="s">
        <v>20</v>
      </c>
      <c r="L3" t="s">
        <v>21</v>
      </c>
      <c r="M3" t="s">
        <v>29</v>
      </c>
      <c r="N3" s="2">
        <v>5800</v>
      </c>
    </row>
    <row r="4" spans="1:14" x14ac:dyDescent="0.25">
      <c r="A4" t="s">
        <v>30</v>
      </c>
      <c r="B4" t="s">
        <v>31</v>
      </c>
      <c r="C4" t="s">
        <v>16</v>
      </c>
      <c r="D4" t="s">
        <v>32</v>
      </c>
      <c r="E4" t="s">
        <v>17</v>
      </c>
      <c r="F4" t="s">
        <v>33</v>
      </c>
      <c r="G4">
        <v>41</v>
      </c>
      <c r="H4">
        <v>13</v>
      </c>
      <c r="I4">
        <v>20</v>
      </c>
      <c r="J4" t="s">
        <v>34</v>
      </c>
      <c r="K4" t="s">
        <v>20</v>
      </c>
      <c r="L4" t="s">
        <v>35</v>
      </c>
      <c r="M4" t="s">
        <v>36</v>
      </c>
      <c r="N4" s="2">
        <v>4200</v>
      </c>
    </row>
    <row r="5" spans="1:14" x14ac:dyDescent="0.25">
      <c r="A5" t="s">
        <v>37</v>
      </c>
      <c r="B5" t="s">
        <v>38</v>
      </c>
      <c r="C5" t="s">
        <v>16</v>
      </c>
      <c r="D5" t="s">
        <v>16</v>
      </c>
      <c r="E5" t="s">
        <v>17</v>
      </c>
      <c r="F5" t="s">
        <v>39</v>
      </c>
      <c r="G5">
        <v>43</v>
      </c>
      <c r="H5">
        <v>14.25</v>
      </c>
      <c r="I5">
        <v>22</v>
      </c>
      <c r="J5" t="s">
        <v>19</v>
      </c>
      <c r="K5" t="s">
        <v>20</v>
      </c>
      <c r="L5" t="s">
        <v>35</v>
      </c>
      <c r="M5" t="s">
        <v>40</v>
      </c>
      <c r="N5" s="2">
        <v>7900</v>
      </c>
    </row>
    <row r="6" spans="1:14" x14ac:dyDescent="0.25">
      <c r="A6" t="s">
        <v>41</v>
      </c>
      <c r="B6" t="s">
        <v>42</v>
      </c>
      <c r="C6" t="s">
        <v>16</v>
      </c>
      <c r="D6" t="s">
        <v>32</v>
      </c>
      <c r="E6" t="s">
        <v>43</v>
      </c>
      <c r="F6" t="s">
        <v>39</v>
      </c>
      <c r="G6">
        <v>31</v>
      </c>
      <c r="H6">
        <v>6.05</v>
      </c>
      <c r="I6">
        <v>20</v>
      </c>
      <c r="J6" t="s">
        <v>44</v>
      </c>
      <c r="K6" t="s">
        <v>20</v>
      </c>
      <c r="L6" t="s">
        <v>45</v>
      </c>
      <c r="M6" t="s">
        <v>46</v>
      </c>
      <c r="N6" s="2">
        <v>2800</v>
      </c>
    </row>
    <row r="7" spans="1:14" x14ac:dyDescent="0.25">
      <c r="A7" t="s">
        <v>47</v>
      </c>
      <c r="B7" t="s">
        <v>48</v>
      </c>
      <c r="C7" t="s">
        <v>16</v>
      </c>
      <c r="D7" t="s">
        <v>32</v>
      </c>
      <c r="E7" t="s">
        <v>49</v>
      </c>
      <c r="F7" t="s">
        <v>39</v>
      </c>
      <c r="G7">
        <v>42.9</v>
      </c>
      <c r="H7">
        <v>9.1999999999999993</v>
      </c>
      <c r="I7">
        <v>20</v>
      </c>
      <c r="J7" t="s">
        <v>19</v>
      </c>
      <c r="K7" t="s">
        <v>20</v>
      </c>
      <c r="L7" t="s">
        <v>45</v>
      </c>
      <c r="M7" t="s">
        <v>50</v>
      </c>
      <c r="N7" s="2">
        <v>5500</v>
      </c>
    </row>
    <row r="8" spans="1:14" x14ac:dyDescent="0.25">
      <c r="A8" t="s">
        <v>51</v>
      </c>
      <c r="B8" t="s">
        <v>52</v>
      </c>
      <c r="C8" t="s">
        <v>16</v>
      </c>
      <c r="D8" t="s">
        <v>26</v>
      </c>
      <c r="E8" t="s">
        <v>17</v>
      </c>
      <c r="F8" t="s">
        <v>53</v>
      </c>
      <c r="G8">
        <v>44.3</v>
      </c>
      <c r="H8">
        <v>12.9</v>
      </c>
      <c r="I8">
        <v>20</v>
      </c>
      <c r="J8" t="s">
        <v>19</v>
      </c>
      <c r="K8" t="s">
        <v>20</v>
      </c>
      <c r="L8" t="s">
        <v>21</v>
      </c>
      <c r="M8" t="s">
        <v>54</v>
      </c>
      <c r="N8" s="2">
        <v>1400</v>
      </c>
    </row>
    <row r="9" spans="1:14" x14ac:dyDescent="0.25">
      <c r="A9" t="s">
        <v>56</v>
      </c>
      <c r="B9" t="s">
        <v>57</v>
      </c>
      <c r="C9" t="s">
        <v>16</v>
      </c>
      <c r="D9" t="s">
        <v>32</v>
      </c>
      <c r="E9" t="s">
        <v>17</v>
      </c>
      <c r="F9" t="s">
        <v>39</v>
      </c>
      <c r="G9">
        <v>39.299999999999997</v>
      </c>
      <c r="H9">
        <v>9.75</v>
      </c>
      <c r="I9">
        <v>19</v>
      </c>
      <c r="J9" t="s">
        <v>34</v>
      </c>
      <c r="K9" t="s">
        <v>20</v>
      </c>
      <c r="L9" t="s">
        <v>21</v>
      </c>
      <c r="M9" t="s">
        <v>58</v>
      </c>
      <c r="N9" s="2">
        <v>650</v>
      </c>
    </row>
    <row r="10" spans="1:14" x14ac:dyDescent="0.25">
      <c r="A10" t="s">
        <v>59</v>
      </c>
      <c r="B10" t="s">
        <v>60</v>
      </c>
      <c r="C10" t="s">
        <v>16</v>
      </c>
      <c r="D10" t="s">
        <v>32</v>
      </c>
      <c r="E10" t="s">
        <v>17</v>
      </c>
      <c r="F10" t="s">
        <v>33</v>
      </c>
      <c r="G10">
        <v>38</v>
      </c>
      <c r="H10">
        <v>9.8000000000000007</v>
      </c>
      <c r="I10">
        <v>20</v>
      </c>
      <c r="J10" t="s">
        <v>19</v>
      </c>
      <c r="K10" t="s">
        <v>20</v>
      </c>
      <c r="L10" t="s">
        <v>45</v>
      </c>
      <c r="M10" t="s">
        <v>61</v>
      </c>
      <c r="N10" s="2">
        <v>495</v>
      </c>
    </row>
    <row r="11" spans="1:14" x14ac:dyDescent="0.25">
      <c r="A11" t="s">
        <v>62</v>
      </c>
      <c r="B11" t="s">
        <v>63</v>
      </c>
      <c r="C11" t="s">
        <v>16</v>
      </c>
      <c r="D11" t="s">
        <v>32</v>
      </c>
      <c r="E11" t="s">
        <v>17</v>
      </c>
      <c r="F11" t="s">
        <v>39</v>
      </c>
      <c r="G11">
        <v>38.5</v>
      </c>
      <c r="H11">
        <v>9.6999999999999993</v>
      </c>
      <c r="I11">
        <v>20</v>
      </c>
      <c r="J11" t="s">
        <v>44</v>
      </c>
      <c r="K11" t="s">
        <v>20</v>
      </c>
      <c r="L11" t="s">
        <v>21</v>
      </c>
      <c r="M11" t="s">
        <v>64</v>
      </c>
      <c r="N11" s="2">
        <v>1150</v>
      </c>
    </row>
    <row r="12" spans="1:14" x14ac:dyDescent="0.25">
      <c r="A12" t="s">
        <v>65</v>
      </c>
      <c r="B12" t="s">
        <v>66</v>
      </c>
      <c r="C12" t="s">
        <v>16</v>
      </c>
      <c r="D12" t="s">
        <v>67</v>
      </c>
      <c r="E12" t="s">
        <v>17</v>
      </c>
      <c r="F12" t="s">
        <v>33</v>
      </c>
      <c r="G12">
        <v>41</v>
      </c>
      <c r="H12">
        <v>12</v>
      </c>
      <c r="I12">
        <v>20</v>
      </c>
      <c r="J12" t="s">
        <v>19</v>
      </c>
      <c r="K12" t="s">
        <v>20</v>
      </c>
      <c r="L12" t="s">
        <v>68</v>
      </c>
      <c r="M12" t="s">
        <v>58</v>
      </c>
      <c r="N12" s="2">
        <v>1800</v>
      </c>
    </row>
    <row r="13" spans="1:14" x14ac:dyDescent="0.25">
      <c r="A13" t="s">
        <v>69</v>
      </c>
      <c r="B13" t="s">
        <v>70</v>
      </c>
      <c r="C13" t="s">
        <v>16</v>
      </c>
      <c r="D13" t="s">
        <v>26</v>
      </c>
      <c r="E13" t="s">
        <v>17</v>
      </c>
      <c r="F13" t="s">
        <v>33</v>
      </c>
      <c r="G13">
        <v>42</v>
      </c>
      <c r="H13">
        <v>11.5</v>
      </c>
      <c r="I13">
        <v>24</v>
      </c>
      <c r="J13" t="s">
        <v>19</v>
      </c>
      <c r="K13" t="s">
        <v>20</v>
      </c>
      <c r="L13" t="s">
        <v>35</v>
      </c>
      <c r="M13" t="s">
        <v>36</v>
      </c>
      <c r="N13" s="2">
        <v>4500</v>
      </c>
    </row>
    <row r="14" spans="1:14" x14ac:dyDescent="0.25">
      <c r="A14" t="s">
        <v>71</v>
      </c>
      <c r="B14">
        <v>104</v>
      </c>
      <c r="C14" t="s">
        <v>16</v>
      </c>
      <c r="D14" t="s">
        <v>32</v>
      </c>
      <c r="E14" t="s">
        <v>17</v>
      </c>
      <c r="F14" t="s">
        <v>53</v>
      </c>
      <c r="G14">
        <v>41</v>
      </c>
      <c r="H14">
        <v>11.5</v>
      </c>
      <c r="I14">
        <v>20</v>
      </c>
      <c r="J14" t="s">
        <v>19</v>
      </c>
      <c r="K14" t="s">
        <v>20</v>
      </c>
      <c r="L14" t="s">
        <v>21</v>
      </c>
      <c r="M14" t="s">
        <v>36</v>
      </c>
      <c r="N14" s="2">
        <v>1400</v>
      </c>
    </row>
    <row r="15" spans="1:14" x14ac:dyDescent="0.25">
      <c r="A15" t="s">
        <v>72</v>
      </c>
      <c r="B15" t="s">
        <v>73</v>
      </c>
      <c r="C15" t="s">
        <v>74</v>
      </c>
      <c r="D15" t="s">
        <v>32</v>
      </c>
      <c r="E15" t="s">
        <v>49</v>
      </c>
      <c r="F15" t="s">
        <v>39</v>
      </c>
      <c r="G15">
        <v>38</v>
      </c>
      <c r="H15">
        <v>8.65</v>
      </c>
      <c r="I15">
        <v>20</v>
      </c>
      <c r="J15" t="s">
        <v>44</v>
      </c>
      <c r="K15" t="s">
        <v>20</v>
      </c>
      <c r="L15" t="s">
        <v>45</v>
      </c>
      <c r="M15" t="s">
        <v>75</v>
      </c>
      <c r="N15" s="2">
        <v>16000</v>
      </c>
    </row>
    <row r="16" spans="1:14" x14ac:dyDescent="0.25">
      <c r="A16" t="s">
        <v>76</v>
      </c>
      <c r="B16" t="s">
        <v>77</v>
      </c>
      <c r="C16" t="s">
        <v>16</v>
      </c>
      <c r="D16" t="s">
        <v>16</v>
      </c>
      <c r="E16" t="s">
        <v>17</v>
      </c>
      <c r="F16" t="s">
        <v>78</v>
      </c>
      <c r="G16">
        <v>41</v>
      </c>
      <c r="H16">
        <v>9.8000000000000007</v>
      </c>
      <c r="I16">
        <v>20</v>
      </c>
      <c r="J16" t="s">
        <v>44</v>
      </c>
      <c r="K16" t="s">
        <v>20</v>
      </c>
      <c r="L16" t="s">
        <v>21</v>
      </c>
      <c r="M16" t="s">
        <v>29</v>
      </c>
      <c r="N16" s="2">
        <v>22000</v>
      </c>
    </row>
    <row r="17" spans="1:14" x14ac:dyDescent="0.25">
      <c r="A17" t="s">
        <v>79</v>
      </c>
      <c r="B17" t="s">
        <v>80</v>
      </c>
      <c r="C17" t="s">
        <v>16</v>
      </c>
      <c r="D17" t="s">
        <v>26</v>
      </c>
      <c r="E17" t="s">
        <v>17</v>
      </c>
      <c r="F17" t="s">
        <v>81</v>
      </c>
      <c r="G17">
        <v>41</v>
      </c>
      <c r="H17">
        <v>11</v>
      </c>
      <c r="I17">
        <v>22</v>
      </c>
      <c r="J17" t="s">
        <v>28</v>
      </c>
      <c r="K17" t="s">
        <v>20</v>
      </c>
      <c r="L17" t="s">
        <v>21</v>
      </c>
      <c r="M17" t="s">
        <v>75</v>
      </c>
      <c r="N17" s="2">
        <v>19000</v>
      </c>
    </row>
    <row r="18" spans="1:14" x14ac:dyDescent="0.25">
      <c r="A18" t="s">
        <v>23</v>
      </c>
      <c r="B18" t="s">
        <v>82</v>
      </c>
      <c r="C18" t="s">
        <v>16</v>
      </c>
      <c r="D18" t="s">
        <v>16</v>
      </c>
      <c r="E18" t="s">
        <v>17</v>
      </c>
      <c r="F18" t="s">
        <v>78</v>
      </c>
      <c r="G18">
        <v>42</v>
      </c>
      <c r="H18">
        <v>14.5</v>
      </c>
      <c r="I18">
        <v>20</v>
      </c>
      <c r="J18" t="s">
        <v>19</v>
      </c>
      <c r="K18" t="s">
        <v>20</v>
      </c>
      <c r="L18" t="s">
        <v>83</v>
      </c>
      <c r="M18" t="s">
        <v>29</v>
      </c>
      <c r="N18" s="2">
        <v>4500</v>
      </c>
    </row>
    <row r="19" spans="1:14" x14ac:dyDescent="0.25">
      <c r="A19" t="s">
        <v>37</v>
      </c>
      <c r="B19" t="s">
        <v>84</v>
      </c>
      <c r="C19" t="s">
        <v>16</v>
      </c>
      <c r="D19" t="s">
        <v>26</v>
      </c>
      <c r="E19" t="s">
        <v>17</v>
      </c>
      <c r="F19" t="s">
        <v>85</v>
      </c>
      <c r="G19">
        <v>42</v>
      </c>
      <c r="H19">
        <v>13.3</v>
      </c>
      <c r="I19">
        <v>20</v>
      </c>
      <c r="J19" t="s">
        <v>28</v>
      </c>
      <c r="K19" t="s">
        <v>20</v>
      </c>
      <c r="L19" t="s">
        <v>21</v>
      </c>
      <c r="M19" t="s">
        <v>58</v>
      </c>
      <c r="N19" s="2">
        <v>3200</v>
      </c>
    </row>
    <row r="20" spans="1:14" x14ac:dyDescent="0.25">
      <c r="A20" t="s">
        <v>86</v>
      </c>
      <c r="B20" t="s">
        <v>87</v>
      </c>
      <c r="C20" t="s">
        <v>16</v>
      </c>
      <c r="D20" t="s">
        <v>32</v>
      </c>
      <c r="E20" t="s">
        <v>49</v>
      </c>
      <c r="F20" t="s">
        <v>33</v>
      </c>
      <c r="G20">
        <v>44</v>
      </c>
      <c r="H20">
        <v>10.5</v>
      </c>
      <c r="I20">
        <v>22</v>
      </c>
      <c r="J20" t="s">
        <v>19</v>
      </c>
      <c r="K20" t="s">
        <v>20</v>
      </c>
      <c r="L20" t="s">
        <v>45</v>
      </c>
      <c r="M20" t="s">
        <v>88</v>
      </c>
      <c r="N20" s="2">
        <v>3900</v>
      </c>
    </row>
    <row r="21" spans="1:14" x14ac:dyDescent="0.25">
      <c r="A21" t="s">
        <v>89</v>
      </c>
      <c r="B21" t="s">
        <v>90</v>
      </c>
      <c r="C21" t="s">
        <v>16</v>
      </c>
      <c r="D21" t="s">
        <v>32</v>
      </c>
      <c r="E21" t="s">
        <v>17</v>
      </c>
      <c r="F21" t="s">
        <v>53</v>
      </c>
      <c r="G21">
        <v>41</v>
      </c>
      <c r="H21">
        <v>11.9</v>
      </c>
      <c r="I21">
        <v>22</v>
      </c>
      <c r="J21" t="s">
        <v>19</v>
      </c>
      <c r="K21" t="s">
        <v>20</v>
      </c>
      <c r="L21" t="s">
        <v>45</v>
      </c>
      <c r="M21" t="s">
        <v>40</v>
      </c>
      <c r="N21" s="2">
        <v>3500</v>
      </c>
    </row>
    <row r="22" spans="1:14" x14ac:dyDescent="0.25">
      <c r="A22" t="s">
        <v>14</v>
      </c>
      <c r="B22" t="s">
        <v>91</v>
      </c>
      <c r="C22" t="s">
        <v>16</v>
      </c>
      <c r="D22" t="s">
        <v>16</v>
      </c>
      <c r="E22" t="s">
        <v>17</v>
      </c>
      <c r="F22" t="s">
        <v>33</v>
      </c>
      <c r="G22">
        <v>40</v>
      </c>
      <c r="H22">
        <v>12.5</v>
      </c>
      <c r="I22">
        <v>20</v>
      </c>
      <c r="J22" t="s">
        <v>19</v>
      </c>
      <c r="K22" t="s">
        <v>20</v>
      </c>
      <c r="L22" t="s">
        <v>92</v>
      </c>
      <c r="M22" t="s">
        <v>22</v>
      </c>
      <c r="N22" s="2">
        <v>14000</v>
      </c>
    </row>
    <row r="23" spans="1:14" x14ac:dyDescent="0.25">
      <c r="A23" t="s">
        <v>93</v>
      </c>
      <c r="B23" t="s">
        <v>94</v>
      </c>
      <c r="C23" t="s">
        <v>16</v>
      </c>
      <c r="D23" t="s">
        <v>32</v>
      </c>
      <c r="E23" t="s">
        <v>17</v>
      </c>
      <c r="F23" t="s">
        <v>95</v>
      </c>
      <c r="G23">
        <v>41</v>
      </c>
      <c r="H23">
        <v>12.5</v>
      </c>
      <c r="I23">
        <v>20</v>
      </c>
      <c r="J23" t="s">
        <v>19</v>
      </c>
      <c r="K23" t="s">
        <v>20</v>
      </c>
      <c r="L23" t="s">
        <v>21</v>
      </c>
      <c r="M23" t="s">
        <v>36</v>
      </c>
      <c r="N23" s="2">
        <v>4800</v>
      </c>
    </row>
    <row r="24" spans="1:14" x14ac:dyDescent="0.25">
      <c r="A24" t="s">
        <v>47</v>
      </c>
      <c r="B24" t="s">
        <v>96</v>
      </c>
      <c r="C24" t="s">
        <v>16</v>
      </c>
      <c r="D24" t="s">
        <v>32</v>
      </c>
      <c r="E24" t="s">
        <v>17</v>
      </c>
      <c r="F24" t="s">
        <v>78</v>
      </c>
      <c r="G24">
        <v>39</v>
      </c>
      <c r="H24">
        <v>7.58</v>
      </c>
      <c r="I24">
        <v>20</v>
      </c>
      <c r="J24" t="s">
        <v>44</v>
      </c>
      <c r="K24" t="s">
        <v>20</v>
      </c>
      <c r="L24" t="s">
        <v>45</v>
      </c>
      <c r="M24" t="s">
        <v>40</v>
      </c>
      <c r="N24" s="2">
        <v>7500</v>
      </c>
    </row>
    <row r="25" spans="1:14" x14ac:dyDescent="0.25">
      <c r="A25" t="s">
        <v>69</v>
      </c>
      <c r="B25" t="s">
        <v>97</v>
      </c>
      <c r="C25" t="s">
        <v>98</v>
      </c>
      <c r="D25" t="s">
        <v>26</v>
      </c>
      <c r="E25" t="s">
        <v>17</v>
      </c>
      <c r="F25" t="s">
        <v>33</v>
      </c>
      <c r="G25">
        <v>42</v>
      </c>
      <c r="H25">
        <v>9.3000000000000007</v>
      </c>
      <c r="I25">
        <v>22</v>
      </c>
      <c r="J25" t="s">
        <v>19</v>
      </c>
      <c r="K25" t="s">
        <v>20</v>
      </c>
      <c r="L25" t="s">
        <v>45</v>
      </c>
      <c r="M25" s="1" t="s">
        <v>36</v>
      </c>
      <c r="N25" s="2">
        <v>2399</v>
      </c>
    </row>
    <row r="26" spans="1:14" x14ac:dyDescent="0.25">
      <c r="A26" t="s">
        <v>99</v>
      </c>
      <c r="B26" t="s">
        <v>100</v>
      </c>
      <c r="C26" t="s">
        <v>16</v>
      </c>
      <c r="D26" t="s">
        <v>32</v>
      </c>
      <c r="E26" t="s">
        <v>17</v>
      </c>
      <c r="F26" t="s">
        <v>33</v>
      </c>
      <c r="G26">
        <v>42</v>
      </c>
      <c r="H26">
        <v>11.2</v>
      </c>
      <c r="I26">
        <v>22</v>
      </c>
      <c r="J26" t="s">
        <v>19</v>
      </c>
      <c r="K26" t="s">
        <v>20</v>
      </c>
      <c r="L26" t="s">
        <v>101</v>
      </c>
      <c r="M26" t="s">
        <v>36</v>
      </c>
      <c r="N26" s="2">
        <v>6200</v>
      </c>
    </row>
    <row r="27" spans="1:14" x14ac:dyDescent="0.25">
      <c r="A27" t="s">
        <v>41</v>
      </c>
      <c r="B27" t="s">
        <v>102</v>
      </c>
      <c r="C27" t="s">
        <v>16</v>
      </c>
      <c r="D27" t="s">
        <v>32</v>
      </c>
      <c r="E27" t="s">
        <v>43</v>
      </c>
      <c r="F27" t="s">
        <v>39</v>
      </c>
      <c r="G27">
        <v>38</v>
      </c>
      <c r="H27">
        <v>7.5</v>
      </c>
      <c r="I27">
        <v>18</v>
      </c>
      <c r="J27" t="s">
        <v>44</v>
      </c>
      <c r="K27" t="s">
        <v>20</v>
      </c>
      <c r="L27" t="s">
        <v>45</v>
      </c>
      <c r="M27" t="s">
        <v>46</v>
      </c>
      <c r="N27" s="2">
        <v>3500</v>
      </c>
    </row>
    <row r="28" spans="1:14" x14ac:dyDescent="0.25">
      <c r="A28" t="s">
        <v>76</v>
      </c>
      <c r="B28" t="s">
        <v>77</v>
      </c>
      <c r="C28" t="s">
        <v>16</v>
      </c>
      <c r="D28" t="s">
        <v>16</v>
      </c>
      <c r="E28" t="s">
        <v>17</v>
      </c>
      <c r="F28" t="s">
        <v>78</v>
      </c>
      <c r="G28">
        <v>41</v>
      </c>
      <c r="H28">
        <v>10.4</v>
      </c>
      <c r="I28">
        <v>20</v>
      </c>
      <c r="J28" t="s">
        <v>19</v>
      </c>
      <c r="K28" t="s">
        <v>20</v>
      </c>
      <c r="L28" t="s">
        <v>21</v>
      </c>
      <c r="M28" t="s">
        <v>29</v>
      </c>
      <c r="N28" s="2">
        <v>21000</v>
      </c>
    </row>
    <row r="29" spans="1:14" x14ac:dyDescent="0.25">
      <c r="A29" t="s">
        <v>14</v>
      </c>
      <c r="B29" t="s">
        <v>103</v>
      </c>
      <c r="C29" t="s">
        <v>16</v>
      </c>
      <c r="D29" t="s">
        <v>104</v>
      </c>
      <c r="E29" t="s">
        <v>17</v>
      </c>
      <c r="F29" t="s">
        <v>33</v>
      </c>
      <c r="G29">
        <v>36</v>
      </c>
      <c r="H29">
        <v>12</v>
      </c>
      <c r="I29">
        <v>20</v>
      </c>
      <c r="J29" t="s">
        <v>44</v>
      </c>
      <c r="K29" t="s">
        <v>20</v>
      </c>
      <c r="L29" t="s">
        <v>21</v>
      </c>
      <c r="M29" t="s">
        <v>40</v>
      </c>
      <c r="N29" s="2">
        <v>9000</v>
      </c>
    </row>
    <row r="30" spans="1:14" x14ac:dyDescent="0.25">
      <c r="A30" t="s">
        <v>23</v>
      </c>
      <c r="B30" t="s">
        <v>105</v>
      </c>
      <c r="C30" t="s">
        <v>16</v>
      </c>
      <c r="D30" t="s">
        <v>16</v>
      </c>
      <c r="E30" t="s">
        <v>49</v>
      </c>
      <c r="F30" t="s">
        <v>78</v>
      </c>
      <c r="G30">
        <v>42</v>
      </c>
      <c r="H30">
        <v>14.3</v>
      </c>
      <c r="I30">
        <v>20</v>
      </c>
      <c r="J30" t="s">
        <v>19</v>
      </c>
      <c r="K30" t="s">
        <v>106</v>
      </c>
      <c r="L30" t="s">
        <v>83</v>
      </c>
      <c r="M30" t="s">
        <v>22</v>
      </c>
      <c r="N30" s="2">
        <v>5250</v>
      </c>
    </row>
    <row r="31" spans="1:14" x14ac:dyDescent="0.25">
      <c r="A31" t="s">
        <v>93</v>
      </c>
      <c r="B31" t="s">
        <v>107</v>
      </c>
      <c r="C31" t="s">
        <v>16</v>
      </c>
      <c r="D31" t="s">
        <v>108</v>
      </c>
      <c r="E31" t="s">
        <v>17</v>
      </c>
      <c r="F31" t="s">
        <v>39</v>
      </c>
      <c r="G31">
        <v>40.4</v>
      </c>
      <c r="H31">
        <v>12.3</v>
      </c>
      <c r="I31">
        <v>20</v>
      </c>
      <c r="J31" t="s">
        <v>44</v>
      </c>
      <c r="K31" t="s">
        <v>20</v>
      </c>
      <c r="L31" t="s">
        <v>21</v>
      </c>
      <c r="M31" t="s">
        <v>29</v>
      </c>
      <c r="N31" s="2">
        <v>8800</v>
      </c>
    </row>
    <row r="32" spans="1:14" x14ac:dyDescent="0.25">
      <c r="A32" t="s">
        <v>76</v>
      </c>
      <c r="B32" t="s">
        <v>77</v>
      </c>
      <c r="C32" t="s">
        <v>16</v>
      </c>
      <c r="D32" t="s">
        <v>16</v>
      </c>
      <c r="E32" t="s">
        <v>17</v>
      </c>
      <c r="F32" t="s">
        <v>78</v>
      </c>
      <c r="G32">
        <v>41</v>
      </c>
      <c r="H32">
        <v>10.4</v>
      </c>
      <c r="I32">
        <v>20</v>
      </c>
      <c r="J32" t="s">
        <v>19</v>
      </c>
      <c r="K32" t="s">
        <v>20</v>
      </c>
      <c r="L32" t="s">
        <v>21</v>
      </c>
      <c r="M32" t="s">
        <v>29</v>
      </c>
      <c r="N32" s="2">
        <v>17800</v>
      </c>
    </row>
    <row r="33" spans="1:14" x14ac:dyDescent="0.25">
      <c r="A33" t="s">
        <v>109</v>
      </c>
      <c r="B33" t="s">
        <v>110</v>
      </c>
      <c r="C33" t="s">
        <v>16</v>
      </c>
      <c r="D33" t="s">
        <v>111</v>
      </c>
      <c r="E33" t="s">
        <v>17</v>
      </c>
      <c r="F33" t="s">
        <v>18</v>
      </c>
      <c r="G33">
        <v>45</v>
      </c>
      <c r="H33">
        <v>15.4</v>
      </c>
      <c r="I33">
        <v>23</v>
      </c>
      <c r="J33" t="s">
        <v>19</v>
      </c>
      <c r="K33" t="s">
        <v>20</v>
      </c>
      <c r="L33" t="s">
        <v>21</v>
      </c>
      <c r="M33" t="s">
        <v>112</v>
      </c>
      <c r="N33" s="2">
        <v>11500</v>
      </c>
    </row>
    <row r="34" spans="1:14" x14ac:dyDescent="0.25">
      <c r="A34" t="s">
        <v>113</v>
      </c>
      <c r="B34" t="s">
        <v>114</v>
      </c>
      <c r="C34" t="s">
        <v>16</v>
      </c>
      <c r="D34" t="s">
        <v>108</v>
      </c>
      <c r="E34" t="s">
        <v>17</v>
      </c>
      <c r="F34" t="s">
        <v>33</v>
      </c>
      <c r="G34">
        <v>42</v>
      </c>
      <c r="H34">
        <v>12.75</v>
      </c>
      <c r="I34">
        <v>20</v>
      </c>
      <c r="J34" t="s">
        <v>44</v>
      </c>
      <c r="K34" t="s">
        <v>20</v>
      </c>
      <c r="L34" t="s">
        <v>35</v>
      </c>
      <c r="M34" t="s">
        <v>54</v>
      </c>
      <c r="N34" s="2">
        <v>6500</v>
      </c>
    </row>
    <row r="35" spans="1:14" x14ac:dyDescent="0.25">
      <c r="A35" t="s">
        <v>72</v>
      </c>
      <c r="B35" t="s">
        <v>73</v>
      </c>
      <c r="C35" t="s">
        <v>115</v>
      </c>
      <c r="D35" t="s">
        <v>32</v>
      </c>
      <c r="E35" t="s">
        <v>17</v>
      </c>
      <c r="F35" t="s">
        <v>39</v>
      </c>
      <c r="G35">
        <v>39</v>
      </c>
      <c r="H35">
        <v>8.65</v>
      </c>
      <c r="I35">
        <v>20</v>
      </c>
      <c r="J35" t="s">
        <v>44</v>
      </c>
      <c r="K35" t="s">
        <v>20</v>
      </c>
      <c r="L35" t="s">
        <v>45</v>
      </c>
      <c r="M35" t="s">
        <v>50</v>
      </c>
      <c r="N35" s="2">
        <v>23500</v>
      </c>
    </row>
    <row r="36" spans="1:14" x14ac:dyDescent="0.25">
      <c r="A36" t="s">
        <v>116</v>
      </c>
      <c r="B36" t="s">
        <v>117</v>
      </c>
      <c r="C36" t="s">
        <v>16</v>
      </c>
      <c r="D36" t="s">
        <v>16</v>
      </c>
      <c r="E36" t="s">
        <v>17</v>
      </c>
      <c r="F36" t="s">
        <v>33</v>
      </c>
      <c r="G36">
        <v>42</v>
      </c>
      <c r="H36">
        <v>9.4</v>
      </c>
      <c r="I36">
        <v>24</v>
      </c>
      <c r="J36" t="s">
        <v>28</v>
      </c>
      <c r="K36" t="s">
        <v>20</v>
      </c>
      <c r="L36" t="s">
        <v>21</v>
      </c>
      <c r="M36" t="s">
        <v>54</v>
      </c>
      <c r="N36" s="2">
        <v>10000</v>
      </c>
    </row>
    <row r="37" spans="1:14" x14ac:dyDescent="0.25">
      <c r="A37" t="s">
        <v>118</v>
      </c>
      <c r="B37" t="s">
        <v>119</v>
      </c>
      <c r="C37" t="s">
        <v>16</v>
      </c>
      <c r="D37" t="s">
        <v>26</v>
      </c>
      <c r="E37" t="s">
        <v>17</v>
      </c>
      <c r="F37" t="s">
        <v>33</v>
      </c>
      <c r="G37">
        <v>44</v>
      </c>
      <c r="H37">
        <v>12.5</v>
      </c>
      <c r="I37">
        <v>22</v>
      </c>
      <c r="J37" t="s">
        <v>28</v>
      </c>
      <c r="K37" t="s">
        <v>20</v>
      </c>
      <c r="L37" t="s">
        <v>21</v>
      </c>
      <c r="M37" t="s">
        <v>29</v>
      </c>
      <c r="N37" s="2">
        <v>9500</v>
      </c>
    </row>
    <row r="38" spans="1:14" x14ac:dyDescent="0.25">
      <c r="A38" t="s">
        <v>79</v>
      </c>
      <c r="B38" t="s">
        <v>80</v>
      </c>
      <c r="C38" t="s">
        <v>16</v>
      </c>
      <c r="D38" t="s">
        <v>16</v>
      </c>
      <c r="E38" t="s">
        <v>17</v>
      </c>
      <c r="F38" t="s">
        <v>81</v>
      </c>
      <c r="G38">
        <v>41</v>
      </c>
      <c r="H38">
        <v>11</v>
      </c>
      <c r="I38">
        <v>20</v>
      </c>
      <c r="J38" t="s">
        <v>44</v>
      </c>
      <c r="K38" t="s">
        <v>20</v>
      </c>
      <c r="L38" t="s">
        <v>21</v>
      </c>
      <c r="M38" t="s">
        <v>29</v>
      </c>
      <c r="N38" s="2">
        <v>21500</v>
      </c>
    </row>
    <row r="39" spans="1:14" x14ac:dyDescent="0.25">
      <c r="A39" t="s">
        <v>120</v>
      </c>
      <c r="B39" t="s">
        <v>121</v>
      </c>
      <c r="C39" t="s">
        <v>16</v>
      </c>
      <c r="D39" t="s">
        <v>32</v>
      </c>
      <c r="E39" t="s">
        <v>17</v>
      </c>
      <c r="F39" t="s">
        <v>39</v>
      </c>
      <c r="G39">
        <v>43</v>
      </c>
      <c r="H39">
        <v>12.27</v>
      </c>
      <c r="I39">
        <v>23</v>
      </c>
      <c r="J39" t="s">
        <v>19</v>
      </c>
      <c r="K39" t="s">
        <v>20</v>
      </c>
      <c r="L39" t="s">
        <v>45</v>
      </c>
      <c r="M39" t="s">
        <v>122</v>
      </c>
      <c r="N39" s="2">
        <v>9800</v>
      </c>
    </row>
    <row r="40" spans="1:14" x14ac:dyDescent="0.25">
      <c r="A40" t="s">
        <v>76</v>
      </c>
      <c r="B40" t="s">
        <v>77</v>
      </c>
      <c r="C40" t="s">
        <v>16</v>
      </c>
      <c r="D40" t="s">
        <v>16</v>
      </c>
      <c r="E40" t="s">
        <v>17</v>
      </c>
      <c r="F40" t="s">
        <v>78</v>
      </c>
      <c r="G40">
        <v>41</v>
      </c>
      <c r="H40">
        <v>10.4</v>
      </c>
      <c r="I40">
        <v>20</v>
      </c>
      <c r="J40" t="s">
        <v>28</v>
      </c>
      <c r="K40" t="s">
        <v>20</v>
      </c>
      <c r="L40" t="s">
        <v>21</v>
      </c>
      <c r="M40" t="s">
        <v>29</v>
      </c>
      <c r="N40" s="2">
        <v>19900</v>
      </c>
    </row>
    <row r="41" spans="1:14" x14ac:dyDescent="0.25">
      <c r="A41" t="s">
        <v>109</v>
      </c>
      <c r="B41" t="s">
        <v>110</v>
      </c>
      <c r="C41" t="s">
        <v>16</v>
      </c>
      <c r="D41" t="s">
        <v>111</v>
      </c>
      <c r="E41" t="s">
        <v>17</v>
      </c>
      <c r="F41" t="s">
        <v>18</v>
      </c>
      <c r="G41">
        <v>45</v>
      </c>
      <c r="H41">
        <v>15.5</v>
      </c>
      <c r="I41">
        <v>22</v>
      </c>
      <c r="J41" t="s">
        <v>19</v>
      </c>
      <c r="K41" t="s">
        <v>20</v>
      </c>
      <c r="L41" t="s">
        <v>21</v>
      </c>
      <c r="M41" t="s">
        <v>112</v>
      </c>
      <c r="N41" s="2">
        <v>14400</v>
      </c>
    </row>
    <row r="42" spans="1:14" x14ac:dyDescent="0.25">
      <c r="A42" t="s">
        <v>72</v>
      </c>
      <c r="B42" t="s">
        <v>123</v>
      </c>
      <c r="C42" t="s">
        <v>16</v>
      </c>
      <c r="D42" t="s">
        <v>32</v>
      </c>
      <c r="E42" t="s">
        <v>17</v>
      </c>
      <c r="F42" t="s">
        <v>33</v>
      </c>
      <c r="G42">
        <v>42</v>
      </c>
      <c r="H42">
        <v>13.85</v>
      </c>
      <c r="I42">
        <v>22</v>
      </c>
      <c r="J42" t="s">
        <v>44</v>
      </c>
      <c r="K42" t="s">
        <v>20</v>
      </c>
      <c r="L42" t="s">
        <v>35</v>
      </c>
      <c r="M42" t="s">
        <v>22</v>
      </c>
      <c r="N42" s="2">
        <v>9500</v>
      </c>
    </row>
    <row r="43" spans="1:14" x14ac:dyDescent="0.25">
      <c r="A43" t="s">
        <v>124</v>
      </c>
      <c r="B43" t="s">
        <v>125</v>
      </c>
      <c r="C43" t="s">
        <v>25</v>
      </c>
      <c r="D43" t="s">
        <v>32</v>
      </c>
      <c r="E43" t="s">
        <v>17</v>
      </c>
      <c r="F43" t="s">
        <v>33</v>
      </c>
      <c r="G43">
        <v>40</v>
      </c>
      <c r="H43">
        <v>5.15</v>
      </c>
      <c r="I43">
        <v>28</v>
      </c>
      <c r="J43" t="s">
        <v>19</v>
      </c>
      <c r="K43" t="s">
        <v>20</v>
      </c>
      <c r="L43" t="s">
        <v>45</v>
      </c>
      <c r="M43" t="s">
        <v>29</v>
      </c>
      <c r="N43" s="2">
        <v>12800</v>
      </c>
    </row>
    <row r="44" spans="1:14" x14ac:dyDescent="0.25">
      <c r="A44" t="s">
        <v>126</v>
      </c>
      <c r="B44" t="s">
        <v>127</v>
      </c>
      <c r="C44" t="s">
        <v>16</v>
      </c>
      <c r="D44" t="s">
        <v>32</v>
      </c>
      <c r="E44" t="s">
        <v>17</v>
      </c>
      <c r="F44" t="s">
        <v>78</v>
      </c>
      <c r="G44">
        <v>44</v>
      </c>
      <c r="H44">
        <v>13.7</v>
      </c>
      <c r="I44">
        <v>20</v>
      </c>
      <c r="J44" t="s">
        <v>19</v>
      </c>
      <c r="K44" t="s">
        <v>20</v>
      </c>
      <c r="L44" t="s">
        <v>35</v>
      </c>
      <c r="M44" t="s">
        <v>36</v>
      </c>
      <c r="N44" s="2">
        <v>6500</v>
      </c>
    </row>
    <row r="45" spans="1:14" x14ac:dyDescent="0.25">
      <c r="A45" t="s">
        <v>128</v>
      </c>
      <c r="B45" t="s">
        <v>129</v>
      </c>
      <c r="C45" t="s">
        <v>16</v>
      </c>
      <c r="D45" t="s">
        <v>16</v>
      </c>
      <c r="E45" t="s">
        <v>17</v>
      </c>
      <c r="F45" t="s">
        <v>33</v>
      </c>
      <c r="G45">
        <v>42</v>
      </c>
      <c r="H45">
        <v>10.88</v>
      </c>
      <c r="I45">
        <v>20</v>
      </c>
      <c r="J45" t="s">
        <v>28</v>
      </c>
      <c r="K45" t="s">
        <v>20</v>
      </c>
      <c r="L45" t="s">
        <v>45</v>
      </c>
      <c r="M45" t="s">
        <v>130</v>
      </c>
      <c r="N45" s="2">
        <v>7800</v>
      </c>
    </row>
    <row r="46" spans="1:14" x14ac:dyDescent="0.25">
      <c r="A46" t="s">
        <v>131</v>
      </c>
      <c r="B46" t="s">
        <v>132</v>
      </c>
      <c r="C46" t="s">
        <v>16</v>
      </c>
      <c r="D46" t="s">
        <v>32</v>
      </c>
      <c r="E46" t="s">
        <v>17</v>
      </c>
      <c r="F46" t="s">
        <v>78</v>
      </c>
      <c r="G46">
        <v>42</v>
      </c>
      <c r="H46">
        <v>12.2</v>
      </c>
      <c r="I46">
        <v>21</v>
      </c>
      <c r="J46" t="s">
        <v>44</v>
      </c>
      <c r="K46" t="s">
        <v>20</v>
      </c>
      <c r="L46" t="s">
        <v>45</v>
      </c>
      <c r="M46" t="s">
        <v>75</v>
      </c>
      <c r="N46" s="2">
        <v>9200</v>
      </c>
    </row>
    <row r="47" spans="1:14" x14ac:dyDescent="0.25">
      <c r="A47" t="s">
        <v>133</v>
      </c>
      <c r="B47" t="s">
        <v>134</v>
      </c>
      <c r="C47" t="s">
        <v>25</v>
      </c>
      <c r="D47" t="s">
        <v>26</v>
      </c>
      <c r="E47" t="s">
        <v>17</v>
      </c>
      <c r="F47" t="s">
        <v>78</v>
      </c>
      <c r="G47">
        <v>42</v>
      </c>
      <c r="H47">
        <v>9.3000000000000007</v>
      </c>
      <c r="I47">
        <v>20</v>
      </c>
      <c r="J47" t="s">
        <v>19</v>
      </c>
      <c r="K47" t="s">
        <v>20</v>
      </c>
      <c r="L47" t="s">
        <v>45</v>
      </c>
      <c r="M47" t="s">
        <v>36</v>
      </c>
      <c r="N47" s="2">
        <v>6500</v>
      </c>
    </row>
    <row r="48" spans="1:14" x14ac:dyDescent="0.25">
      <c r="A48" t="s">
        <v>93</v>
      </c>
      <c r="B48" t="s">
        <v>107</v>
      </c>
      <c r="C48" t="s">
        <v>16</v>
      </c>
      <c r="D48" t="s">
        <v>32</v>
      </c>
      <c r="E48" t="s">
        <v>17</v>
      </c>
      <c r="F48" t="s">
        <v>39</v>
      </c>
      <c r="G48">
        <v>41</v>
      </c>
      <c r="H48">
        <v>12.3</v>
      </c>
      <c r="I48">
        <v>22</v>
      </c>
      <c r="J48" t="s">
        <v>44</v>
      </c>
      <c r="K48" t="s">
        <v>20</v>
      </c>
      <c r="L48" t="s">
        <v>45</v>
      </c>
      <c r="M48" t="s">
        <v>29</v>
      </c>
      <c r="N48" s="2">
        <v>8400</v>
      </c>
    </row>
    <row r="49" spans="1:14" x14ac:dyDescent="0.25">
      <c r="A49" t="s">
        <v>120</v>
      </c>
      <c r="B49" t="s">
        <v>121</v>
      </c>
      <c r="C49" t="s">
        <v>16</v>
      </c>
      <c r="D49" t="s">
        <v>32</v>
      </c>
      <c r="E49" t="s">
        <v>17</v>
      </c>
      <c r="F49" t="s">
        <v>39</v>
      </c>
      <c r="G49">
        <v>43</v>
      </c>
      <c r="H49">
        <v>12.13</v>
      </c>
      <c r="I49">
        <v>23</v>
      </c>
      <c r="J49" t="s">
        <v>44</v>
      </c>
      <c r="K49" t="s">
        <v>20</v>
      </c>
      <c r="L49" t="s">
        <v>45</v>
      </c>
      <c r="M49" t="s">
        <v>122</v>
      </c>
      <c r="N49" s="2">
        <v>6200</v>
      </c>
    </row>
    <row r="50" spans="1:14" x14ac:dyDescent="0.25">
      <c r="A50" t="s">
        <v>62</v>
      </c>
      <c r="B50" t="s">
        <v>63</v>
      </c>
      <c r="C50" t="s">
        <v>16</v>
      </c>
      <c r="D50" t="s">
        <v>32</v>
      </c>
      <c r="E50" t="s">
        <v>17</v>
      </c>
      <c r="F50" t="s">
        <v>39</v>
      </c>
      <c r="G50">
        <v>38.5</v>
      </c>
      <c r="H50">
        <v>9.3000000000000007</v>
      </c>
      <c r="I50">
        <v>20</v>
      </c>
      <c r="J50" t="s">
        <v>28</v>
      </c>
      <c r="K50" t="s">
        <v>20</v>
      </c>
      <c r="L50" t="s">
        <v>21</v>
      </c>
      <c r="M50" t="s">
        <v>36</v>
      </c>
      <c r="N50" s="2">
        <v>1600</v>
      </c>
    </row>
    <row r="51" spans="1:14" x14ac:dyDescent="0.25">
      <c r="A51" t="s">
        <v>135</v>
      </c>
      <c r="B51" t="s">
        <v>136</v>
      </c>
      <c r="C51" t="s">
        <v>16</v>
      </c>
      <c r="D51" t="s">
        <v>16</v>
      </c>
      <c r="E51" t="s">
        <v>17</v>
      </c>
      <c r="F51" t="s">
        <v>137</v>
      </c>
      <c r="G51">
        <v>40.5</v>
      </c>
      <c r="H51">
        <v>8.3000000000000007</v>
      </c>
      <c r="I51">
        <v>20</v>
      </c>
      <c r="J51" t="s">
        <v>28</v>
      </c>
      <c r="K51" t="s">
        <v>20</v>
      </c>
      <c r="L51" t="s">
        <v>21</v>
      </c>
      <c r="M51" t="s">
        <v>50</v>
      </c>
      <c r="N51" s="2">
        <v>29800</v>
      </c>
    </row>
    <row r="52" spans="1:14" x14ac:dyDescent="0.25">
      <c r="A52" t="s">
        <v>76</v>
      </c>
      <c r="B52" t="s">
        <v>77</v>
      </c>
      <c r="C52" t="s">
        <v>16</v>
      </c>
      <c r="D52" t="s">
        <v>16</v>
      </c>
      <c r="E52" t="s">
        <v>17</v>
      </c>
      <c r="F52" t="s">
        <v>78</v>
      </c>
      <c r="G52">
        <v>41</v>
      </c>
      <c r="H52">
        <v>9.8000000000000007</v>
      </c>
      <c r="I52">
        <v>20</v>
      </c>
      <c r="J52" t="s">
        <v>28</v>
      </c>
      <c r="K52" t="s">
        <v>20</v>
      </c>
      <c r="L52" t="s">
        <v>21</v>
      </c>
      <c r="M52" t="s">
        <v>29</v>
      </c>
      <c r="N52" s="2">
        <v>24500</v>
      </c>
    </row>
    <row r="53" spans="1:14" x14ac:dyDescent="0.25">
      <c r="A53" t="s">
        <v>93</v>
      </c>
      <c r="B53" t="s">
        <v>107</v>
      </c>
      <c r="C53" t="s">
        <v>16</v>
      </c>
      <c r="D53" t="s">
        <v>32</v>
      </c>
      <c r="E53" t="s">
        <v>17</v>
      </c>
      <c r="F53" t="s">
        <v>39</v>
      </c>
      <c r="G53">
        <v>41</v>
      </c>
      <c r="H53">
        <v>12.3</v>
      </c>
      <c r="I53">
        <v>22</v>
      </c>
      <c r="J53" t="s">
        <v>44</v>
      </c>
      <c r="K53" t="s">
        <v>20</v>
      </c>
      <c r="L53" t="s">
        <v>45</v>
      </c>
      <c r="M53" t="s">
        <v>29</v>
      </c>
      <c r="N53" s="2">
        <v>7950</v>
      </c>
    </row>
    <row r="54" spans="1:14" x14ac:dyDescent="0.25">
      <c r="A54" t="s">
        <v>133</v>
      </c>
      <c r="B54" t="s">
        <v>134</v>
      </c>
      <c r="C54" t="s">
        <v>25</v>
      </c>
      <c r="D54" t="s">
        <v>26</v>
      </c>
      <c r="E54" t="s">
        <v>17</v>
      </c>
      <c r="F54" t="s">
        <v>78</v>
      </c>
      <c r="G54">
        <v>42</v>
      </c>
      <c r="H54">
        <v>10.5</v>
      </c>
      <c r="I54">
        <v>22</v>
      </c>
      <c r="J54" t="s">
        <v>19</v>
      </c>
      <c r="K54" t="s">
        <v>20</v>
      </c>
      <c r="L54" t="s">
        <v>45</v>
      </c>
      <c r="M54" t="s">
        <v>36</v>
      </c>
      <c r="N54" s="2">
        <v>8200</v>
      </c>
    </row>
    <row r="55" spans="1:14" x14ac:dyDescent="0.25">
      <c r="A55" t="s">
        <v>109</v>
      </c>
      <c r="B55" t="s">
        <v>110</v>
      </c>
      <c r="C55" t="s">
        <v>16</v>
      </c>
      <c r="D55" t="s">
        <v>111</v>
      </c>
      <c r="E55" t="s">
        <v>17</v>
      </c>
      <c r="F55" t="s">
        <v>18</v>
      </c>
      <c r="G55">
        <v>45</v>
      </c>
      <c r="H55">
        <v>15.4</v>
      </c>
      <c r="I55">
        <v>23</v>
      </c>
      <c r="J55" t="s">
        <v>19</v>
      </c>
      <c r="K55" t="s">
        <v>20</v>
      </c>
      <c r="L55" t="s">
        <v>21</v>
      </c>
      <c r="M55" t="s">
        <v>112</v>
      </c>
      <c r="N55" s="2">
        <v>11500</v>
      </c>
    </row>
    <row r="56" spans="1:14" x14ac:dyDescent="0.25">
      <c r="A56" t="s">
        <v>113</v>
      </c>
      <c r="B56" t="s">
        <v>138</v>
      </c>
      <c r="C56" t="s">
        <v>16</v>
      </c>
      <c r="D56" t="s">
        <v>32</v>
      </c>
      <c r="E56" t="s">
        <v>17</v>
      </c>
      <c r="F56" t="s">
        <v>33</v>
      </c>
      <c r="G56">
        <v>42</v>
      </c>
      <c r="H56">
        <v>13.1</v>
      </c>
      <c r="I56">
        <v>22</v>
      </c>
      <c r="J56" t="s">
        <v>44</v>
      </c>
      <c r="K56" t="s">
        <v>20</v>
      </c>
      <c r="L56" t="s">
        <v>35</v>
      </c>
      <c r="M56" t="s">
        <v>54</v>
      </c>
      <c r="N56" s="2">
        <v>9400</v>
      </c>
    </row>
    <row r="57" spans="1:14" x14ac:dyDescent="0.25">
      <c r="A57" t="s">
        <v>128</v>
      </c>
      <c r="B57" t="s">
        <v>129</v>
      </c>
      <c r="C57" t="s">
        <v>16</v>
      </c>
      <c r="D57" t="s">
        <v>16</v>
      </c>
      <c r="E57" t="s">
        <v>17</v>
      </c>
      <c r="F57" t="s">
        <v>33</v>
      </c>
      <c r="G57">
        <v>38</v>
      </c>
      <c r="H57">
        <v>10.88</v>
      </c>
      <c r="I57">
        <v>25</v>
      </c>
      <c r="J57" t="s">
        <v>28</v>
      </c>
      <c r="K57" t="s">
        <v>20</v>
      </c>
      <c r="L57" t="s">
        <v>45</v>
      </c>
      <c r="M57" t="s">
        <v>130</v>
      </c>
      <c r="N57" s="2">
        <v>6700</v>
      </c>
    </row>
    <row r="58" spans="1:14" x14ac:dyDescent="0.25">
      <c r="A58" t="s">
        <v>126</v>
      </c>
      <c r="B58" t="s">
        <v>127</v>
      </c>
      <c r="C58" t="s">
        <v>16</v>
      </c>
      <c r="D58" t="s">
        <v>32</v>
      </c>
      <c r="E58" t="s">
        <v>17</v>
      </c>
      <c r="F58" t="s">
        <v>78</v>
      </c>
      <c r="G58">
        <v>42</v>
      </c>
      <c r="H58">
        <v>11.43</v>
      </c>
      <c r="I58">
        <v>20</v>
      </c>
      <c r="J58" t="s">
        <v>19</v>
      </c>
      <c r="K58" t="s">
        <v>20</v>
      </c>
      <c r="L58" t="s">
        <v>35</v>
      </c>
      <c r="M58" t="s">
        <v>36</v>
      </c>
      <c r="N58" s="2">
        <v>6100</v>
      </c>
    </row>
    <row r="59" spans="1:14" x14ac:dyDescent="0.25">
      <c r="A59" t="s">
        <v>79</v>
      </c>
      <c r="B59" t="s">
        <v>80</v>
      </c>
      <c r="C59" t="s">
        <v>16</v>
      </c>
      <c r="D59" t="s">
        <v>16</v>
      </c>
      <c r="E59" t="s">
        <v>17</v>
      </c>
      <c r="F59" t="s">
        <v>81</v>
      </c>
      <c r="G59">
        <v>41</v>
      </c>
      <c r="H59">
        <v>11</v>
      </c>
      <c r="I59">
        <v>22</v>
      </c>
      <c r="J59" t="s">
        <v>28</v>
      </c>
      <c r="K59" t="s">
        <v>20</v>
      </c>
      <c r="L59" t="s">
        <v>21</v>
      </c>
      <c r="M59" t="s">
        <v>29</v>
      </c>
      <c r="N59" s="2">
        <v>16300</v>
      </c>
    </row>
    <row r="60" spans="1:14" x14ac:dyDescent="0.25">
      <c r="A60" t="s">
        <v>99</v>
      </c>
      <c r="B60">
        <v>1858</v>
      </c>
      <c r="C60" t="s">
        <v>16</v>
      </c>
      <c r="D60" t="s">
        <v>32</v>
      </c>
      <c r="E60" t="s">
        <v>17</v>
      </c>
      <c r="F60" t="s">
        <v>33</v>
      </c>
      <c r="G60">
        <v>42</v>
      </c>
      <c r="H60">
        <v>12.8</v>
      </c>
      <c r="I60">
        <v>22</v>
      </c>
      <c r="J60" t="s">
        <v>19</v>
      </c>
      <c r="K60" t="s">
        <v>20</v>
      </c>
      <c r="L60" t="s">
        <v>45</v>
      </c>
      <c r="M60" t="s">
        <v>58</v>
      </c>
      <c r="N60" s="2">
        <v>3600</v>
      </c>
    </row>
    <row r="61" spans="1:14" x14ac:dyDescent="0.25">
      <c r="A61" t="s">
        <v>118</v>
      </c>
      <c r="B61" t="s">
        <v>119</v>
      </c>
      <c r="C61" t="s">
        <v>16</v>
      </c>
      <c r="D61" t="s">
        <v>26</v>
      </c>
      <c r="E61" t="s">
        <v>17</v>
      </c>
      <c r="F61" t="s">
        <v>18</v>
      </c>
      <c r="G61">
        <v>44</v>
      </c>
      <c r="H61">
        <v>12.5</v>
      </c>
      <c r="I61">
        <v>22</v>
      </c>
      <c r="J61" t="s">
        <v>19</v>
      </c>
      <c r="K61" t="s">
        <v>20</v>
      </c>
      <c r="L61" t="s">
        <v>21</v>
      </c>
      <c r="M61" t="s">
        <v>29</v>
      </c>
      <c r="N61" s="2">
        <v>9500</v>
      </c>
    </row>
    <row r="62" spans="1:14" x14ac:dyDescent="0.25">
      <c r="A62" t="s">
        <v>14</v>
      </c>
      <c r="B62" t="s">
        <v>103</v>
      </c>
      <c r="C62" t="s">
        <v>16</v>
      </c>
      <c r="D62" t="s">
        <v>16</v>
      </c>
      <c r="E62" t="s">
        <v>17</v>
      </c>
      <c r="F62" t="s">
        <v>33</v>
      </c>
      <c r="G62">
        <v>41</v>
      </c>
      <c r="H62">
        <v>11.2</v>
      </c>
      <c r="I62">
        <v>20</v>
      </c>
      <c r="J62" t="s">
        <v>44</v>
      </c>
      <c r="K62" t="s">
        <v>20</v>
      </c>
      <c r="L62" t="s">
        <v>21</v>
      </c>
      <c r="M62" t="s">
        <v>40</v>
      </c>
      <c r="N62" s="2">
        <v>8900</v>
      </c>
    </row>
    <row r="63" spans="1:14" x14ac:dyDescent="0.25">
      <c r="A63" t="s">
        <v>135</v>
      </c>
      <c r="B63" t="s">
        <v>136</v>
      </c>
      <c r="C63" t="s">
        <v>16</v>
      </c>
      <c r="D63" t="s">
        <v>16</v>
      </c>
      <c r="E63" t="s">
        <v>17</v>
      </c>
      <c r="F63" t="s">
        <v>137</v>
      </c>
      <c r="G63">
        <v>40.799999999999997</v>
      </c>
      <c r="H63">
        <v>8.3000000000000007</v>
      </c>
      <c r="I63">
        <v>20</v>
      </c>
      <c r="J63" t="s">
        <v>28</v>
      </c>
      <c r="K63" t="s">
        <v>20</v>
      </c>
      <c r="L63" t="s">
        <v>139</v>
      </c>
      <c r="M63" t="s">
        <v>22</v>
      </c>
      <c r="N63" s="2">
        <v>44500</v>
      </c>
    </row>
    <row r="64" spans="1:14" x14ac:dyDescent="0.25">
      <c r="A64" t="s">
        <v>76</v>
      </c>
      <c r="B64" t="s">
        <v>77</v>
      </c>
      <c r="C64" t="s">
        <v>16</v>
      </c>
      <c r="D64" t="s">
        <v>16</v>
      </c>
      <c r="E64" t="s">
        <v>17</v>
      </c>
      <c r="F64" t="s">
        <v>78</v>
      </c>
      <c r="G64">
        <v>41</v>
      </c>
      <c r="H64">
        <v>10.4</v>
      </c>
      <c r="I64">
        <v>20</v>
      </c>
      <c r="J64" t="s">
        <v>28</v>
      </c>
      <c r="K64" t="s">
        <v>20</v>
      </c>
      <c r="L64" t="s">
        <v>21</v>
      </c>
      <c r="M64" t="s">
        <v>29</v>
      </c>
      <c r="N64" s="2">
        <v>17000</v>
      </c>
    </row>
    <row r="65" spans="1:14" x14ac:dyDescent="0.25">
      <c r="A65" t="s">
        <v>89</v>
      </c>
      <c r="B65" t="s">
        <v>90</v>
      </c>
      <c r="C65" t="s">
        <v>16</v>
      </c>
      <c r="D65" t="s">
        <v>140</v>
      </c>
      <c r="E65" t="s">
        <v>17</v>
      </c>
      <c r="F65" t="s">
        <v>53</v>
      </c>
      <c r="G65">
        <v>41</v>
      </c>
      <c r="H65">
        <v>12.7</v>
      </c>
      <c r="I65">
        <v>22</v>
      </c>
      <c r="J65" t="s">
        <v>19</v>
      </c>
      <c r="K65" t="s">
        <v>20</v>
      </c>
      <c r="L65" t="s">
        <v>45</v>
      </c>
      <c r="M65" t="s">
        <v>40</v>
      </c>
      <c r="N65" s="2">
        <v>4500</v>
      </c>
    </row>
    <row r="66" spans="1:14" x14ac:dyDescent="0.25">
      <c r="A66" t="s">
        <v>93</v>
      </c>
      <c r="B66" t="s">
        <v>107</v>
      </c>
      <c r="C66" t="s">
        <v>16</v>
      </c>
      <c r="D66" t="s">
        <v>32</v>
      </c>
      <c r="E66" t="s">
        <v>17</v>
      </c>
      <c r="F66" t="s">
        <v>39</v>
      </c>
      <c r="G66">
        <v>41</v>
      </c>
      <c r="H66">
        <v>12.3</v>
      </c>
      <c r="I66">
        <v>22</v>
      </c>
      <c r="J66" t="s">
        <v>44</v>
      </c>
      <c r="K66" t="s">
        <v>20</v>
      </c>
      <c r="L66" t="s">
        <v>141</v>
      </c>
      <c r="M66" t="s">
        <v>142</v>
      </c>
      <c r="N66" s="2">
        <v>8300</v>
      </c>
    </row>
    <row r="67" spans="1:14" x14ac:dyDescent="0.25">
      <c r="A67" t="s">
        <v>86</v>
      </c>
      <c r="B67" t="s">
        <v>143</v>
      </c>
      <c r="C67" t="s">
        <v>16</v>
      </c>
      <c r="D67" t="s">
        <v>32</v>
      </c>
      <c r="E67" t="s">
        <v>17</v>
      </c>
      <c r="F67" t="s">
        <v>18</v>
      </c>
      <c r="G67">
        <v>44</v>
      </c>
      <c r="H67">
        <v>13.05</v>
      </c>
      <c r="I67">
        <v>24</v>
      </c>
      <c r="J67" t="s">
        <v>19</v>
      </c>
      <c r="K67" t="s">
        <v>20</v>
      </c>
      <c r="L67" t="s">
        <v>144</v>
      </c>
      <c r="M67" t="s">
        <v>145</v>
      </c>
      <c r="N67" s="2">
        <v>8900</v>
      </c>
    </row>
    <row r="68" spans="1:14" x14ac:dyDescent="0.25">
      <c r="A68" t="s">
        <v>109</v>
      </c>
      <c r="B68" t="s">
        <v>110</v>
      </c>
      <c r="C68" t="s">
        <v>16</v>
      </c>
      <c r="D68" t="s">
        <v>140</v>
      </c>
      <c r="E68" t="s">
        <v>17</v>
      </c>
      <c r="F68" t="s">
        <v>18</v>
      </c>
      <c r="G68">
        <v>43.6</v>
      </c>
      <c r="H68">
        <v>13.83</v>
      </c>
      <c r="I68">
        <v>23</v>
      </c>
      <c r="J68" t="s">
        <v>19</v>
      </c>
      <c r="K68" t="s">
        <v>20</v>
      </c>
      <c r="L68" t="s">
        <v>146</v>
      </c>
      <c r="M68" t="s">
        <v>112</v>
      </c>
      <c r="N68" s="2">
        <v>12000</v>
      </c>
    </row>
    <row r="69" spans="1:14" x14ac:dyDescent="0.25">
      <c r="A69" t="s">
        <v>133</v>
      </c>
      <c r="B69" t="s">
        <v>134</v>
      </c>
      <c r="C69" t="s">
        <v>25</v>
      </c>
      <c r="D69" t="s">
        <v>26</v>
      </c>
      <c r="E69" t="s">
        <v>17</v>
      </c>
      <c r="F69" t="s">
        <v>78</v>
      </c>
      <c r="G69">
        <v>45</v>
      </c>
      <c r="H69">
        <v>10.95</v>
      </c>
      <c r="I69">
        <v>24</v>
      </c>
      <c r="J69" t="s">
        <v>28</v>
      </c>
      <c r="K69" t="s">
        <v>20</v>
      </c>
      <c r="L69" t="s">
        <v>21</v>
      </c>
      <c r="M69" t="s">
        <v>36</v>
      </c>
      <c r="N69" s="2">
        <v>7500</v>
      </c>
    </row>
    <row r="70" spans="1:14" x14ac:dyDescent="0.25">
      <c r="A70" t="s">
        <v>113</v>
      </c>
      <c r="B70" t="s">
        <v>138</v>
      </c>
      <c r="C70" t="s">
        <v>16</v>
      </c>
      <c r="D70" t="s">
        <v>32</v>
      </c>
      <c r="E70" t="s">
        <v>17</v>
      </c>
      <c r="F70" t="s">
        <v>78</v>
      </c>
      <c r="G70">
        <v>42</v>
      </c>
      <c r="H70">
        <v>14.05</v>
      </c>
      <c r="I70">
        <v>22</v>
      </c>
      <c r="J70" t="s">
        <v>44</v>
      </c>
      <c r="K70" t="s">
        <v>20</v>
      </c>
      <c r="L70" t="s">
        <v>141</v>
      </c>
      <c r="M70" t="s">
        <v>54</v>
      </c>
      <c r="N70" s="2">
        <v>6900</v>
      </c>
    </row>
    <row r="71" spans="1:14" x14ac:dyDescent="0.25">
      <c r="A71" t="s">
        <v>79</v>
      </c>
      <c r="B71" t="s">
        <v>80</v>
      </c>
      <c r="C71" t="s">
        <v>16</v>
      </c>
      <c r="D71" t="s">
        <v>16</v>
      </c>
      <c r="E71" t="s">
        <v>17</v>
      </c>
      <c r="F71" t="s">
        <v>78</v>
      </c>
      <c r="G71">
        <v>41</v>
      </c>
      <c r="H71">
        <v>11</v>
      </c>
      <c r="I71">
        <v>20</v>
      </c>
      <c r="J71" t="s">
        <v>28</v>
      </c>
      <c r="K71" t="s">
        <v>20</v>
      </c>
      <c r="L71" t="s">
        <v>144</v>
      </c>
      <c r="M71" t="s">
        <v>29</v>
      </c>
      <c r="N71" s="2">
        <v>15500</v>
      </c>
    </row>
    <row r="72" spans="1:14" x14ac:dyDescent="0.25">
      <c r="A72" t="s">
        <v>128</v>
      </c>
      <c r="B72" t="s">
        <v>129</v>
      </c>
      <c r="C72" t="s">
        <v>16</v>
      </c>
      <c r="D72" t="s">
        <v>16</v>
      </c>
      <c r="E72" t="s">
        <v>17</v>
      </c>
      <c r="F72" t="s">
        <v>33</v>
      </c>
      <c r="G72">
        <v>42</v>
      </c>
      <c r="H72">
        <v>10.88</v>
      </c>
      <c r="I72">
        <v>22</v>
      </c>
      <c r="J72" t="s">
        <v>19</v>
      </c>
      <c r="K72" t="s">
        <v>20</v>
      </c>
      <c r="L72" t="s">
        <v>45</v>
      </c>
      <c r="M72" t="s">
        <v>130</v>
      </c>
      <c r="N72" s="2">
        <v>11200</v>
      </c>
    </row>
    <row r="73" spans="1:14" x14ac:dyDescent="0.25">
      <c r="A73" t="s">
        <v>76</v>
      </c>
      <c r="B73" t="s">
        <v>77</v>
      </c>
      <c r="C73" t="s">
        <v>16</v>
      </c>
      <c r="D73" t="s">
        <v>16</v>
      </c>
      <c r="E73" t="s">
        <v>17</v>
      </c>
      <c r="F73" t="s">
        <v>78</v>
      </c>
      <c r="G73">
        <v>39</v>
      </c>
      <c r="H73">
        <v>9.4</v>
      </c>
      <c r="I73">
        <v>20</v>
      </c>
      <c r="J73" t="s">
        <v>28</v>
      </c>
      <c r="K73" t="s">
        <v>20</v>
      </c>
      <c r="L73" t="s">
        <v>147</v>
      </c>
      <c r="M73" t="s">
        <v>29</v>
      </c>
      <c r="N73" s="2">
        <v>18900</v>
      </c>
    </row>
    <row r="74" spans="1:14" x14ac:dyDescent="0.25">
      <c r="A74" t="s">
        <v>135</v>
      </c>
      <c r="B74" t="s">
        <v>136</v>
      </c>
      <c r="C74" t="s">
        <v>16</v>
      </c>
      <c r="D74" t="s">
        <v>16</v>
      </c>
      <c r="E74" t="s">
        <v>17</v>
      </c>
      <c r="F74" t="s">
        <v>137</v>
      </c>
      <c r="G74">
        <v>40.5</v>
      </c>
      <c r="H74">
        <v>8.3000000000000007</v>
      </c>
      <c r="I74">
        <v>20</v>
      </c>
      <c r="J74" t="s">
        <v>28</v>
      </c>
      <c r="K74" t="s">
        <v>20</v>
      </c>
      <c r="L74" t="s">
        <v>21</v>
      </c>
      <c r="M74" t="s">
        <v>50</v>
      </c>
      <c r="N74" s="2">
        <v>49800</v>
      </c>
    </row>
    <row r="75" spans="1:14" x14ac:dyDescent="0.25">
      <c r="A75" t="s">
        <v>93</v>
      </c>
      <c r="B75" t="s">
        <v>94</v>
      </c>
      <c r="C75" t="s">
        <v>16</v>
      </c>
      <c r="D75" t="s">
        <v>32</v>
      </c>
      <c r="E75" t="s">
        <v>17</v>
      </c>
      <c r="F75" t="s">
        <v>95</v>
      </c>
      <c r="G75">
        <v>41</v>
      </c>
      <c r="H75">
        <v>12.5</v>
      </c>
      <c r="I75">
        <v>20</v>
      </c>
      <c r="J75" t="s">
        <v>19</v>
      </c>
      <c r="K75" t="s">
        <v>20</v>
      </c>
      <c r="L75" t="s">
        <v>148</v>
      </c>
      <c r="M75" t="s">
        <v>149</v>
      </c>
      <c r="N75" s="2">
        <v>5500</v>
      </c>
    </row>
    <row r="76" spans="1:14" x14ac:dyDescent="0.25">
      <c r="A76" t="s">
        <v>86</v>
      </c>
      <c r="B76" t="s">
        <v>150</v>
      </c>
      <c r="C76" t="s">
        <v>25</v>
      </c>
      <c r="D76" t="s">
        <v>26</v>
      </c>
      <c r="E76" t="s">
        <v>17</v>
      </c>
      <c r="F76" t="s">
        <v>18</v>
      </c>
      <c r="G76">
        <v>44</v>
      </c>
      <c r="H76">
        <v>15.65</v>
      </c>
      <c r="I76">
        <v>24</v>
      </c>
      <c r="J76" t="s">
        <v>19</v>
      </c>
      <c r="K76" t="s">
        <v>20</v>
      </c>
      <c r="L76" t="s">
        <v>21</v>
      </c>
      <c r="M76" t="s">
        <v>145</v>
      </c>
      <c r="N76" s="2">
        <v>9600</v>
      </c>
    </row>
    <row r="77" spans="1:14" x14ac:dyDescent="0.25">
      <c r="A77" t="s">
        <v>72</v>
      </c>
      <c r="B77" t="s">
        <v>151</v>
      </c>
      <c r="C77" t="s">
        <v>16</v>
      </c>
      <c r="D77" t="s">
        <v>32</v>
      </c>
      <c r="E77" t="s">
        <v>17</v>
      </c>
      <c r="F77" t="s">
        <v>33</v>
      </c>
      <c r="G77">
        <v>39.5</v>
      </c>
      <c r="H77">
        <v>14.1</v>
      </c>
      <c r="I77">
        <v>20</v>
      </c>
      <c r="J77" t="s">
        <v>19</v>
      </c>
      <c r="K77" t="s">
        <v>20</v>
      </c>
      <c r="L77" t="s">
        <v>152</v>
      </c>
      <c r="M77" t="s">
        <v>22</v>
      </c>
      <c r="N77" s="2">
        <v>8800</v>
      </c>
    </row>
    <row r="78" spans="1:14" x14ac:dyDescent="0.25">
      <c r="A78" t="s">
        <v>109</v>
      </c>
      <c r="B78" t="s">
        <v>110</v>
      </c>
      <c r="C78" t="s">
        <v>16</v>
      </c>
      <c r="D78" t="s">
        <v>26</v>
      </c>
      <c r="E78" t="s">
        <v>17</v>
      </c>
      <c r="F78" t="s">
        <v>18</v>
      </c>
      <c r="G78">
        <v>43</v>
      </c>
      <c r="H78">
        <v>13.4</v>
      </c>
      <c r="I78">
        <v>23</v>
      </c>
      <c r="J78" t="s">
        <v>19</v>
      </c>
      <c r="K78" t="s">
        <v>20</v>
      </c>
      <c r="L78" t="s">
        <v>21</v>
      </c>
      <c r="M78" t="s">
        <v>112</v>
      </c>
      <c r="N78" s="2">
        <v>14700</v>
      </c>
    </row>
    <row r="79" spans="1:14" x14ac:dyDescent="0.25">
      <c r="A79" t="s">
        <v>128</v>
      </c>
      <c r="B79" t="s">
        <v>129</v>
      </c>
      <c r="C79" t="s">
        <v>16</v>
      </c>
      <c r="D79" t="s">
        <v>16</v>
      </c>
      <c r="E79" t="s">
        <v>17</v>
      </c>
      <c r="F79" t="s">
        <v>33</v>
      </c>
      <c r="G79">
        <v>42</v>
      </c>
      <c r="H79">
        <v>10.88</v>
      </c>
      <c r="I79">
        <v>22</v>
      </c>
      <c r="J79" t="s">
        <v>28</v>
      </c>
      <c r="K79" t="s">
        <v>20</v>
      </c>
      <c r="L79" t="s">
        <v>21</v>
      </c>
      <c r="M79" t="s">
        <v>130</v>
      </c>
      <c r="N79" s="2">
        <v>10600</v>
      </c>
    </row>
    <row r="80" spans="1:14" x14ac:dyDescent="0.25">
      <c r="A80" t="s">
        <v>79</v>
      </c>
      <c r="B80" t="s">
        <v>80</v>
      </c>
      <c r="C80" t="s">
        <v>16</v>
      </c>
      <c r="D80" t="s">
        <v>16</v>
      </c>
      <c r="E80" t="s">
        <v>17</v>
      </c>
      <c r="F80" t="s">
        <v>81</v>
      </c>
      <c r="G80">
        <v>41</v>
      </c>
      <c r="H80">
        <v>11</v>
      </c>
      <c r="I80">
        <v>20</v>
      </c>
      <c r="J80" t="s">
        <v>19</v>
      </c>
      <c r="K80" t="s">
        <v>20</v>
      </c>
      <c r="L80" t="s">
        <v>21</v>
      </c>
      <c r="M80" t="s">
        <v>29</v>
      </c>
      <c r="N80" s="2">
        <v>19200</v>
      </c>
    </row>
    <row r="81" spans="1:14" x14ac:dyDescent="0.25">
      <c r="A81" t="s">
        <v>113</v>
      </c>
      <c r="B81" t="s">
        <v>114</v>
      </c>
      <c r="C81" t="s">
        <v>16</v>
      </c>
      <c r="D81" t="s">
        <v>32</v>
      </c>
      <c r="E81" t="s">
        <v>17</v>
      </c>
      <c r="F81" t="s">
        <v>33</v>
      </c>
      <c r="G81">
        <v>38</v>
      </c>
      <c r="H81">
        <v>12.15</v>
      </c>
      <c r="I81">
        <v>19</v>
      </c>
      <c r="J81" t="s">
        <v>44</v>
      </c>
      <c r="K81" t="s">
        <v>20</v>
      </c>
      <c r="L81" t="s">
        <v>35</v>
      </c>
      <c r="M81" t="s">
        <v>54</v>
      </c>
      <c r="N81" s="2">
        <v>7500</v>
      </c>
    </row>
    <row r="82" spans="1:14" x14ac:dyDescent="0.25">
      <c r="A82" t="s">
        <v>126</v>
      </c>
      <c r="B82" t="s">
        <v>127</v>
      </c>
      <c r="C82" t="s">
        <v>16</v>
      </c>
      <c r="D82" t="s">
        <v>32</v>
      </c>
      <c r="E82" t="s">
        <v>17</v>
      </c>
      <c r="F82" t="s">
        <v>78</v>
      </c>
      <c r="G82">
        <v>42</v>
      </c>
      <c r="H82">
        <v>12.67</v>
      </c>
      <c r="I82">
        <v>20</v>
      </c>
      <c r="J82" t="s">
        <v>19</v>
      </c>
      <c r="K82" t="s">
        <v>20</v>
      </c>
      <c r="L82" t="s">
        <v>35</v>
      </c>
      <c r="M82" t="s">
        <v>22</v>
      </c>
      <c r="N82" s="2">
        <v>5600</v>
      </c>
    </row>
    <row r="83" spans="1:14" x14ac:dyDescent="0.25">
      <c r="A83" t="s">
        <v>62</v>
      </c>
      <c r="B83" t="s">
        <v>153</v>
      </c>
      <c r="C83" t="s">
        <v>16</v>
      </c>
      <c r="D83" t="s">
        <v>16</v>
      </c>
      <c r="E83" t="s">
        <v>17</v>
      </c>
      <c r="F83" t="s">
        <v>18</v>
      </c>
      <c r="G83">
        <v>43</v>
      </c>
      <c r="H83">
        <v>12.75</v>
      </c>
      <c r="I83">
        <v>22</v>
      </c>
      <c r="J83" t="s">
        <v>28</v>
      </c>
      <c r="K83" t="s">
        <v>20</v>
      </c>
      <c r="L83" t="s">
        <v>21</v>
      </c>
      <c r="M83" t="s">
        <v>64</v>
      </c>
      <c r="N83" s="2">
        <v>1400</v>
      </c>
    </row>
    <row r="84" spans="1:14" x14ac:dyDescent="0.25">
      <c r="A84" t="s">
        <v>14</v>
      </c>
      <c r="B84" t="s">
        <v>15</v>
      </c>
      <c r="C84" t="s">
        <v>16</v>
      </c>
      <c r="D84" t="s">
        <v>16</v>
      </c>
      <c r="E84" t="s">
        <v>17</v>
      </c>
      <c r="F84" t="s">
        <v>18</v>
      </c>
      <c r="G84">
        <v>40</v>
      </c>
      <c r="H84">
        <v>13</v>
      </c>
      <c r="I84">
        <v>20</v>
      </c>
      <c r="J84" t="s">
        <v>19</v>
      </c>
      <c r="K84" t="s">
        <v>20</v>
      </c>
      <c r="L84" t="s">
        <v>21</v>
      </c>
      <c r="M84" t="s">
        <v>22</v>
      </c>
      <c r="N84" s="2">
        <v>9500</v>
      </c>
    </row>
    <row r="85" spans="1:14" x14ac:dyDescent="0.25">
      <c r="A85" t="s">
        <v>23</v>
      </c>
      <c r="B85" t="s">
        <v>24</v>
      </c>
      <c r="C85" t="s">
        <v>25</v>
      </c>
      <c r="D85" t="s">
        <v>26</v>
      </c>
      <c r="E85" t="s">
        <v>17</v>
      </c>
      <c r="F85" t="s">
        <v>27</v>
      </c>
      <c r="G85">
        <v>43.5</v>
      </c>
      <c r="H85">
        <v>14.47</v>
      </c>
      <c r="I85">
        <v>21</v>
      </c>
      <c r="J85" t="s">
        <v>28</v>
      </c>
      <c r="K85" t="s">
        <v>20</v>
      </c>
      <c r="L85" t="s">
        <v>21</v>
      </c>
      <c r="M85" t="s">
        <v>29</v>
      </c>
      <c r="N85" s="2">
        <v>5800</v>
      </c>
    </row>
    <row r="86" spans="1:14" x14ac:dyDescent="0.25">
      <c r="A86" t="s">
        <v>30</v>
      </c>
      <c r="B86" t="s">
        <v>31</v>
      </c>
      <c r="C86" t="s">
        <v>16</v>
      </c>
      <c r="D86" t="s">
        <v>32</v>
      </c>
      <c r="E86" t="s">
        <v>17</v>
      </c>
      <c r="F86" t="s">
        <v>33</v>
      </c>
      <c r="G86">
        <v>41</v>
      </c>
      <c r="H86">
        <v>13</v>
      </c>
      <c r="I86">
        <v>20</v>
      </c>
      <c r="J86" t="s">
        <v>34</v>
      </c>
      <c r="K86" t="s">
        <v>20</v>
      </c>
      <c r="L86" t="s">
        <v>35</v>
      </c>
      <c r="M86" t="s">
        <v>36</v>
      </c>
      <c r="N86" s="2">
        <v>4200</v>
      </c>
    </row>
    <row r="87" spans="1:14" x14ac:dyDescent="0.25">
      <c r="A87" t="s">
        <v>37</v>
      </c>
      <c r="B87" t="s">
        <v>38</v>
      </c>
      <c r="C87" t="s">
        <v>16</v>
      </c>
      <c r="D87" t="s">
        <v>16</v>
      </c>
      <c r="E87" t="s">
        <v>17</v>
      </c>
      <c r="F87" t="s">
        <v>39</v>
      </c>
      <c r="G87">
        <v>43</v>
      </c>
      <c r="H87">
        <v>14.25</v>
      </c>
      <c r="I87">
        <v>22</v>
      </c>
      <c r="J87" t="s">
        <v>19</v>
      </c>
      <c r="K87" t="s">
        <v>20</v>
      </c>
      <c r="L87" t="s">
        <v>35</v>
      </c>
      <c r="M87" t="s">
        <v>40</v>
      </c>
      <c r="N87" s="2">
        <v>7900</v>
      </c>
    </row>
    <row r="88" spans="1:14" x14ac:dyDescent="0.25">
      <c r="A88" t="s">
        <v>41</v>
      </c>
      <c r="B88" t="s">
        <v>42</v>
      </c>
      <c r="C88" t="s">
        <v>16</v>
      </c>
      <c r="D88" t="s">
        <v>32</v>
      </c>
      <c r="E88" t="s">
        <v>43</v>
      </c>
      <c r="F88" t="s">
        <v>39</v>
      </c>
      <c r="G88">
        <v>31</v>
      </c>
      <c r="H88">
        <v>6.05</v>
      </c>
      <c r="I88">
        <v>20</v>
      </c>
      <c r="J88" t="s">
        <v>44</v>
      </c>
      <c r="K88" t="s">
        <v>20</v>
      </c>
      <c r="L88" t="s">
        <v>45</v>
      </c>
      <c r="M88" t="s">
        <v>46</v>
      </c>
      <c r="N88" s="2">
        <v>2800</v>
      </c>
    </row>
    <row r="89" spans="1:14" x14ac:dyDescent="0.25">
      <c r="A89" t="s">
        <v>47</v>
      </c>
      <c r="B89" t="s">
        <v>48</v>
      </c>
      <c r="C89" t="s">
        <v>16</v>
      </c>
      <c r="D89" t="s">
        <v>32</v>
      </c>
      <c r="E89" t="s">
        <v>49</v>
      </c>
      <c r="F89" t="s">
        <v>39</v>
      </c>
      <c r="G89">
        <v>42.9</v>
      </c>
      <c r="H89">
        <v>9.1999999999999993</v>
      </c>
      <c r="I89">
        <v>20</v>
      </c>
      <c r="J89" t="s">
        <v>19</v>
      </c>
      <c r="K89" t="s">
        <v>20</v>
      </c>
      <c r="L89" t="s">
        <v>45</v>
      </c>
      <c r="M89" t="s">
        <v>50</v>
      </c>
      <c r="N89" s="2">
        <v>5500</v>
      </c>
    </row>
    <row r="90" spans="1:14" x14ac:dyDescent="0.25">
      <c r="A90" t="s">
        <v>89</v>
      </c>
      <c r="B90" t="s">
        <v>90</v>
      </c>
      <c r="C90" t="s">
        <v>16</v>
      </c>
      <c r="D90" t="s">
        <v>32</v>
      </c>
      <c r="E90" t="s">
        <v>17</v>
      </c>
      <c r="F90" t="s">
        <v>53</v>
      </c>
      <c r="G90">
        <v>41</v>
      </c>
      <c r="H90">
        <v>12.75</v>
      </c>
      <c r="I90">
        <v>22</v>
      </c>
      <c r="J90" t="s">
        <v>19</v>
      </c>
      <c r="K90" t="s">
        <v>20</v>
      </c>
      <c r="L90" t="s">
        <v>21</v>
      </c>
      <c r="M90" t="s">
        <v>40</v>
      </c>
      <c r="N90" s="2">
        <v>3500</v>
      </c>
    </row>
    <row r="91" spans="1:14" x14ac:dyDescent="0.25">
      <c r="A91" t="s">
        <v>51</v>
      </c>
      <c r="B91" t="s">
        <v>52</v>
      </c>
      <c r="C91" t="s">
        <v>16</v>
      </c>
      <c r="D91" t="s">
        <v>154</v>
      </c>
      <c r="E91" t="s">
        <v>17</v>
      </c>
      <c r="F91" t="s">
        <v>53</v>
      </c>
      <c r="G91">
        <v>42.3</v>
      </c>
      <c r="H91">
        <v>13.4</v>
      </c>
      <c r="I91">
        <v>22</v>
      </c>
      <c r="J91" t="s">
        <v>28</v>
      </c>
      <c r="K91" t="s">
        <v>155</v>
      </c>
      <c r="L91" t="s">
        <v>45</v>
      </c>
      <c r="M91" t="s">
        <v>54</v>
      </c>
      <c r="N91" s="2">
        <v>650</v>
      </c>
    </row>
    <row r="92" spans="1:14" x14ac:dyDescent="0.25">
      <c r="A92" t="s">
        <v>59</v>
      </c>
      <c r="B92" t="s">
        <v>156</v>
      </c>
      <c r="C92" t="s">
        <v>16</v>
      </c>
      <c r="D92" t="s">
        <v>32</v>
      </c>
      <c r="E92" t="s">
        <v>17</v>
      </c>
      <c r="F92" t="s">
        <v>33</v>
      </c>
      <c r="G92">
        <v>38</v>
      </c>
      <c r="H92">
        <v>9.85</v>
      </c>
      <c r="I92">
        <v>20</v>
      </c>
      <c r="J92" t="s">
        <v>19</v>
      </c>
      <c r="K92" t="s">
        <v>20</v>
      </c>
      <c r="L92" t="s">
        <v>45</v>
      </c>
      <c r="M92" t="s">
        <v>61</v>
      </c>
      <c r="N92" s="2">
        <v>545</v>
      </c>
    </row>
    <row r="93" spans="1:14" x14ac:dyDescent="0.25">
      <c r="A93" t="s">
        <v>157</v>
      </c>
      <c r="B93" t="s">
        <v>158</v>
      </c>
      <c r="C93" t="s">
        <v>16</v>
      </c>
      <c r="D93" t="s">
        <v>16</v>
      </c>
      <c r="E93" t="s">
        <v>43</v>
      </c>
      <c r="F93" t="s">
        <v>18</v>
      </c>
      <c r="G93">
        <v>46.5</v>
      </c>
      <c r="H93">
        <v>17.5</v>
      </c>
      <c r="I93">
        <v>24</v>
      </c>
      <c r="J93" t="s">
        <v>19</v>
      </c>
      <c r="K93" t="s">
        <v>55</v>
      </c>
      <c r="L93" t="s">
        <v>35</v>
      </c>
      <c r="M93" t="s">
        <v>46</v>
      </c>
      <c r="N93" s="2">
        <v>650</v>
      </c>
    </row>
    <row r="94" spans="1:14" x14ac:dyDescent="0.25">
      <c r="A94" t="s">
        <v>23</v>
      </c>
      <c r="B94" t="s">
        <v>82</v>
      </c>
      <c r="C94" t="s">
        <v>16</v>
      </c>
      <c r="D94" t="s">
        <v>16</v>
      </c>
      <c r="E94" t="s">
        <v>49</v>
      </c>
      <c r="F94" t="s">
        <v>78</v>
      </c>
      <c r="G94">
        <v>42</v>
      </c>
      <c r="H94">
        <v>14.3</v>
      </c>
      <c r="I94">
        <v>20</v>
      </c>
      <c r="J94" t="s">
        <v>19</v>
      </c>
      <c r="K94" t="s">
        <v>106</v>
      </c>
      <c r="L94" t="s">
        <v>83</v>
      </c>
      <c r="M94" t="s">
        <v>22</v>
      </c>
      <c r="N94" s="2">
        <v>5500</v>
      </c>
    </row>
    <row r="95" spans="1:14" x14ac:dyDescent="0.25">
      <c r="A95" t="s">
        <v>37</v>
      </c>
      <c r="B95" t="s">
        <v>159</v>
      </c>
      <c r="C95" t="s">
        <v>16</v>
      </c>
      <c r="D95" t="s">
        <v>26</v>
      </c>
      <c r="E95" t="s">
        <v>17</v>
      </c>
      <c r="F95" t="s">
        <v>53</v>
      </c>
      <c r="G95">
        <v>42</v>
      </c>
      <c r="H95">
        <v>14.35</v>
      </c>
      <c r="I95">
        <v>22</v>
      </c>
      <c r="J95" t="s">
        <v>19</v>
      </c>
      <c r="K95" t="s">
        <v>20</v>
      </c>
      <c r="L95" t="s">
        <v>21</v>
      </c>
      <c r="M95" t="s">
        <v>58</v>
      </c>
      <c r="N95" s="2">
        <v>4800</v>
      </c>
    </row>
    <row r="96" spans="1:14" x14ac:dyDescent="0.25">
      <c r="A96" t="s">
        <v>47</v>
      </c>
      <c r="B96" t="s">
        <v>160</v>
      </c>
      <c r="C96" t="s">
        <v>16</v>
      </c>
      <c r="D96" t="s">
        <v>32</v>
      </c>
      <c r="E96" t="s">
        <v>17</v>
      </c>
      <c r="F96" t="s">
        <v>78</v>
      </c>
      <c r="G96">
        <v>40</v>
      </c>
      <c r="H96">
        <v>8.8000000000000007</v>
      </c>
      <c r="I96">
        <v>20</v>
      </c>
      <c r="J96" t="s">
        <v>44</v>
      </c>
      <c r="K96" t="s">
        <v>20</v>
      </c>
      <c r="L96" t="s">
        <v>21</v>
      </c>
      <c r="M96" t="s">
        <v>40</v>
      </c>
      <c r="N96" s="2">
        <v>6500</v>
      </c>
    </row>
    <row r="97" spans="1:14" x14ac:dyDescent="0.25">
      <c r="A97" t="s">
        <v>41</v>
      </c>
      <c r="B97" t="s">
        <v>161</v>
      </c>
      <c r="C97" t="s">
        <v>16</v>
      </c>
      <c r="D97" t="s">
        <v>16</v>
      </c>
      <c r="E97" t="s">
        <v>17</v>
      </c>
      <c r="F97" t="s">
        <v>33</v>
      </c>
      <c r="G97">
        <v>39.799999999999997</v>
      </c>
      <c r="H97">
        <v>9.08</v>
      </c>
      <c r="I97">
        <v>21.5</v>
      </c>
      <c r="J97" t="s">
        <v>44</v>
      </c>
      <c r="K97" t="s">
        <v>20</v>
      </c>
      <c r="L97" t="s">
        <v>21</v>
      </c>
      <c r="M97" t="s">
        <v>36</v>
      </c>
      <c r="N97" s="2">
        <v>7500</v>
      </c>
    </row>
    <row r="98" spans="1:14" x14ac:dyDescent="0.25">
      <c r="A98" t="s">
        <v>113</v>
      </c>
      <c r="B98" t="s">
        <v>162</v>
      </c>
      <c r="C98" t="s">
        <v>16</v>
      </c>
      <c r="D98" t="s">
        <v>32</v>
      </c>
      <c r="E98" t="s">
        <v>17</v>
      </c>
      <c r="F98" t="s">
        <v>78</v>
      </c>
      <c r="G98">
        <v>40.5</v>
      </c>
      <c r="H98">
        <v>9.15</v>
      </c>
      <c r="I98">
        <v>20</v>
      </c>
      <c r="J98" t="s">
        <v>44</v>
      </c>
      <c r="K98" t="s">
        <v>20</v>
      </c>
      <c r="L98" t="s">
        <v>45</v>
      </c>
      <c r="M98" t="s">
        <v>54</v>
      </c>
      <c r="N98" s="2">
        <v>4500</v>
      </c>
    </row>
    <row r="99" spans="1:14" x14ac:dyDescent="0.25">
      <c r="A99" t="s">
        <v>86</v>
      </c>
      <c r="B99" t="s">
        <v>163</v>
      </c>
      <c r="C99" t="s">
        <v>16</v>
      </c>
      <c r="D99" t="s">
        <v>32</v>
      </c>
      <c r="E99" t="s">
        <v>49</v>
      </c>
      <c r="F99" t="s">
        <v>33</v>
      </c>
      <c r="G99">
        <v>44</v>
      </c>
      <c r="H99">
        <v>10.5</v>
      </c>
      <c r="I99">
        <v>24</v>
      </c>
      <c r="J99" t="s">
        <v>19</v>
      </c>
      <c r="K99" t="s">
        <v>20</v>
      </c>
      <c r="L99" t="s">
        <v>45</v>
      </c>
      <c r="M99" t="s">
        <v>88</v>
      </c>
      <c r="N99" s="2">
        <v>5800</v>
      </c>
    </row>
    <row r="100" spans="1:14" x14ac:dyDescent="0.25">
      <c r="A100" t="s">
        <v>76</v>
      </c>
      <c r="B100" t="s">
        <v>77</v>
      </c>
      <c r="C100" t="s">
        <v>16</v>
      </c>
      <c r="D100" t="s">
        <v>16</v>
      </c>
      <c r="E100" t="s">
        <v>17</v>
      </c>
      <c r="F100" t="s">
        <v>78</v>
      </c>
      <c r="G100">
        <v>41</v>
      </c>
      <c r="H100">
        <v>10.4</v>
      </c>
      <c r="I100">
        <v>20</v>
      </c>
      <c r="J100" t="s">
        <v>44</v>
      </c>
      <c r="K100" t="s">
        <v>20</v>
      </c>
      <c r="L100" t="s">
        <v>21</v>
      </c>
      <c r="M100" t="s">
        <v>29</v>
      </c>
      <c r="N100" s="2">
        <v>21000</v>
      </c>
    </row>
    <row r="101" spans="1:14" x14ac:dyDescent="0.25">
      <c r="A101" t="s">
        <v>93</v>
      </c>
      <c r="B101" t="s">
        <v>94</v>
      </c>
      <c r="C101" t="s">
        <v>16</v>
      </c>
      <c r="D101" t="s">
        <v>32</v>
      </c>
      <c r="E101" t="s">
        <v>17</v>
      </c>
      <c r="F101" t="s">
        <v>95</v>
      </c>
      <c r="G101">
        <v>41</v>
      </c>
      <c r="H101">
        <v>10.86</v>
      </c>
      <c r="I101">
        <v>20</v>
      </c>
      <c r="J101" t="s">
        <v>19</v>
      </c>
      <c r="K101" t="s">
        <v>20</v>
      </c>
      <c r="L101" t="s">
        <v>21</v>
      </c>
      <c r="M101" t="s">
        <v>36</v>
      </c>
      <c r="N101" s="2">
        <v>3800</v>
      </c>
    </row>
    <row r="102" spans="1:14" x14ac:dyDescent="0.25">
      <c r="A102" t="s">
        <v>89</v>
      </c>
      <c r="B102" t="s">
        <v>90</v>
      </c>
      <c r="C102" t="s">
        <v>16</v>
      </c>
      <c r="D102" t="s">
        <v>32</v>
      </c>
      <c r="E102" t="s">
        <v>17</v>
      </c>
      <c r="F102" t="s">
        <v>53</v>
      </c>
      <c r="G102">
        <v>41</v>
      </c>
      <c r="H102">
        <v>12.7</v>
      </c>
      <c r="I102">
        <v>22</v>
      </c>
      <c r="J102" t="s">
        <v>19</v>
      </c>
      <c r="K102" t="s">
        <v>20</v>
      </c>
      <c r="L102" t="s">
        <v>21</v>
      </c>
      <c r="M102" t="s">
        <v>40</v>
      </c>
      <c r="N102" s="2">
        <v>3900</v>
      </c>
    </row>
    <row r="103" spans="1:14" x14ac:dyDescent="0.25">
      <c r="A103" t="s">
        <v>62</v>
      </c>
      <c r="B103" t="s">
        <v>164</v>
      </c>
      <c r="C103" t="s">
        <v>16</v>
      </c>
      <c r="D103" t="s">
        <v>16</v>
      </c>
      <c r="E103" t="s">
        <v>43</v>
      </c>
      <c r="F103" t="s">
        <v>78</v>
      </c>
      <c r="G103">
        <v>41</v>
      </c>
      <c r="H103">
        <v>12.1</v>
      </c>
      <c r="I103">
        <v>20</v>
      </c>
      <c r="J103" t="s">
        <v>19</v>
      </c>
      <c r="K103" t="s">
        <v>20</v>
      </c>
      <c r="L103" t="s">
        <v>141</v>
      </c>
      <c r="M103" t="s">
        <v>46</v>
      </c>
      <c r="N103" s="2">
        <v>1500</v>
      </c>
    </row>
    <row r="104" spans="1:14" x14ac:dyDescent="0.25">
      <c r="A104" t="s">
        <v>71</v>
      </c>
      <c r="B104" t="s">
        <v>165</v>
      </c>
      <c r="C104" t="s">
        <v>16</v>
      </c>
      <c r="D104" t="s">
        <v>26</v>
      </c>
      <c r="E104" t="s">
        <v>17</v>
      </c>
      <c r="F104" t="s">
        <v>166</v>
      </c>
      <c r="G104">
        <v>44</v>
      </c>
      <c r="H104">
        <v>14.3</v>
      </c>
      <c r="I104">
        <v>22</v>
      </c>
      <c r="J104" t="s">
        <v>19</v>
      </c>
      <c r="K104" t="s">
        <v>20</v>
      </c>
      <c r="L104" t="s">
        <v>45</v>
      </c>
      <c r="M104" t="s">
        <v>58</v>
      </c>
      <c r="N104" s="2">
        <v>2500</v>
      </c>
    </row>
    <row r="105" spans="1:14" x14ac:dyDescent="0.25">
      <c r="A105" t="s">
        <v>135</v>
      </c>
      <c r="B105" t="s">
        <v>136</v>
      </c>
      <c r="C105" t="s">
        <v>16</v>
      </c>
      <c r="D105" t="s">
        <v>16</v>
      </c>
      <c r="E105" t="s">
        <v>17</v>
      </c>
      <c r="F105" t="s">
        <v>137</v>
      </c>
      <c r="G105">
        <v>40.799999999999997</v>
      </c>
      <c r="H105">
        <v>8.3000000000000007</v>
      </c>
      <c r="I105">
        <v>20</v>
      </c>
      <c r="J105" t="s">
        <v>28</v>
      </c>
      <c r="K105" t="s">
        <v>20</v>
      </c>
      <c r="L105" t="s">
        <v>167</v>
      </c>
      <c r="M105" t="s">
        <v>50</v>
      </c>
      <c r="N105" s="2">
        <v>38000</v>
      </c>
    </row>
    <row r="106" spans="1:14" x14ac:dyDescent="0.25">
      <c r="A106" t="s">
        <v>76</v>
      </c>
      <c r="B106" t="s">
        <v>77</v>
      </c>
      <c r="C106" t="s">
        <v>168</v>
      </c>
      <c r="D106" t="s">
        <v>168</v>
      </c>
      <c r="E106" t="s">
        <v>17</v>
      </c>
      <c r="F106" t="s">
        <v>78</v>
      </c>
      <c r="G106">
        <v>41</v>
      </c>
      <c r="H106">
        <v>9.8000000000000007</v>
      </c>
      <c r="I106">
        <v>20</v>
      </c>
      <c r="J106" t="s">
        <v>28</v>
      </c>
      <c r="K106" t="s">
        <v>20</v>
      </c>
      <c r="L106" t="s">
        <v>21</v>
      </c>
      <c r="M106" t="s">
        <v>29</v>
      </c>
      <c r="N106" s="2">
        <v>55000</v>
      </c>
    </row>
    <row r="107" spans="1:14" x14ac:dyDescent="0.25">
      <c r="A107" t="s">
        <v>79</v>
      </c>
      <c r="B107" t="s">
        <v>80</v>
      </c>
      <c r="C107" t="s">
        <v>16</v>
      </c>
      <c r="D107" t="s">
        <v>16</v>
      </c>
      <c r="E107" t="s">
        <v>17</v>
      </c>
      <c r="F107" t="s">
        <v>81</v>
      </c>
      <c r="G107">
        <v>41</v>
      </c>
      <c r="H107">
        <v>11</v>
      </c>
      <c r="I107">
        <v>22</v>
      </c>
      <c r="J107" t="s">
        <v>28</v>
      </c>
      <c r="K107" t="s">
        <v>20</v>
      </c>
      <c r="L107" t="s">
        <v>169</v>
      </c>
      <c r="M107" t="s">
        <v>75</v>
      </c>
      <c r="N107" s="2">
        <v>21000</v>
      </c>
    </row>
    <row r="108" spans="1:14" x14ac:dyDescent="0.25">
      <c r="A108" t="s">
        <v>170</v>
      </c>
      <c r="B108" t="s">
        <v>171</v>
      </c>
      <c r="C108" t="s">
        <v>172</v>
      </c>
      <c r="D108" t="s">
        <v>32</v>
      </c>
      <c r="E108" t="s">
        <v>49</v>
      </c>
      <c r="F108" t="s">
        <v>39</v>
      </c>
      <c r="G108">
        <v>38.5</v>
      </c>
      <c r="H108">
        <v>7.8</v>
      </c>
      <c r="I108">
        <v>18</v>
      </c>
      <c r="J108" t="s">
        <v>44</v>
      </c>
      <c r="K108" t="s">
        <v>20</v>
      </c>
      <c r="L108" t="s">
        <v>45</v>
      </c>
      <c r="M108" t="s">
        <v>50</v>
      </c>
      <c r="N108" s="2">
        <v>23000</v>
      </c>
    </row>
    <row r="109" spans="1:14" x14ac:dyDescent="0.25">
      <c r="A109" t="s">
        <v>72</v>
      </c>
      <c r="B109" t="s">
        <v>73</v>
      </c>
      <c r="C109" t="s">
        <v>168</v>
      </c>
      <c r="D109" t="s">
        <v>32</v>
      </c>
      <c r="E109" t="s">
        <v>49</v>
      </c>
      <c r="F109" t="s">
        <v>39</v>
      </c>
      <c r="G109">
        <v>38.5</v>
      </c>
      <c r="H109">
        <v>8.25</v>
      </c>
      <c r="I109">
        <v>20</v>
      </c>
      <c r="J109" t="s">
        <v>44</v>
      </c>
      <c r="K109" t="s">
        <v>20</v>
      </c>
      <c r="L109" t="s">
        <v>12</v>
      </c>
      <c r="M109" t="s">
        <v>173</v>
      </c>
      <c r="N109" s="2">
        <v>23000</v>
      </c>
    </row>
    <row r="110" spans="1:14" x14ac:dyDescent="0.25">
      <c r="A110" t="s">
        <v>93</v>
      </c>
      <c r="B110" t="s">
        <v>107</v>
      </c>
      <c r="C110" t="s">
        <v>16</v>
      </c>
      <c r="D110" t="s">
        <v>32</v>
      </c>
      <c r="E110" t="s">
        <v>17</v>
      </c>
      <c r="F110" t="s">
        <v>39</v>
      </c>
      <c r="G110">
        <v>41</v>
      </c>
      <c r="H110">
        <v>12.3</v>
      </c>
      <c r="I110">
        <v>22</v>
      </c>
      <c r="J110" t="s">
        <v>28</v>
      </c>
      <c r="K110" t="s">
        <v>20</v>
      </c>
      <c r="L110" t="s">
        <v>45</v>
      </c>
      <c r="M110" t="s">
        <v>29</v>
      </c>
      <c r="N110" s="2">
        <v>8500</v>
      </c>
    </row>
    <row r="111" spans="1:14" x14ac:dyDescent="0.25">
      <c r="A111" t="s">
        <v>109</v>
      </c>
      <c r="B111" t="s">
        <v>110</v>
      </c>
      <c r="C111" t="s">
        <v>16</v>
      </c>
      <c r="D111" t="s">
        <v>140</v>
      </c>
      <c r="E111" t="s">
        <v>17</v>
      </c>
      <c r="F111" t="s">
        <v>18</v>
      </c>
      <c r="G111">
        <v>45</v>
      </c>
      <c r="H111">
        <v>15.5</v>
      </c>
      <c r="I111">
        <v>23</v>
      </c>
      <c r="J111" t="s">
        <v>19</v>
      </c>
      <c r="K111" t="s">
        <v>20</v>
      </c>
      <c r="L111" t="s">
        <v>21</v>
      </c>
      <c r="M111" t="s">
        <v>112</v>
      </c>
      <c r="N111" s="2">
        <v>14000</v>
      </c>
    </row>
    <row r="112" spans="1:14" x14ac:dyDescent="0.25">
      <c r="A112" t="s">
        <v>133</v>
      </c>
      <c r="B112" t="s">
        <v>174</v>
      </c>
      <c r="C112" t="s">
        <v>25</v>
      </c>
      <c r="D112" t="s">
        <v>26</v>
      </c>
      <c r="E112" t="s">
        <v>17</v>
      </c>
      <c r="F112" t="s">
        <v>33</v>
      </c>
      <c r="G112">
        <v>44</v>
      </c>
      <c r="H112">
        <v>14.5</v>
      </c>
      <c r="I112">
        <v>24</v>
      </c>
      <c r="J112" t="s">
        <v>28</v>
      </c>
      <c r="K112" t="s">
        <v>20</v>
      </c>
      <c r="L112" t="s">
        <v>35</v>
      </c>
      <c r="M112" t="s">
        <v>145</v>
      </c>
      <c r="N112" s="2">
        <v>16000</v>
      </c>
    </row>
    <row r="113" spans="1:14" x14ac:dyDescent="0.25">
      <c r="A113" t="s">
        <v>86</v>
      </c>
      <c r="B113" t="s">
        <v>143</v>
      </c>
      <c r="C113" t="s">
        <v>16</v>
      </c>
      <c r="D113" t="s">
        <v>32</v>
      </c>
      <c r="E113" t="s">
        <v>17</v>
      </c>
      <c r="F113" t="s">
        <v>18</v>
      </c>
      <c r="G113">
        <v>44</v>
      </c>
      <c r="H113">
        <v>15.65</v>
      </c>
      <c r="I113">
        <v>24</v>
      </c>
      <c r="J113" t="s">
        <v>19</v>
      </c>
      <c r="K113" t="s">
        <v>20</v>
      </c>
      <c r="L113" t="s">
        <v>45</v>
      </c>
      <c r="M113" t="s">
        <v>145</v>
      </c>
      <c r="N113" s="2">
        <v>8500</v>
      </c>
    </row>
    <row r="114" spans="1:14" x14ac:dyDescent="0.25">
      <c r="A114" t="s">
        <v>113</v>
      </c>
      <c r="B114" t="s">
        <v>114</v>
      </c>
      <c r="C114" t="s">
        <v>16</v>
      </c>
      <c r="D114" t="s">
        <v>32</v>
      </c>
      <c r="E114" t="s">
        <v>17</v>
      </c>
      <c r="F114" t="s">
        <v>33</v>
      </c>
      <c r="G114">
        <v>42</v>
      </c>
      <c r="H114">
        <v>12.75</v>
      </c>
      <c r="I114">
        <v>20</v>
      </c>
      <c r="J114" t="s">
        <v>44</v>
      </c>
      <c r="K114" t="s">
        <v>20</v>
      </c>
      <c r="L114" t="s">
        <v>35</v>
      </c>
      <c r="M114" t="s">
        <v>54</v>
      </c>
      <c r="N114" s="2">
        <v>6000</v>
      </c>
    </row>
    <row r="115" spans="1:14" x14ac:dyDescent="0.25">
      <c r="A115" t="s">
        <v>116</v>
      </c>
      <c r="B115" t="s">
        <v>175</v>
      </c>
      <c r="C115" t="s">
        <v>172</v>
      </c>
      <c r="D115" t="s">
        <v>32</v>
      </c>
      <c r="E115" t="s">
        <v>49</v>
      </c>
      <c r="F115" t="s">
        <v>39</v>
      </c>
      <c r="G115">
        <v>38</v>
      </c>
      <c r="H115">
        <v>6.1</v>
      </c>
      <c r="I115">
        <v>20</v>
      </c>
      <c r="J115" t="s">
        <v>44</v>
      </c>
      <c r="K115" t="s">
        <v>20</v>
      </c>
      <c r="L115" t="s">
        <v>45</v>
      </c>
      <c r="M115" t="s">
        <v>176</v>
      </c>
      <c r="N115" s="2">
        <v>16500</v>
      </c>
    </row>
    <row r="116" spans="1:14" x14ac:dyDescent="0.25">
      <c r="A116" t="s">
        <v>51</v>
      </c>
      <c r="B116" t="s">
        <v>52</v>
      </c>
      <c r="C116" t="s">
        <v>16</v>
      </c>
      <c r="D116" t="s">
        <v>154</v>
      </c>
      <c r="E116" t="s">
        <v>17</v>
      </c>
      <c r="F116" t="s">
        <v>53</v>
      </c>
      <c r="G116">
        <v>44.3</v>
      </c>
      <c r="H116">
        <v>12.7</v>
      </c>
      <c r="I116">
        <v>20</v>
      </c>
      <c r="J116" t="s">
        <v>28</v>
      </c>
      <c r="K116" t="s">
        <v>20</v>
      </c>
      <c r="L116" t="s">
        <v>177</v>
      </c>
      <c r="M116" t="s">
        <v>178</v>
      </c>
      <c r="N116" s="2">
        <v>1200</v>
      </c>
    </row>
    <row r="117" spans="1:14" x14ac:dyDescent="0.25">
      <c r="A117" t="s">
        <v>86</v>
      </c>
      <c r="B117" t="s">
        <v>179</v>
      </c>
      <c r="C117" t="s">
        <v>16</v>
      </c>
      <c r="D117" t="s">
        <v>32</v>
      </c>
      <c r="E117" t="s">
        <v>17</v>
      </c>
      <c r="F117" t="s">
        <v>39</v>
      </c>
      <c r="G117">
        <v>38</v>
      </c>
      <c r="H117">
        <v>11.2</v>
      </c>
      <c r="I117">
        <v>20</v>
      </c>
      <c r="J117" t="s">
        <v>19</v>
      </c>
      <c r="K117" t="s">
        <v>20</v>
      </c>
      <c r="L117" t="s">
        <v>45</v>
      </c>
      <c r="M117" t="s">
        <v>145</v>
      </c>
      <c r="N117" s="2">
        <v>6500</v>
      </c>
    </row>
    <row r="118" spans="1:14" x14ac:dyDescent="0.25">
      <c r="A118" t="s">
        <v>93</v>
      </c>
      <c r="B118" t="s">
        <v>107</v>
      </c>
      <c r="C118" t="s">
        <v>16</v>
      </c>
      <c r="D118" t="s">
        <v>32</v>
      </c>
      <c r="E118" t="s">
        <v>17</v>
      </c>
      <c r="F118" t="s">
        <v>39</v>
      </c>
      <c r="G118">
        <v>41</v>
      </c>
      <c r="H118">
        <v>12.3</v>
      </c>
      <c r="I118">
        <v>22</v>
      </c>
      <c r="J118" t="s">
        <v>28</v>
      </c>
      <c r="K118" t="s">
        <v>20</v>
      </c>
      <c r="L118" t="s">
        <v>180</v>
      </c>
      <c r="M118" t="s">
        <v>142</v>
      </c>
      <c r="N118" s="2">
        <v>9800</v>
      </c>
    </row>
    <row r="119" spans="1:14" x14ac:dyDescent="0.25">
      <c r="A119" t="s">
        <v>109</v>
      </c>
      <c r="B119" t="s">
        <v>110</v>
      </c>
      <c r="C119" t="s">
        <v>25</v>
      </c>
      <c r="D119" t="s">
        <v>26</v>
      </c>
      <c r="E119" t="s">
        <v>17</v>
      </c>
      <c r="F119" t="s">
        <v>18</v>
      </c>
      <c r="G119">
        <v>45</v>
      </c>
      <c r="H119">
        <v>15.5</v>
      </c>
      <c r="I119">
        <v>23</v>
      </c>
      <c r="J119" t="s">
        <v>19</v>
      </c>
      <c r="K119" t="s">
        <v>20</v>
      </c>
      <c r="L119" t="s">
        <v>45</v>
      </c>
      <c r="M119" t="s">
        <v>112</v>
      </c>
      <c r="N119" s="2">
        <v>16800</v>
      </c>
    </row>
    <row r="120" spans="1:14" x14ac:dyDescent="0.25">
      <c r="A120" t="s">
        <v>76</v>
      </c>
      <c r="B120" t="s">
        <v>77</v>
      </c>
      <c r="C120" t="s">
        <v>16</v>
      </c>
      <c r="D120" t="s">
        <v>16</v>
      </c>
      <c r="E120" t="s">
        <v>17</v>
      </c>
      <c r="F120" t="s">
        <v>78</v>
      </c>
      <c r="G120">
        <v>41</v>
      </c>
      <c r="H120">
        <v>9.5</v>
      </c>
      <c r="I120">
        <v>20</v>
      </c>
      <c r="J120" t="s">
        <v>19</v>
      </c>
      <c r="K120" t="s">
        <v>20</v>
      </c>
      <c r="L120" t="s">
        <v>21</v>
      </c>
      <c r="M120" t="s">
        <v>29</v>
      </c>
      <c r="N120" s="2">
        <v>19800</v>
      </c>
    </row>
    <row r="121" spans="1:14" x14ac:dyDescent="0.25">
      <c r="A121" t="s">
        <v>135</v>
      </c>
      <c r="B121" t="s">
        <v>136</v>
      </c>
      <c r="C121" t="s">
        <v>16</v>
      </c>
      <c r="D121" t="s">
        <v>16</v>
      </c>
      <c r="E121" t="s">
        <v>17</v>
      </c>
      <c r="F121" t="s">
        <v>137</v>
      </c>
      <c r="G121">
        <v>40.799999999999997</v>
      </c>
      <c r="H121">
        <v>8.3000000000000007</v>
      </c>
      <c r="I121">
        <v>20</v>
      </c>
      <c r="J121" t="s">
        <v>28</v>
      </c>
      <c r="K121" t="s">
        <v>20</v>
      </c>
      <c r="L121" t="s">
        <v>21</v>
      </c>
      <c r="M121" t="s">
        <v>50</v>
      </c>
      <c r="N121" s="2">
        <v>47000</v>
      </c>
    </row>
    <row r="122" spans="1:14" x14ac:dyDescent="0.25">
      <c r="A122" t="s">
        <v>72</v>
      </c>
      <c r="B122" t="s">
        <v>73</v>
      </c>
      <c r="C122" t="s">
        <v>115</v>
      </c>
      <c r="D122" t="s">
        <v>32</v>
      </c>
      <c r="E122" t="s">
        <v>17</v>
      </c>
      <c r="F122" t="s">
        <v>39</v>
      </c>
      <c r="G122">
        <v>40</v>
      </c>
      <c r="H122">
        <v>6.8</v>
      </c>
      <c r="I122">
        <v>20</v>
      </c>
      <c r="J122" t="s">
        <v>34</v>
      </c>
      <c r="K122" t="s">
        <v>20</v>
      </c>
      <c r="L122" t="s">
        <v>45</v>
      </c>
      <c r="M122" t="s">
        <v>181</v>
      </c>
      <c r="N122" s="2">
        <v>19000</v>
      </c>
    </row>
    <row r="123" spans="1:14" x14ac:dyDescent="0.25">
      <c r="A123" t="s">
        <v>79</v>
      </c>
      <c r="B123" t="s">
        <v>182</v>
      </c>
      <c r="C123" t="s">
        <v>183</v>
      </c>
      <c r="D123" t="s">
        <v>32</v>
      </c>
      <c r="E123" t="s">
        <v>49</v>
      </c>
      <c r="F123" t="s">
        <v>39</v>
      </c>
      <c r="G123">
        <v>40</v>
      </c>
      <c r="H123">
        <v>6.79</v>
      </c>
      <c r="I123">
        <v>20</v>
      </c>
      <c r="J123" t="s">
        <v>44</v>
      </c>
      <c r="K123" t="s">
        <v>20</v>
      </c>
      <c r="L123" t="s">
        <v>45</v>
      </c>
      <c r="M123" t="s">
        <v>173</v>
      </c>
      <c r="N123" s="2">
        <v>18500</v>
      </c>
    </row>
    <row r="124" spans="1:14" x14ac:dyDescent="0.25">
      <c r="A124" t="s">
        <v>126</v>
      </c>
      <c r="B124" t="s">
        <v>127</v>
      </c>
      <c r="C124" t="s">
        <v>16</v>
      </c>
      <c r="D124" t="s">
        <v>32</v>
      </c>
      <c r="E124" t="s">
        <v>17</v>
      </c>
      <c r="F124" t="s">
        <v>78</v>
      </c>
      <c r="G124">
        <v>44</v>
      </c>
      <c r="H124">
        <v>14.97</v>
      </c>
      <c r="I124">
        <v>22</v>
      </c>
      <c r="J124" t="s">
        <v>19</v>
      </c>
      <c r="K124" t="s">
        <v>20</v>
      </c>
      <c r="L124" t="s">
        <v>35</v>
      </c>
      <c r="M124" t="s">
        <v>36</v>
      </c>
      <c r="N124" s="2">
        <v>5800</v>
      </c>
    </row>
    <row r="125" spans="1:14" x14ac:dyDescent="0.25">
      <c r="A125" t="s">
        <v>62</v>
      </c>
      <c r="B125" t="s">
        <v>184</v>
      </c>
      <c r="C125" t="s">
        <v>16</v>
      </c>
      <c r="D125" t="s">
        <v>16</v>
      </c>
      <c r="E125" t="s">
        <v>17</v>
      </c>
      <c r="F125" t="s">
        <v>18</v>
      </c>
      <c r="G125">
        <v>41</v>
      </c>
      <c r="H125">
        <v>13.2</v>
      </c>
      <c r="I125">
        <v>20</v>
      </c>
      <c r="J125" t="s">
        <v>19</v>
      </c>
      <c r="K125" t="s">
        <v>20</v>
      </c>
      <c r="L125" t="s">
        <v>35</v>
      </c>
      <c r="M125" t="s">
        <v>130</v>
      </c>
      <c r="N125" s="2">
        <v>2200</v>
      </c>
    </row>
    <row r="126" spans="1:14" x14ac:dyDescent="0.25">
      <c r="A126" t="s">
        <v>99</v>
      </c>
      <c r="B126">
        <v>1858</v>
      </c>
      <c r="C126" t="s">
        <v>16</v>
      </c>
      <c r="D126" t="s">
        <v>32</v>
      </c>
      <c r="E126" t="s">
        <v>49</v>
      </c>
      <c r="F126" t="s">
        <v>39</v>
      </c>
      <c r="G126">
        <v>44</v>
      </c>
      <c r="H126">
        <v>12.3</v>
      </c>
      <c r="I126">
        <v>22</v>
      </c>
      <c r="J126" t="s">
        <v>19</v>
      </c>
      <c r="K126" t="s">
        <v>20</v>
      </c>
      <c r="L126" t="s">
        <v>45</v>
      </c>
      <c r="M126" t="s">
        <v>54</v>
      </c>
      <c r="N126" s="2">
        <v>3500</v>
      </c>
    </row>
    <row r="127" spans="1:14" x14ac:dyDescent="0.25">
      <c r="A127" t="s">
        <v>14</v>
      </c>
      <c r="B127" t="s">
        <v>91</v>
      </c>
      <c r="C127" t="s">
        <v>16</v>
      </c>
      <c r="D127" t="s">
        <v>16</v>
      </c>
      <c r="E127" t="s">
        <v>17</v>
      </c>
      <c r="F127" t="s">
        <v>33</v>
      </c>
      <c r="G127">
        <v>40</v>
      </c>
      <c r="H127">
        <v>12.5</v>
      </c>
      <c r="I127">
        <v>20</v>
      </c>
      <c r="J127" t="s">
        <v>19</v>
      </c>
      <c r="K127" t="s">
        <v>20</v>
      </c>
      <c r="L127" t="s">
        <v>185</v>
      </c>
      <c r="M127" t="s">
        <v>40</v>
      </c>
      <c r="N127" s="2">
        <v>9950</v>
      </c>
    </row>
    <row r="128" spans="1:14" x14ac:dyDescent="0.25">
      <c r="A128" t="s">
        <v>23</v>
      </c>
      <c r="B128" t="s">
        <v>82</v>
      </c>
      <c r="C128" t="s">
        <v>16</v>
      </c>
      <c r="D128" t="s">
        <v>16</v>
      </c>
      <c r="E128" t="s">
        <v>17</v>
      </c>
      <c r="F128" t="s">
        <v>78</v>
      </c>
      <c r="G128">
        <v>42</v>
      </c>
      <c r="H128">
        <v>13.7</v>
      </c>
      <c r="I128">
        <v>20</v>
      </c>
      <c r="J128" t="s">
        <v>19</v>
      </c>
      <c r="K128" t="s">
        <v>106</v>
      </c>
      <c r="L128" t="s">
        <v>35</v>
      </c>
      <c r="M128" t="s">
        <v>22</v>
      </c>
      <c r="N128" s="2">
        <v>4950</v>
      </c>
    </row>
    <row r="129" spans="1:14" x14ac:dyDescent="0.25">
      <c r="A129" t="s">
        <v>135</v>
      </c>
      <c r="B129" t="s">
        <v>136</v>
      </c>
      <c r="C129" t="s">
        <v>16</v>
      </c>
      <c r="D129" t="s">
        <v>16</v>
      </c>
      <c r="E129" t="s">
        <v>17</v>
      </c>
      <c r="F129" t="s">
        <v>137</v>
      </c>
      <c r="G129">
        <v>40.799999999999997</v>
      </c>
      <c r="H129">
        <v>8.3000000000000007</v>
      </c>
      <c r="I129">
        <v>20</v>
      </c>
      <c r="J129" t="s">
        <v>28</v>
      </c>
      <c r="K129" t="s">
        <v>20</v>
      </c>
      <c r="L129" t="s">
        <v>21</v>
      </c>
      <c r="M129" t="s">
        <v>50</v>
      </c>
      <c r="N129" s="2">
        <v>38000</v>
      </c>
    </row>
    <row r="130" spans="1:14" x14ac:dyDescent="0.25">
      <c r="A130" t="s">
        <v>76</v>
      </c>
      <c r="B130" t="s">
        <v>77</v>
      </c>
      <c r="C130" t="s">
        <v>16</v>
      </c>
      <c r="D130" t="s">
        <v>16</v>
      </c>
      <c r="E130" t="s">
        <v>17</v>
      </c>
      <c r="F130" t="s">
        <v>78</v>
      </c>
      <c r="G130">
        <v>41</v>
      </c>
      <c r="H130">
        <v>9.8000000000000007</v>
      </c>
      <c r="I130">
        <v>20</v>
      </c>
      <c r="J130" t="s">
        <v>28</v>
      </c>
      <c r="K130" t="s">
        <v>20</v>
      </c>
      <c r="L130" t="s">
        <v>21</v>
      </c>
      <c r="M130" t="s">
        <v>29</v>
      </c>
      <c r="N130" s="2">
        <v>22000</v>
      </c>
    </row>
    <row r="131" spans="1:14" x14ac:dyDescent="0.25">
      <c r="A131" t="s">
        <v>93</v>
      </c>
      <c r="B131" t="s">
        <v>107</v>
      </c>
      <c r="C131" t="s">
        <v>16</v>
      </c>
      <c r="D131" t="s">
        <v>32</v>
      </c>
      <c r="E131" t="s">
        <v>17</v>
      </c>
      <c r="F131" t="s">
        <v>39</v>
      </c>
      <c r="G131">
        <v>41</v>
      </c>
      <c r="H131">
        <v>12.3</v>
      </c>
      <c r="I131">
        <v>22</v>
      </c>
      <c r="J131" t="s">
        <v>44</v>
      </c>
      <c r="K131" t="s">
        <v>20</v>
      </c>
      <c r="L131" t="s">
        <v>45</v>
      </c>
      <c r="M131" t="s">
        <v>142</v>
      </c>
      <c r="N131" s="2">
        <v>7500</v>
      </c>
    </row>
    <row r="132" spans="1:14" x14ac:dyDescent="0.25">
      <c r="A132" t="s">
        <v>47</v>
      </c>
      <c r="B132" t="s">
        <v>96</v>
      </c>
      <c r="C132" t="s">
        <v>16</v>
      </c>
      <c r="D132" t="s">
        <v>32</v>
      </c>
      <c r="E132" t="s">
        <v>17</v>
      </c>
      <c r="F132" t="s">
        <v>78</v>
      </c>
      <c r="G132">
        <v>39</v>
      </c>
      <c r="H132">
        <v>7.58</v>
      </c>
      <c r="I132">
        <v>20</v>
      </c>
      <c r="J132" t="s">
        <v>44</v>
      </c>
      <c r="K132" t="s">
        <v>20</v>
      </c>
      <c r="L132" t="s">
        <v>21</v>
      </c>
      <c r="M132" t="s">
        <v>40</v>
      </c>
      <c r="N132" s="2">
        <v>8900</v>
      </c>
    </row>
    <row r="133" spans="1:14" x14ac:dyDescent="0.25">
      <c r="A133" t="s">
        <v>109</v>
      </c>
      <c r="B133" t="s">
        <v>110</v>
      </c>
      <c r="C133" t="s">
        <v>16</v>
      </c>
      <c r="D133" t="s">
        <v>140</v>
      </c>
      <c r="E133" t="s">
        <v>17</v>
      </c>
      <c r="F133" t="s">
        <v>18</v>
      </c>
      <c r="G133">
        <v>45</v>
      </c>
      <c r="H133">
        <v>15.4</v>
      </c>
      <c r="I133">
        <v>23</v>
      </c>
      <c r="J133" t="s">
        <v>19</v>
      </c>
      <c r="K133" t="s">
        <v>20</v>
      </c>
      <c r="L133" t="s">
        <v>21</v>
      </c>
      <c r="M133" t="s">
        <v>112</v>
      </c>
      <c r="N133" s="2">
        <v>13900</v>
      </c>
    </row>
    <row r="134" spans="1:14" x14ac:dyDescent="0.25">
      <c r="A134" t="s">
        <v>72</v>
      </c>
      <c r="B134" t="s">
        <v>73</v>
      </c>
      <c r="C134" t="s">
        <v>168</v>
      </c>
      <c r="D134" t="s">
        <v>32</v>
      </c>
      <c r="E134" t="s">
        <v>49</v>
      </c>
      <c r="F134" t="s">
        <v>39</v>
      </c>
      <c r="G134">
        <v>40</v>
      </c>
      <c r="H134">
        <v>6.8</v>
      </c>
      <c r="I134">
        <v>20</v>
      </c>
      <c r="J134" t="s">
        <v>44</v>
      </c>
      <c r="K134" t="s">
        <v>20</v>
      </c>
      <c r="L134" t="s">
        <v>45</v>
      </c>
      <c r="M134" t="s">
        <v>173</v>
      </c>
      <c r="N134" s="2">
        <v>20500</v>
      </c>
    </row>
    <row r="135" spans="1:14" x14ac:dyDescent="0.25">
      <c r="A135" t="s">
        <v>118</v>
      </c>
      <c r="B135" t="s">
        <v>119</v>
      </c>
      <c r="C135" t="s">
        <v>25</v>
      </c>
      <c r="D135" t="s">
        <v>26</v>
      </c>
      <c r="E135" t="s">
        <v>17</v>
      </c>
      <c r="F135" t="s">
        <v>18</v>
      </c>
      <c r="G135">
        <v>44</v>
      </c>
      <c r="H135">
        <v>14.5</v>
      </c>
      <c r="I135">
        <v>22</v>
      </c>
      <c r="J135" t="s">
        <v>28</v>
      </c>
      <c r="K135" t="s">
        <v>20</v>
      </c>
      <c r="L135" t="s">
        <v>21</v>
      </c>
      <c r="M135" t="s">
        <v>29</v>
      </c>
      <c r="N135" s="2">
        <v>9500</v>
      </c>
    </row>
    <row r="136" spans="1:14" x14ac:dyDescent="0.25">
      <c r="A136" t="s">
        <v>133</v>
      </c>
      <c r="B136" t="s">
        <v>174</v>
      </c>
      <c r="C136" t="s">
        <v>98</v>
      </c>
      <c r="D136" t="s">
        <v>26</v>
      </c>
      <c r="E136" t="s">
        <v>17</v>
      </c>
      <c r="F136" t="s">
        <v>33</v>
      </c>
      <c r="G136">
        <v>41</v>
      </c>
      <c r="H136">
        <v>14.5</v>
      </c>
      <c r="I136">
        <v>20</v>
      </c>
      <c r="J136" t="s">
        <v>19</v>
      </c>
      <c r="K136" t="s">
        <v>20</v>
      </c>
      <c r="L136" t="s">
        <v>35</v>
      </c>
      <c r="M136" t="s">
        <v>145</v>
      </c>
      <c r="N136" s="2">
        <v>16000</v>
      </c>
    </row>
    <row r="137" spans="1:14" x14ac:dyDescent="0.25">
      <c r="A137" t="s">
        <v>113</v>
      </c>
      <c r="B137" t="s">
        <v>114</v>
      </c>
      <c r="C137" t="s">
        <v>16</v>
      </c>
      <c r="D137" t="s">
        <v>32</v>
      </c>
      <c r="E137" t="s">
        <v>17</v>
      </c>
      <c r="F137" t="s">
        <v>33</v>
      </c>
      <c r="G137">
        <v>38</v>
      </c>
      <c r="H137">
        <v>12.75</v>
      </c>
      <c r="I137">
        <v>20</v>
      </c>
      <c r="J137" t="s">
        <v>34</v>
      </c>
      <c r="K137" t="s">
        <v>20</v>
      </c>
      <c r="L137" t="s">
        <v>35</v>
      </c>
      <c r="M137" t="s">
        <v>54</v>
      </c>
      <c r="N137" s="2">
        <v>5500</v>
      </c>
    </row>
    <row r="138" spans="1:14" x14ac:dyDescent="0.25">
      <c r="A138" t="s">
        <v>14</v>
      </c>
      <c r="B138" t="s">
        <v>103</v>
      </c>
      <c r="C138" t="s">
        <v>16</v>
      </c>
      <c r="D138" t="s">
        <v>16</v>
      </c>
      <c r="E138" t="s">
        <v>17</v>
      </c>
      <c r="F138" t="s">
        <v>33</v>
      </c>
      <c r="G138">
        <v>41</v>
      </c>
      <c r="H138">
        <v>11.8</v>
      </c>
      <c r="I138">
        <v>20</v>
      </c>
      <c r="J138" t="s">
        <v>19</v>
      </c>
      <c r="K138" t="s">
        <v>20</v>
      </c>
      <c r="L138" t="s">
        <v>21</v>
      </c>
      <c r="M138" t="s">
        <v>40</v>
      </c>
      <c r="N138" s="2">
        <v>8200</v>
      </c>
    </row>
    <row r="139" spans="1:14" x14ac:dyDescent="0.25">
      <c r="A139" t="s">
        <v>23</v>
      </c>
      <c r="B139" t="s">
        <v>105</v>
      </c>
      <c r="C139" t="s">
        <v>16</v>
      </c>
      <c r="D139" t="s">
        <v>16</v>
      </c>
      <c r="E139" t="s">
        <v>49</v>
      </c>
      <c r="F139" t="s">
        <v>78</v>
      </c>
      <c r="G139">
        <v>42</v>
      </c>
      <c r="H139">
        <v>13.2</v>
      </c>
      <c r="I139">
        <v>20</v>
      </c>
      <c r="J139" t="s">
        <v>19</v>
      </c>
      <c r="K139" t="s">
        <v>106</v>
      </c>
      <c r="L139" t="s">
        <v>83</v>
      </c>
      <c r="M139" t="s">
        <v>22</v>
      </c>
      <c r="N139" s="2">
        <v>5500</v>
      </c>
    </row>
    <row r="140" spans="1:14" x14ac:dyDescent="0.25">
      <c r="A140" t="s">
        <v>41</v>
      </c>
      <c r="B140" t="s">
        <v>186</v>
      </c>
      <c r="C140" t="s">
        <v>16</v>
      </c>
      <c r="D140" t="s">
        <v>16</v>
      </c>
      <c r="E140" t="s">
        <v>17</v>
      </c>
      <c r="F140" t="s">
        <v>39</v>
      </c>
      <c r="G140">
        <v>33</v>
      </c>
      <c r="H140">
        <v>9.9600000000000009</v>
      </c>
      <c r="I140">
        <v>18</v>
      </c>
      <c r="J140" t="s">
        <v>44</v>
      </c>
      <c r="K140" t="s">
        <v>20</v>
      </c>
      <c r="L140" t="s">
        <v>21</v>
      </c>
      <c r="M140" t="s">
        <v>36</v>
      </c>
      <c r="N140" s="2">
        <v>6500</v>
      </c>
    </row>
    <row r="141" spans="1:14" x14ac:dyDescent="0.25">
      <c r="A141" t="s">
        <v>37</v>
      </c>
      <c r="B141" t="s">
        <v>84</v>
      </c>
      <c r="C141" t="s">
        <v>16</v>
      </c>
      <c r="D141" t="s">
        <v>26</v>
      </c>
      <c r="E141" t="s">
        <v>17</v>
      </c>
      <c r="F141" t="s">
        <v>85</v>
      </c>
      <c r="G141">
        <v>42</v>
      </c>
      <c r="H141">
        <v>13.32</v>
      </c>
      <c r="I141">
        <v>20</v>
      </c>
      <c r="J141" t="s">
        <v>28</v>
      </c>
      <c r="K141" t="s">
        <v>20</v>
      </c>
      <c r="L141" t="s">
        <v>21</v>
      </c>
      <c r="M141" t="s">
        <v>58</v>
      </c>
      <c r="N141" s="2">
        <v>3600</v>
      </c>
    </row>
    <row r="142" spans="1:14" x14ac:dyDescent="0.25">
      <c r="A142" t="s">
        <v>135</v>
      </c>
      <c r="B142" t="s">
        <v>187</v>
      </c>
      <c r="C142" t="s">
        <v>168</v>
      </c>
      <c r="D142" t="s">
        <v>32</v>
      </c>
      <c r="E142" t="s">
        <v>49</v>
      </c>
      <c r="F142" t="s">
        <v>39</v>
      </c>
      <c r="G142">
        <v>36</v>
      </c>
      <c r="H142">
        <v>7.45</v>
      </c>
      <c r="I142">
        <v>18</v>
      </c>
      <c r="J142" t="s">
        <v>34</v>
      </c>
      <c r="K142" t="s">
        <v>20</v>
      </c>
      <c r="L142" t="s">
        <v>45</v>
      </c>
      <c r="M142" t="s">
        <v>149</v>
      </c>
      <c r="N142" s="2">
        <v>18000</v>
      </c>
    </row>
    <row r="143" spans="1:14" x14ac:dyDescent="0.25">
      <c r="A143" t="s">
        <v>133</v>
      </c>
      <c r="B143" t="s">
        <v>174</v>
      </c>
      <c r="C143" t="s">
        <v>25</v>
      </c>
      <c r="D143" t="s">
        <v>26</v>
      </c>
      <c r="E143" t="s">
        <v>17</v>
      </c>
      <c r="F143" t="s">
        <v>33</v>
      </c>
      <c r="G143">
        <v>42</v>
      </c>
      <c r="H143">
        <v>14.5</v>
      </c>
      <c r="I143">
        <v>24</v>
      </c>
      <c r="J143" t="s">
        <v>19</v>
      </c>
      <c r="K143" t="s">
        <v>20</v>
      </c>
      <c r="L143" t="s">
        <v>141</v>
      </c>
      <c r="M143" t="s">
        <v>145</v>
      </c>
      <c r="N143" s="2">
        <v>8900</v>
      </c>
    </row>
    <row r="144" spans="1:14" x14ac:dyDescent="0.25">
      <c r="A144" t="s">
        <v>109</v>
      </c>
      <c r="B144" t="s">
        <v>110</v>
      </c>
      <c r="C144" t="s">
        <v>16</v>
      </c>
      <c r="D144" t="s">
        <v>111</v>
      </c>
      <c r="E144" t="s">
        <v>17</v>
      </c>
      <c r="F144" t="s">
        <v>18</v>
      </c>
      <c r="G144">
        <v>45</v>
      </c>
      <c r="H144">
        <v>15.4</v>
      </c>
      <c r="I144">
        <v>23</v>
      </c>
      <c r="J144" t="s">
        <v>19</v>
      </c>
      <c r="K144" t="s">
        <v>20</v>
      </c>
      <c r="L144" t="s">
        <v>188</v>
      </c>
      <c r="M144" t="s">
        <v>112</v>
      </c>
      <c r="N144" s="2">
        <v>13500</v>
      </c>
    </row>
    <row r="145" spans="1:14" x14ac:dyDescent="0.25">
      <c r="A145" t="s">
        <v>76</v>
      </c>
      <c r="B145" t="s">
        <v>77</v>
      </c>
      <c r="C145" t="s">
        <v>16</v>
      </c>
      <c r="D145" t="s">
        <v>16</v>
      </c>
      <c r="E145" t="s">
        <v>17</v>
      </c>
      <c r="F145" t="s">
        <v>78</v>
      </c>
      <c r="G145">
        <v>41</v>
      </c>
      <c r="H145">
        <v>10.4</v>
      </c>
      <c r="I145">
        <v>20</v>
      </c>
      <c r="J145" t="s">
        <v>28</v>
      </c>
      <c r="K145" t="s">
        <v>20</v>
      </c>
      <c r="L145" t="s">
        <v>21</v>
      </c>
      <c r="M145" t="s">
        <v>29</v>
      </c>
      <c r="N145" s="2">
        <v>26000</v>
      </c>
    </row>
    <row r="146" spans="1:14" x14ac:dyDescent="0.25">
      <c r="A146" t="s">
        <v>113</v>
      </c>
      <c r="B146" t="s">
        <v>114</v>
      </c>
      <c r="C146" t="s">
        <v>16</v>
      </c>
      <c r="D146" t="s">
        <v>32</v>
      </c>
      <c r="E146" t="s">
        <v>17</v>
      </c>
      <c r="F146" t="s">
        <v>33</v>
      </c>
      <c r="G146">
        <v>42</v>
      </c>
      <c r="H146">
        <v>12.75</v>
      </c>
      <c r="I146">
        <v>22</v>
      </c>
      <c r="J146" t="s">
        <v>19</v>
      </c>
      <c r="K146" t="s">
        <v>20</v>
      </c>
      <c r="L146" t="s">
        <v>35</v>
      </c>
      <c r="M146" t="s">
        <v>54</v>
      </c>
      <c r="N146" s="2">
        <v>6500</v>
      </c>
    </row>
    <row r="147" spans="1:14" x14ac:dyDescent="0.25">
      <c r="A147" t="s">
        <v>93</v>
      </c>
      <c r="B147" t="s">
        <v>107</v>
      </c>
      <c r="C147" t="s">
        <v>16</v>
      </c>
      <c r="D147" t="s">
        <v>32</v>
      </c>
      <c r="E147" t="s">
        <v>17</v>
      </c>
      <c r="F147" t="s">
        <v>39</v>
      </c>
      <c r="G147">
        <v>41.5</v>
      </c>
      <c r="H147">
        <v>12.3</v>
      </c>
      <c r="I147">
        <v>22</v>
      </c>
      <c r="J147" t="s">
        <v>44</v>
      </c>
      <c r="K147" t="s">
        <v>20</v>
      </c>
      <c r="L147" t="s">
        <v>45</v>
      </c>
      <c r="M147" t="s">
        <v>29</v>
      </c>
      <c r="N147" s="2">
        <v>7800</v>
      </c>
    </row>
    <row r="148" spans="1:14" x14ac:dyDescent="0.25">
      <c r="A148" t="s">
        <v>47</v>
      </c>
      <c r="B148" t="s">
        <v>96</v>
      </c>
      <c r="C148" t="s">
        <v>16</v>
      </c>
      <c r="D148" t="s">
        <v>32</v>
      </c>
      <c r="E148" t="s">
        <v>17</v>
      </c>
      <c r="F148" t="s">
        <v>78</v>
      </c>
      <c r="G148">
        <v>38</v>
      </c>
      <c r="H148">
        <v>7.58</v>
      </c>
      <c r="I148">
        <v>20</v>
      </c>
      <c r="J148" t="s">
        <v>44</v>
      </c>
      <c r="K148" t="s">
        <v>20</v>
      </c>
      <c r="L148" t="s">
        <v>45</v>
      </c>
      <c r="M148" t="s">
        <v>40</v>
      </c>
      <c r="N148" s="2">
        <v>4500</v>
      </c>
    </row>
    <row r="149" spans="1:14" x14ac:dyDescent="0.25">
      <c r="A149" t="s">
        <v>135</v>
      </c>
      <c r="B149" t="s">
        <v>136</v>
      </c>
      <c r="C149" t="s">
        <v>16</v>
      </c>
      <c r="D149" t="s">
        <v>16</v>
      </c>
      <c r="E149" t="s">
        <v>17</v>
      </c>
      <c r="F149" t="s">
        <v>137</v>
      </c>
      <c r="G149">
        <v>40.5</v>
      </c>
      <c r="H149">
        <v>8.3000000000000007</v>
      </c>
      <c r="I149">
        <v>22</v>
      </c>
      <c r="J149" t="s">
        <v>28</v>
      </c>
      <c r="K149" t="s">
        <v>20</v>
      </c>
      <c r="L149" t="s">
        <v>21</v>
      </c>
      <c r="M149" t="s">
        <v>50</v>
      </c>
      <c r="N149" s="2">
        <v>29800</v>
      </c>
    </row>
    <row r="150" spans="1:14" x14ac:dyDescent="0.25">
      <c r="A150" t="s">
        <v>76</v>
      </c>
      <c r="B150" t="s">
        <v>77</v>
      </c>
      <c r="C150" t="s">
        <v>16</v>
      </c>
      <c r="D150" t="s">
        <v>16</v>
      </c>
      <c r="E150" t="s">
        <v>17</v>
      </c>
      <c r="F150" t="s">
        <v>78</v>
      </c>
      <c r="G150">
        <v>41</v>
      </c>
      <c r="H150">
        <v>9.8000000000000007</v>
      </c>
      <c r="I150">
        <v>20</v>
      </c>
      <c r="J150" t="s">
        <v>19</v>
      </c>
      <c r="K150" t="s">
        <v>20</v>
      </c>
      <c r="L150" t="s">
        <v>21</v>
      </c>
      <c r="M150" t="s">
        <v>29</v>
      </c>
      <c r="N150" s="2">
        <v>23100</v>
      </c>
    </row>
    <row r="151" spans="1:14" x14ac:dyDescent="0.25">
      <c r="A151" t="s">
        <v>93</v>
      </c>
      <c r="B151" t="s">
        <v>107</v>
      </c>
      <c r="C151" t="s">
        <v>16</v>
      </c>
      <c r="D151" t="s">
        <v>32</v>
      </c>
      <c r="E151" t="s">
        <v>17</v>
      </c>
      <c r="F151" t="s">
        <v>39</v>
      </c>
      <c r="G151">
        <v>41</v>
      </c>
      <c r="H151">
        <v>12.3</v>
      </c>
      <c r="I151">
        <v>22</v>
      </c>
      <c r="J151" t="s">
        <v>44</v>
      </c>
      <c r="K151" t="s">
        <v>20</v>
      </c>
      <c r="L151" t="s">
        <v>45</v>
      </c>
      <c r="M151" t="s">
        <v>29</v>
      </c>
      <c r="N151" s="2">
        <v>7950</v>
      </c>
    </row>
    <row r="152" spans="1:14" x14ac:dyDescent="0.25">
      <c r="A152" t="s">
        <v>79</v>
      </c>
      <c r="B152" t="s">
        <v>80</v>
      </c>
      <c r="C152" t="s">
        <v>16</v>
      </c>
      <c r="D152" t="s">
        <v>26</v>
      </c>
      <c r="E152" t="s">
        <v>17</v>
      </c>
      <c r="F152" t="s">
        <v>81</v>
      </c>
      <c r="G152">
        <v>41.5</v>
      </c>
      <c r="H152">
        <v>11</v>
      </c>
      <c r="I152">
        <v>22</v>
      </c>
      <c r="J152" t="s">
        <v>28</v>
      </c>
      <c r="K152" t="s">
        <v>20</v>
      </c>
      <c r="L152" t="s">
        <v>21</v>
      </c>
      <c r="M152" t="s">
        <v>75</v>
      </c>
      <c r="N152" s="2">
        <v>18900</v>
      </c>
    </row>
    <row r="153" spans="1:14" x14ac:dyDescent="0.25">
      <c r="A153" t="s">
        <v>109</v>
      </c>
      <c r="B153" t="s">
        <v>110</v>
      </c>
      <c r="C153" t="s">
        <v>16</v>
      </c>
      <c r="D153" t="s">
        <v>111</v>
      </c>
      <c r="E153" t="s">
        <v>17</v>
      </c>
      <c r="F153" t="s">
        <v>18</v>
      </c>
      <c r="G153">
        <v>45</v>
      </c>
      <c r="H153">
        <v>15.5</v>
      </c>
      <c r="I153">
        <v>23</v>
      </c>
      <c r="J153" t="s">
        <v>19</v>
      </c>
      <c r="K153" t="s">
        <v>20</v>
      </c>
      <c r="L153" t="s">
        <v>21</v>
      </c>
      <c r="M153" t="s">
        <v>112</v>
      </c>
      <c r="N153" s="2">
        <v>12800</v>
      </c>
    </row>
    <row r="154" spans="1:14" x14ac:dyDescent="0.25">
      <c r="A154" t="s">
        <v>133</v>
      </c>
      <c r="B154" t="s">
        <v>174</v>
      </c>
      <c r="C154" t="s">
        <v>98</v>
      </c>
      <c r="D154" t="s">
        <v>26</v>
      </c>
      <c r="E154" t="s">
        <v>17</v>
      </c>
      <c r="F154" t="s">
        <v>33</v>
      </c>
      <c r="G154">
        <v>44</v>
      </c>
      <c r="H154">
        <v>14.5</v>
      </c>
      <c r="I154">
        <v>26</v>
      </c>
      <c r="J154" t="s">
        <v>19</v>
      </c>
      <c r="K154" t="s">
        <v>20</v>
      </c>
      <c r="L154" t="s">
        <v>35</v>
      </c>
      <c r="M154" t="s">
        <v>145</v>
      </c>
      <c r="N154" s="2">
        <v>17900</v>
      </c>
    </row>
    <row r="155" spans="1:14" x14ac:dyDescent="0.25">
      <c r="A155" t="s">
        <v>72</v>
      </c>
      <c r="B155" t="s">
        <v>73</v>
      </c>
      <c r="C155" t="s">
        <v>189</v>
      </c>
      <c r="D155" t="s">
        <v>32</v>
      </c>
      <c r="E155" t="s">
        <v>49</v>
      </c>
      <c r="F155" t="s">
        <v>39</v>
      </c>
      <c r="G155">
        <v>39</v>
      </c>
      <c r="H155">
        <v>8.65</v>
      </c>
      <c r="I155">
        <v>20</v>
      </c>
      <c r="J155" t="s">
        <v>44</v>
      </c>
      <c r="K155" t="s">
        <v>20</v>
      </c>
      <c r="L155" t="s">
        <v>45</v>
      </c>
      <c r="M155" t="s">
        <v>75</v>
      </c>
      <c r="N155" s="2">
        <v>15200</v>
      </c>
    </row>
    <row r="156" spans="1:14" x14ac:dyDescent="0.25">
      <c r="A156" t="s">
        <v>118</v>
      </c>
      <c r="B156" t="s">
        <v>119</v>
      </c>
      <c r="C156" t="s">
        <v>16</v>
      </c>
      <c r="D156" t="s">
        <v>32</v>
      </c>
      <c r="E156" t="s">
        <v>17</v>
      </c>
      <c r="F156" t="s">
        <v>33</v>
      </c>
      <c r="G156">
        <v>42.2</v>
      </c>
      <c r="H156">
        <v>14.2</v>
      </c>
      <c r="I156">
        <v>22</v>
      </c>
      <c r="J156" t="s">
        <v>28</v>
      </c>
      <c r="K156" t="s">
        <v>20</v>
      </c>
      <c r="L156" t="s">
        <v>21</v>
      </c>
      <c r="M156" t="s">
        <v>29</v>
      </c>
      <c r="N156" s="2">
        <v>8400</v>
      </c>
    </row>
    <row r="157" spans="1:14" x14ac:dyDescent="0.25">
      <c r="A157" t="s">
        <v>113</v>
      </c>
      <c r="B157" t="s">
        <v>190</v>
      </c>
      <c r="C157" t="s">
        <v>25</v>
      </c>
      <c r="D157" t="s">
        <v>26</v>
      </c>
      <c r="E157" t="s">
        <v>17</v>
      </c>
      <c r="F157" t="s">
        <v>33</v>
      </c>
      <c r="G157">
        <v>41</v>
      </c>
      <c r="H157">
        <v>10.75</v>
      </c>
      <c r="I157">
        <v>22</v>
      </c>
      <c r="J157" t="s">
        <v>28</v>
      </c>
      <c r="K157" t="s">
        <v>20</v>
      </c>
      <c r="L157" t="s">
        <v>35</v>
      </c>
      <c r="M157" t="s">
        <v>54</v>
      </c>
      <c r="N157" s="2">
        <v>9500</v>
      </c>
    </row>
    <row r="158" spans="1:14" x14ac:dyDescent="0.25">
      <c r="A158" t="s">
        <v>128</v>
      </c>
      <c r="B158" t="s">
        <v>129</v>
      </c>
      <c r="C158" t="s">
        <v>16</v>
      </c>
      <c r="D158" t="s">
        <v>16</v>
      </c>
      <c r="E158" t="s">
        <v>17</v>
      </c>
      <c r="F158" t="s">
        <v>33</v>
      </c>
      <c r="G158">
        <v>42</v>
      </c>
      <c r="H158">
        <v>10.88</v>
      </c>
      <c r="I158">
        <v>22</v>
      </c>
      <c r="J158" t="s">
        <v>44</v>
      </c>
      <c r="K158" t="s">
        <v>20</v>
      </c>
      <c r="L158" t="s">
        <v>45</v>
      </c>
      <c r="M158" t="s">
        <v>142</v>
      </c>
      <c r="N158" s="2">
        <v>9200</v>
      </c>
    </row>
    <row r="159" spans="1:14" x14ac:dyDescent="0.25">
      <c r="A159" t="s">
        <v>86</v>
      </c>
      <c r="B159" t="s">
        <v>150</v>
      </c>
      <c r="C159" t="s">
        <v>16</v>
      </c>
      <c r="D159" t="s">
        <v>32</v>
      </c>
      <c r="E159" t="s">
        <v>49</v>
      </c>
      <c r="F159" t="s">
        <v>33</v>
      </c>
      <c r="G159">
        <v>44</v>
      </c>
      <c r="H159">
        <v>13.05</v>
      </c>
      <c r="I159">
        <v>24</v>
      </c>
      <c r="J159" t="s">
        <v>19</v>
      </c>
      <c r="K159" t="s">
        <v>20</v>
      </c>
      <c r="L159" t="s">
        <v>45</v>
      </c>
      <c r="M159" t="s">
        <v>88</v>
      </c>
      <c r="N159" s="2">
        <v>7500</v>
      </c>
    </row>
    <row r="160" spans="1:14" x14ac:dyDescent="0.25">
      <c r="A160" t="s">
        <v>51</v>
      </c>
      <c r="B160" t="s">
        <v>52</v>
      </c>
      <c r="C160" t="s">
        <v>16</v>
      </c>
      <c r="D160" t="s">
        <v>154</v>
      </c>
      <c r="E160" t="s">
        <v>17</v>
      </c>
      <c r="F160" t="s">
        <v>53</v>
      </c>
      <c r="G160">
        <v>43</v>
      </c>
      <c r="H160">
        <v>13.2</v>
      </c>
      <c r="I160">
        <v>22</v>
      </c>
      <c r="J160" t="s">
        <v>28</v>
      </c>
      <c r="K160" t="s">
        <v>155</v>
      </c>
      <c r="L160" t="s">
        <v>21</v>
      </c>
      <c r="M160" t="s">
        <v>54</v>
      </c>
      <c r="N160" s="2">
        <v>1300</v>
      </c>
    </row>
    <row r="161" spans="1:14" x14ac:dyDescent="0.25">
      <c r="A161" t="s">
        <v>56</v>
      </c>
      <c r="B161" t="s">
        <v>57</v>
      </c>
      <c r="C161" t="s">
        <v>16</v>
      </c>
      <c r="D161" t="s">
        <v>32</v>
      </c>
      <c r="E161" t="s">
        <v>17</v>
      </c>
      <c r="F161" t="s">
        <v>39</v>
      </c>
      <c r="G161">
        <v>39.299999999999997</v>
      </c>
      <c r="H161">
        <v>9.75</v>
      </c>
      <c r="I161">
        <v>20</v>
      </c>
      <c r="J161" t="s">
        <v>44</v>
      </c>
      <c r="K161" t="s">
        <v>20</v>
      </c>
      <c r="L161" t="s">
        <v>21</v>
      </c>
      <c r="M161" t="s">
        <v>58</v>
      </c>
      <c r="N161" s="2">
        <v>650</v>
      </c>
    </row>
    <row r="162" spans="1:14" x14ac:dyDescent="0.25">
      <c r="A162" t="s">
        <v>62</v>
      </c>
      <c r="B162" t="s">
        <v>63</v>
      </c>
      <c r="C162" t="s">
        <v>16</v>
      </c>
      <c r="D162" t="s">
        <v>32</v>
      </c>
      <c r="E162" t="s">
        <v>17</v>
      </c>
      <c r="F162" t="s">
        <v>39</v>
      </c>
      <c r="G162">
        <v>40</v>
      </c>
      <c r="H162">
        <v>10.25</v>
      </c>
      <c r="I162">
        <v>20</v>
      </c>
      <c r="J162" t="s">
        <v>19</v>
      </c>
      <c r="K162" t="s">
        <v>20</v>
      </c>
      <c r="L162" t="s">
        <v>21</v>
      </c>
      <c r="M162" t="s">
        <v>64</v>
      </c>
      <c r="N162" s="2">
        <v>2500</v>
      </c>
    </row>
    <row r="163" spans="1:14" x14ac:dyDescent="0.25">
      <c r="A163" t="s">
        <v>59</v>
      </c>
      <c r="B163" t="s">
        <v>191</v>
      </c>
      <c r="C163" t="s">
        <v>16</v>
      </c>
      <c r="D163" t="s">
        <v>32</v>
      </c>
      <c r="E163" t="s">
        <v>17</v>
      </c>
      <c r="F163" t="s">
        <v>78</v>
      </c>
      <c r="G163">
        <v>40</v>
      </c>
      <c r="H163">
        <v>11.15</v>
      </c>
      <c r="I163">
        <v>20</v>
      </c>
      <c r="J163" t="s">
        <v>44</v>
      </c>
      <c r="K163" t="s">
        <v>20</v>
      </c>
      <c r="L163" t="s">
        <v>21</v>
      </c>
      <c r="M163" t="s">
        <v>61</v>
      </c>
      <c r="N163" s="2">
        <v>1150</v>
      </c>
    </row>
    <row r="164" spans="1:14" x14ac:dyDescent="0.25">
      <c r="A164" t="s">
        <v>99</v>
      </c>
      <c r="B164" t="s">
        <v>192</v>
      </c>
      <c r="C164" t="s">
        <v>16</v>
      </c>
      <c r="D164" t="s">
        <v>32</v>
      </c>
      <c r="E164" t="s">
        <v>17</v>
      </c>
      <c r="F164" t="s">
        <v>78</v>
      </c>
      <c r="G164">
        <v>40</v>
      </c>
      <c r="H164">
        <v>9.85</v>
      </c>
      <c r="I164">
        <v>20</v>
      </c>
      <c r="J164" t="s">
        <v>44</v>
      </c>
      <c r="K164" t="s">
        <v>20</v>
      </c>
      <c r="L164" t="s">
        <v>21</v>
      </c>
      <c r="M164" t="s">
        <v>36</v>
      </c>
      <c r="N164" s="2">
        <v>2750</v>
      </c>
    </row>
    <row r="165" spans="1:14" x14ac:dyDescent="0.25">
      <c r="A165" t="s">
        <v>193</v>
      </c>
      <c r="B165" t="s">
        <v>194</v>
      </c>
      <c r="C165" t="s">
        <v>195</v>
      </c>
      <c r="D165" t="s">
        <v>32</v>
      </c>
      <c r="E165" t="s">
        <v>43</v>
      </c>
      <c r="F165" t="s">
        <v>39</v>
      </c>
      <c r="G165">
        <v>39</v>
      </c>
      <c r="H165">
        <v>5</v>
      </c>
      <c r="I165">
        <v>22</v>
      </c>
      <c r="J165" t="s">
        <v>19</v>
      </c>
      <c r="K165" t="s">
        <v>20</v>
      </c>
      <c r="L165" t="s">
        <v>45</v>
      </c>
      <c r="M165" t="s">
        <v>46</v>
      </c>
      <c r="N165" s="2">
        <v>1600</v>
      </c>
    </row>
    <row r="166" spans="1:14" x14ac:dyDescent="0.25">
      <c r="A166" t="s">
        <v>196</v>
      </c>
      <c r="B166" t="s">
        <v>197</v>
      </c>
      <c r="C166" t="s">
        <v>16</v>
      </c>
      <c r="D166" t="s">
        <v>32</v>
      </c>
      <c r="E166" t="s">
        <v>17</v>
      </c>
      <c r="F166" t="s">
        <v>78</v>
      </c>
      <c r="G166">
        <v>40</v>
      </c>
      <c r="H166">
        <v>10.5</v>
      </c>
      <c r="I166">
        <v>20</v>
      </c>
      <c r="J166" t="s">
        <v>44</v>
      </c>
      <c r="K166" t="s">
        <v>20</v>
      </c>
      <c r="L166" t="s">
        <v>21</v>
      </c>
      <c r="M166" t="s">
        <v>58</v>
      </c>
      <c r="N166" s="2">
        <v>1400</v>
      </c>
    </row>
    <row r="167" spans="1:14" x14ac:dyDescent="0.25">
      <c r="A167" t="s">
        <v>113</v>
      </c>
      <c r="B167" t="s">
        <v>162</v>
      </c>
      <c r="C167" t="s">
        <v>16</v>
      </c>
      <c r="D167" t="s">
        <v>32</v>
      </c>
      <c r="E167" t="s">
        <v>17</v>
      </c>
      <c r="F167" t="s">
        <v>78</v>
      </c>
      <c r="G167">
        <v>40.5</v>
      </c>
      <c r="H167">
        <v>8.15</v>
      </c>
      <c r="I167">
        <v>22</v>
      </c>
      <c r="J167" t="s">
        <v>34</v>
      </c>
      <c r="K167" t="s">
        <v>20</v>
      </c>
      <c r="L167" t="s">
        <v>21</v>
      </c>
      <c r="M167" t="s">
        <v>54</v>
      </c>
      <c r="N167" s="2">
        <v>5500</v>
      </c>
    </row>
    <row r="168" spans="1:14" x14ac:dyDescent="0.25">
      <c r="A168" t="s">
        <v>128</v>
      </c>
      <c r="B168" t="s">
        <v>129</v>
      </c>
      <c r="C168" t="s">
        <v>16</v>
      </c>
      <c r="D168" t="s">
        <v>16</v>
      </c>
      <c r="E168" t="s">
        <v>17</v>
      </c>
      <c r="F168" t="s">
        <v>33</v>
      </c>
      <c r="G168">
        <v>38</v>
      </c>
      <c r="H168">
        <v>10.88</v>
      </c>
      <c r="I168">
        <v>25</v>
      </c>
      <c r="J168" t="s">
        <v>19</v>
      </c>
      <c r="K168" t="s">
        <v>20</v>
      </c>
      <c r="L168" t="s">
        <v>21</v>
      </c>
      <c r="M168" t="s">
        <v>142</v>
      </c>
      <c r="N168" s="2">
        <v>8700</v>
      </c>
    </row>
    <row r="169" spans="1:14" x14ac:dyDescent="0.25">
      <c r="A169" t="s">
        <v>118</v>
      </c>
      <c r="B169" t="s">
        <v>198</v>
      </c>
      <c r="C169" t="s">
        <v>16</v>
      </c>
      <c r="D169" t="s">
        <v>32</v>
      </c>
      <c r="E169" t="s">
        <v>17</v>
      </c>
      <c r="F169" t="s">
        <v>78</v>
      </c>
      <c r="G169">
        <v>42</v>
      </c>
      <c r="H169">
        <v>11.15</v>
      </c>
      <c r="I169">
        <v>20</v>
      </c>
      <c r="J169" t="s">
        <v>28</v>
      </c>
      <c r="K169" t="s">
        <v>20</v>
      </c>
      <c r="L169" t="s">
        <v>21</v>
      </c>
      <c r="M169" t="s">
        <v>29</v>
      </c>
      <c r="N169" s="2">
        <v>7900</v>
      </c>
    </row>
    <row r="170" spans="1:14" x14ac:dyDescent="0.25">
      <c r="A170" t="s">
        <v>71</v>
      </c>
      <c r="B170" t="s">
        <v>199</v>
      </c>
      <c r="C170" t="s">
        <v>200</v>
      </c>
      <c r="D170" t="s">
        <v>154</v>
      </c>
      <c r="E170" t="s">
        <v>17</v>
      </c>
      <c r="F170" t="s">
        <v>85</v>
      </c>
      <c r="G170">
        <v>45</v>
      </c>
      <c r="H170">
        <v>14.7</v>
      </c>
      <c r="I170">
        <v>22</v>
      </c>
      <c r="J170" t="s">
        <v>19</v>
      </c>
      <c r="K170" t="s">
        <v>20</v>
      </c>
      <c r="L170" t="s">
        <v>45</v>
      </c>
      <c r="M170" t="s">
        <v>58</v>
      </c>
      <c r="N170" s="2">
        <v>3350</v>
      </c>
    </row>
    <row r="171" spans="1:14" x14ac:dyDescent="0.25">
      <c r="A171" t="s">
        <v>14</v>
      </c>
      <c r="B171" t="s">
        <v>103</v>
      </c>
      <c r="C171" t="s">
        <v>16</v>
      </c>
      <c r="D171" t="s">
        <v>104</v>
      </c>
      <c r="E171" t="s">
        <v>17</v>
      </c>
      <c r="F171" t="s">
        <v>33</v>
      </c>
      <c r="G171">
        <v>36</v>
      </c>
      <c r="H171">
        <v>12.5</v>
      </c>
      <c r="I171">
        <v>20</v>
      </c>
      <c r="J171" t="s">
        <v>19</v>
      </c>
      <c r="K171" t="s">
        <v>20</v>
      </c>
      <c r="L171" t="s">
        <v>21</v>
      </c>
      <c r="M171" t="s">
        <v>40</v>
      </c>
      <c r="N171" s="2">
        <v>8000</v>
      </c>
    </row>
    <row r="172" spans="1:14" x14ac:dyDescent="0.25">
      <c r="A172" t="s">
        <v>23</v>
      </c>
      <c r="B172" t="s">
        <v>82</v>
      </c>
      <c r="C172" t="s">
        <v>16</v>
      </c>
      <c r="D172" t="s">
        <v>16</v>
      </c>
      <c r="E172" t="s">
        <v>17</v>
      </c>
      <c r="F172" t="s">
        <v>78</v>
      </c>
      <c r="G172">
        <v>42</v>
      </c>
      <c r="H172">
        <v>13.5</v>
      </c>
      <c r="I172">
        <v>20</v>
      </c>
      <c r="J172" t="s">
        <v>19</v>
      </c>
      <c r="K172" t="s">
        <v>20</v>
      </c>
      <c r="L172" t="s">
        <v>35</v>
      </c>
      <c r="M172" t="s">
        <v>29</v>
      </c>
      <c r="N172" s="2">
        <v>6500</v>
      </c>
    </row>
    <row r="173" spans="1:14" x14ac:dyDescent="0.25">
      <c r="A173" t="s">
        <v>41</v>
      </c>
      <c r="B173" t="s">
        <v>186</v>
      </c>
      <c r="C173" t="s">
        <v>16</v>
      </c>
      <c r="D173" t="s">
        <v>32</v>
      </c>
      <c r="E173" t="s">
        <v>17</v>
      </c>
      <c r="F173" t="s">
        <v>39</v>
      </c>
      <c r="G173">
        <v>33</v>
      </c>
      <c r="H173">
        <v>9.9600000000000009</v>
      </c>
      <c r="I173">
        <v>16</v>
      </c>
      <c r="J173" t="s">
        <v>44</v>
      </c>
      <c r="K173" t="s">
        <v>20</v>
      </c>
      <c r="L173" t="s">
        <v>21</v>
      </c>
      <c r="M173" t="s">
        <v>36</v>
      </c>
      <c r="N173" s="2">
        <v>4500</v>
      </c>
    </row>
    <row r="174" spans="1:14" x14ac:dyDescent="0.25">
      <c r="A174" t="s">
        <v>30</v>
      </c>
      <c r="B174" t="s">
        <v>201</v>
      </c>
      <c r="C174" t="s">
        <v>16</v>
      </c>
      <c r="D174" t="s">
        <v>16</v>
      </c>
      <c r="E174" t="s">
        <v>43</v>
      </c>
      <c r="F174" t="s">
        <v>18</v>
      </c>
      <c r="G174">
        <v>43</v>
      </c>
      <c r="H174">
        <v>10.8</v>
      </c>
      <c r="I174">
        <v>20</v>
      </c>
      <c r="J174" t="s">
        <v>28</v>
      </c>
      <c r="K174" t="s">
        <v>20</v>
      </c>
      <c r="L174" t="s">
        <v>45</v>
      </c>
      <c r="M174" t="s">
        <v>46</v>
      </c>
      <c r="N174" s="2">
        <v>1800</v>
      </c>
    </row>
    <row r="175" spans="1:14" x14ac:dyDescent="0.25">
      <c r="A175" t="s">
        <v>37</v>
      </c>
      <c r="B175" t="s">
        <v>84</v>
      </c>
      <c r="C175" t="s">
        <v>16</v>
      </c>
      <c r="D175" t="s">
        <v>26</v>
      </c>
      <c r="E175" t="s">
        <v>17</v>
      </c>
      <c r="F175" t="s">
        <v>202</v>
      </c>
      <c r="G175">
        <v>42</v>
      </c>
      <c r="H175">
        <v>13.32</v>
      </c>
      <c r="I175">
        <v>20</v>
      </c>
      <c r="J175" t="s">
        <v>28</v>
      </c>
      <c r="K175" t="s">
        <v>20</v>
      </c>
      <c r="L175" t="s">
        <v>21</v>
      </c>
      <c r="M175" t="s">
        <v>58</v>
      </c>
      <c r="N175" s="2">
        <v>3600</v>
      </c>
    </row>
    <row r="176" spans="1:14" x14ac:dyDescent="0.25">
      <c r="A176" t="s">
        <v>93</v>
      </c>
      <c r="B176" t="s">
        <v>107</v>
      </c>
      <c r="C176" t="s">
        <v>16</v>
      </c>
      <c r="D176" t="s">
        <v>32</v>
      </c>
      <c r="E176" t="s">
        <v>17</v>
      </c>
      <c r="F176" t="s">
        <v>39</v>
      </c>
      <c r="G176">
        <v>41</v>
      </c>
      <c r="H176">
        <v>12.3</v>
      </c>
      <c r="I176">
        <v>22</v>
      </c>
      <c r="J176" t="s">
        <v>28</v>
      </c>
      <c r="K176" t="s">
        <v>20</v>
      </c>
      <c r="L176" t="s">
        <v>21</v>
      </c>
      <c r="M176" t="s">
        <v>29</v>
      </c>
      <c r="N176" s="2">
        <v>8900</v>
      </c>
    </row>
    <row r="177" spans="1:14" x14ac:dyDescent="0.25">
      <c r="A177" t="s">
        <v>86</v>
      </c>
      <c r="B177" t="s">
        <v>143</v>
      </c>
      <c r="C177" t="s">
        <v>25</v>
      </c>
      <c r="D177" t="s">
        <v>32</v>
      </c>
      <c r="E177" t="s">
        <v>49</v>
      </c>
      <c r="F177" t="s">
        <v>18</v>
      </c>
      <c r="G177">
        <v>44</v>
      </c>
      <c r="H177">
        <v>13.05</v>
      </c>
      <c r="I177">
        <v>24</v>
      </c>
      <c r="J177" t="s">
        <v>19</v>
      </c>
      <c r="K177" t="s">
        <v>20</v>
      </c>
      <c r="L177" t="s">
        <v>45</v>
      </c>
      <c r="M177" t="s">
        <v>88</v>
      </c>
      <c r="N177" s="2">
        <v>5700</v>
      </c>
    </row>
    <row r="178" spans="1:14" x14ac:dyDescent="0.25">
      <c r="A178" t="s">
        <v>135</v>
      </c>
      <c r="B178" t="s">
        <v>136</v>
      </c>
      <c r="C178" t="s">
        <v>16</v>
      </c>
      <c r="D178" t="s">
        <v>16</v>
      </c>
      <c r="E178" t="s">
        <v>17</v>
      </c>
      <c r="F178" t="s">
        <v>137</v>
      </c>
      <c r="G178">
        <v>40.5</v>
      </c>
      <c r="H178">
        <v>8.3000000000000007</v>
      </c>
      <c r="I178">
        <v>22</v>
      </c>
      <c r="J178" t="s">
        <v>28</v>
      </c>
      <c r="K178" t="s">
        <v>20</v>
      </c>
      <c r="L178" t="s">
        <v>21</v>
      </c>
      <c r="M178" t="s">
        <v>50</v>
      </c>
      <c r="N178" s="2">
        <v>34000</v>
      </c>
    </row>
    <row r="179" spans="1:14" x14ac:dyDescent="0.25">
      <c r="A179" t="s">
        <v>47</v>
      </c>
      <c r="B179" t="s">
        <v>96</v>
      </c>
      <c r="C179" t="s">
        <v>16</v>
      </c>
      <c r="D179" t="s">
        <v>32</v>
      </c>
      <c r="E179" t="s">
        <v>17</v>
      </c>
      <c r="F179" t="s">
        <v>78</v>
      </c>
      <c r="G179">
        <v>39</v>
      </c>
      <c r="H179">
        <v>7.58</v>
      </c>
      <c r="I179">
        <v>20</v>
      </c>
      <c r="J179" t="s">
        <v>44</v>
      </c>
      <c r="K179" t="s">
        <v>20</v>
      </c>
      <c r="L179" t="s">
        <v>45</v>
      </c>
      <c r="M179" t="s">
        <v>176</v>
      </c>
      <c r="N179" s="2">
        <v>6800</v>
      </c>
    </row>
    <row r="180" spans="1:14" x14ac:dyDescent="0.25">
      <c r="A180" t="s">
        <v>69</v>
      </c>
      <c r="B180" t="s">
        <v>203</v>
      </c>
      <c r="C180" t="s">
        <v>16</v>
      </c>
      <c r="D180" t="s">
        <v>26</v>
      </c>
      <c r="E180" t="s">
        <v>17</v>
      </c>
      <c r="F180" t="s">
        <v>33</v>
      </c>
      <c r="G180">
        <v>41</v>
      </c>
      <c r="H180">
        <v>9.6999999999999993</v>
      </c>
      <c r="I180">
        <v>22</v>
      </c>
      <c r="J180" t="s">
        <v>19</v>
      </c>
      <c r="K180" t="s">
        <v>20</v>
      </c>
      <c r="L180" t="s">
        <v>21</v>
      </c>
      <c r="M180" t="s">
        <v>75</v>
      </c>
      <c r="N180" s="2">
        <v>2500</v>
      </c>
    </row>
    <row r="181" spans="1:14" x14ac:dyDescent="0.25">
      <c r="A181" t="s">
        <v>99</v>
      </c>
      <c r="B181">
        <v>1858</v>
      </c>
      <c r="C181" t="s">
        <v>204</v>
      </c>
      <c r="D181" t="s">
        <v>32</v>
      </c>
      <c r="E181" t="s">
        <v>17</v>
      </c>
      <c r="F181" t="s">
        <v>33</v>
      </c>
      <c r="G181">
        <v>44</v>
      </c>
      <c r="H181">
        <v>12.8</v>
      </c>
      <c r="I181">
        <v>22</v>
      </c>
      <c r="J181" t="s">
        <v>19</v>
      </c>
      <c r="K181" t="s">
        <v>20</v>
      </c>
      <c r="L181" t="s">
        <v>45</v>
      </c>
      <c r="M181" t="s">
        <v>36</v>
      </c>
      <c r="N181" s="2">
        <v>5300</v>
      </c>
    </row>
    <row r="182" spans="1:14" x14ac:dyDescent="0.25">
      <c r="A182" t="s">
        <v>135</v>
      </c>
      <c r="B182" t="s">
        <v>136</v>
      </c>
      <c r="C182" t="s">
        <v>16</v>
      </c>
      <c r="D182" t="s">
        <v>16</v>
      </c>
      <c r="E182" t="s">
        <v>17</v>
      </c>
      <c r="F182" t="s">
        <v>137</v>
      </c>
      <c r="G182">
        <v>40.5</v>
      </c>
      <c r="H182">
        <v>8.3000000000000007</v>
      </c>
      <c r="I182">
        <v>22</v>
      </c>
      <c r="J182" t="s">
        <v>28</v>
      </c>
      <c r="K182" t="s">
        <v>20</v>
      </c>
      <c r="L182" t="s">
        <v>21</v>
      </c>
      <c r="M182" t="s">
        <v>50</v>
      </c>
      <c r="N182" s="2">
        <v>34000</v>
      </c>
    </row>
    <row r="183" spans="1:14" x14ac:dyDescent="0.25">
      <c r="A183" t="s">
        <v>76</v>
      </c>
      <c r="B183" t="s">
        <v>77</v>
      </c>
      <c r="C183" t="s">
        <v>16</v>
      </c>
      <c r="D183" t="s">
        <v>16</v>
      </c>
      <c r="E183" t="s">
        <v>17</v>
      </c>
      <c r="F183" t="s">
        <v>78</v>
      </c>
      <c r="G183">
        <v>41</v>
      </c>
      <c r="H183">
        <v>9.8000000000000007</v>
      </c>
      <c r="I183">
        <v>20</v>
      </c>
      <c r="J183" t="s">
        <v>19</v>
      </c>
      <c r="K183" t="s">
        <v>20</v>
      </c>
      <c r="L183" t="s">
        <v>21</v>
      </c>
      <c r="M183" t="s">
        <v>29</v>
      </c>
      <c r="N183" s="2">
        <v>22000</v>
      </c>
    </row>
    <row r="184" spans="1:14" x14ac:dyDescent="0.25">
      <c r="A184" t="s">
        <v>79</v>
      </c>
      <c r="B184" t="s">
        <v>80</v>
      </c>
      <c r="C184" t="s">
        <v>16</v>
      </c>
      <c r="D184" t="s">
        <v>26</v>
      </c>
      <c r="E184" t="s">
        <v>17</v>
      </c>
      <c r="F184" t="s">
        <v>81</v>
      </c>
      <c r="G184">
        <v>41</v>
      </c>
      <c r="H184">
        <v>11</v>
      </c>
      <c r="I184">
        <v>21</v>
      </c>
      <c r="J184" t="s">
        <v>28</v>
      </c>
      <c r="K184" t="s">
        <v>20</v>
      </c>
      <c r="L184" t="s">
        <v>21</v>
      </c>
      <c r="M184" t="s">
        <v>29</v>
      </c>
      <c r="N184" s="2">
        <v>17500</v>
      </c>
    </row>
    <row r="185" spans="1:14" x14ac:dyDescent="0.25">
      <c r="A185" t="s">
        <v>93</v>
      </c>
      <c r="B185" t="s">
        <v>107</v>
      </c>
      <c r="C185" t="s">
        <v>16</v>
      </c>
      <c r="D185" t="s">
        <v>32</v>
      </c>
      <c r="E185" t="s">
        <v>17</v>
      </c>
      <c r="F185" t="s">
        <v>39</v>
      </c>
      <c r="G185">
        <v>41</v>
      </c>
      <c r="H185">
        <v>13.1</v>
      </c>
      <c r="I185">
        <v>22</v>
      </c>
      <c r="J185" t="s">
        <v>44</v>
      </c>
      <c r="K185" t="s">
        <v>20</v>
      </c>
      <c r="L185" t="s">
        <v>21</v>
      </c>
      <c r="M185" t="s">
        <v>29</v>
      </c>
      <c r="N185" s="2">
        <v>8500</v>
      </c>
    </row>
    <row r="186" spans="1:14" x14ac:dyDescent="0.25">
      <c r="A186" t="s">
        <v>133</v>
      </c>
      <c r="B186" t="s">
        <v>174</v>
      </c>
      <c r="C186" t="s">
        <v>98</v>
      </c>
      <c r="D186" t="s">
        <v>26</v>
      </c>
      <c r="E186" t="s">
        <v>17</v>
      </c>
      <c r="F186" t="s">
        <v>33</v>
      </c>
      <c r="G186">
        <v>44.5</v>
      </c>
      <c r="H186">
        <v>14.5</v>
      </c>
      <c r="I186">
        <v>22</v>
      </c>
      <c r="J186" t="s">
        <v>19</v>
      </c>
      <c r="K186" t="s">
        <v>20</v>
      </c>
      <c r="L186" t="s">
        <v>35</v>
      </c>
      <c r="M186" t="s">
        <v>145</v>
      </c>
      <c r="N186" s="2">
        <v>15000</v>
      </c>
    </row>
    <row r="187" spans="1:14" x14ac:dyDescent="0.25">
      <c r="A187" t="s">
        <v>113</v>
      </c>
      <c r="B187" t="s">
        <v>114</v>
      </c>
      <c r="C187" t="s">
        <v>16</v>
      </c>
      <c r="D187" t="s">
        <v>32</v>
      </c>
      <c r="E187" t="s">
        <v>17</v>
      </c>
      <c r="F187" t="s">
        <v>33</v>
      </c>
      <c r="G187">
        <v>38</v>
      </c>
      <c r="H187">
        <v>12.4</v>
      </c>
      <c r="I187">
        <v>19</v>
      </c>
      <c r="J187" t="s">
        <v>34</v>
      </c>
      <c r="K187" t="s">
        <v>20</v>
      </c>
      <c r="L187" t="s">
        <v>35</v>
      </c>
      <c r="M187" t="s">
        <v>54</v>
      </c>
      <c r="N187" s="2">
        <v>6000</v>
      </c>
    </row>
    <row r="188" spans="1:14" x14ac:dyDescent="0.25">
      <c r="A188" t="s">
        <v>126</v>
      </c>
      <c r="B188" t="s">
        <v>127</v>
      </c>
      <c r="C188" t="s">
        <v>16</v>
      </c>
      <c r="D188" t="s">
        <v>32</v>
      </c>
      <c r="E188" t="s">
        <v>17</v>
      </c>
      <c r="F188" t="s">
        <v>78</v>
      </c>
      <c r="G188">
        <v>42</v>
      </c>
      <c r="H188">
        <v>12.67</v>
      </c>
      <c r="I188">
        <v>20</v>
      </c>
      <c r="J188" t="s">
        <v>19</v>
      </c>
      <c r="K188" t="s">
        <v>20</v>
      </c>
      <c r="L188" t="s">
        <v>35</v>
      </c>
      <c r="M188" t="s">
        <v>22</v>
      </c>
      <c r="N188" s="2">
        <v>5000</v>
      </c>
    </row>
    <row r="189" spans="1:14" x14ac:dyDescent="0.25">
      <c r="A189" t="s">
        <v>86</v>
      </c>
      <c r="B189" t="s">
        <v>150</v>
      </c>
      <c r="C189" t="s">
        <v>25</v>
      </c>
      <c r="D189" t="s">
        <v>26</v>
      </c>
      <c r="E189" t="s">
        <v>17</v>
      </c>
      <c r="F189" t="s">
        <v>18</v>
      </c>
      <c r="G189">
        <v>44</v>
      </c>
      <c r="H189">
        <v>13.05</v>
      </c>
      <c r="I189">
        <v>24</v>
      </c>
      <c r="J189" t="s">
        <v>19</v>
      </c>
      <c r="K189" t="s">
        <v>20</v>
      </c>
      <c r="L189" t="s">
        <v>45</v>
      </c>
      <c r="M189" t="s">
        <v>145</v>
      </c>
      <c r="N189" s="2">
        <v>8500</v>
      </c>
    </row>
    <row r="190" spans="1:14" x14ac:dyDescent="0.25">
      <c r="A190" t="s">
        <v>128</v>
      </c>
      <c r="B190" t="s">
        <v>129</v>
      </c>
      <c r="C190" t="s">
        <v>16</v>
      </c>
      <c r="D190" t="s">
        <v>16</v>
      </c>
      <c r="E190" t="s">
        <v>17</v>
      </c>
      <c r="F190" t="s">
        <v>33</v>
      </c>
      <c r="G190">
        <v>42</v>
      </c>
      <c r="H190">
        <v>10.88</v>
      </c>
      <c r="I190">
        <v>22</v>
      </c>
      <c r="J190" t="s">
        <v>28</v>
      </c>
      <c r="K190" t="s">
        <v>20</v>
      </c>
      <c r="L190" t="s">
        <v>21</v>
      </c>
      <c r="M190" t="s">
        <v>130</v>
      </c>
      <c r="N190" s="2">
        <v>9000</v>
      </c>
    </row>
    <row r="191" spans="1:14" x14ac:dyDescent="0.25">
      <c r="A191" t="s">
        <v>109</v>
      </c>
      <c r="B191" t="s">
        <v>110</v>
      </c>
      <c r="C191" t="s">
        <v>16</v>
      </c>
      <c r="D191" t="s">
        <v>205</v>
      </c>
      <c r="E191" t="s">
        <v>17</v>
      </c>
      <c r="F191" t="s">
        <v>18</v>
      </c>
      <c r="G191">
        <v>45</v>
      </c>
      <c r="H191">
        <v>15.5</v>
      </c>
      <c r="I191">
        <v>23</v>
      </c>
      <c r="J191" t="s">
        <v>19</v>
      </c>
      <c r="K191" t="s">
        <v>20</v>
      </c>
      <c r="L191" t="s">
        <v>45</v>
      </c>
      <c r="M191" t="s">
        <v>112</v>
      </c>
      <c r="N191" s="2">
        <v>12500</v>
      </c>
    </row>
    <row r="192" spans="1:14" x14ac:dyDescent="0.25">
      <c r="A192" t="s">
        <v>124</v>
      </c>
      <c r="B192" t="s">
        <v>125</v>
      </c>
      <c r="C192" t="s">
        <v>25</v>
      </c>
      <c r="D192" t="s">
        <v>32</v>
      </c>
      <c r="E192" t="s">
        <v>17</v>
      </c>
      <c r="F192" t="s">
        <v>39</v>
      </c>
      <c r="G192">
        <v>40</v>
      </c>
      <c r="H192">
        <v>5.5</v>
      </c>
      <c r="I192">
        <v>21</v>
      </c>
      <c r="J192" t="s">
        <v>19</v>
      </c>
      <c r="K192" t="s">
        <v>20</v>
      </c>
      <c r="L192" t="s">
        <v>45</v>
      </c>
      <c r="M192" t="s">
        <v>181</v>
      </c>
      <c r="N192" s="2">
        <v>10000</v>
      </c>
    </row>
    <row r="193" spans="1:14" x14ac:dyDescent="0.25">
      <c r="A193" t="s">
        <v>89</v>
      </c>
      <c r="B193" t="s">
        <v>90</v>
      </c>
      <c r="C193" t="s">
        <v>16</v>
      </c>
      <c r="D193" t="s">
        <v>32</v>
      </c>
      <c r="E193" t="s">
        <v>17</v>
      </c>
      <c r="F193" t="s">
        <v>53</v>
      </c>
      <c r="G193">
        <v>41</v>
      </c>
      <c r="H193">
        <v>12.7</v>
      </c>
      <c r="I193">
        <v>22</v>
      </c>
      <c r="J193" t="s">
        <v>19</v>
      </c>
      <c r="K193" t="s">
        <v>20</v>
      </c>
      <c r="L193" t="s">
        <v>21</v>
      </c>
      <c r="M193" t="s">
        <v>40</v>
      </c>
      <c r="N193" s="2">
        <v>3800</v>
      </c>
    </row>
    <row r="194" spans="1:14" x14ac:dyDescent="0.25">
      <c r="A194" t="s">
        <v>86</v>
      </c>
      <c r="B194" t="s">
        <v>143</v>
      </c>
      <c r="C194" t="s">
        <v>16</v>
      </c>
      <c r="D194" t="s">
        <v>32</v>
      </c>
      <c r="E194" t="s">
        <v>17</v>
      </c>
      <c r="F194" t="s">
        <v>18</v>
      </c>
      <c r="G194">
        <v>44</v>
      </c>
      <c r="H194">
        <v>13.05</v>
      </c>
      <c r="I194">
        <v>22</v>
      </c>
      <c r="J194" t="s">
        <v>19</v>
      </c>
      <c r="K194" t="s">
        <v>20</v>
      </c>
      <c r="L194" t="s">
        <v>21</v>
      </c>
      <c r="M194" t="s">
        <v>145</v>
      </c>
      <c r="N194" s="2">
        <v>8900</v>
      </c>
    </row>
    <row r="195" spans="1:14" x14ac:dyDescent="0.25">
      <c r="A195" t="s">
        <v>133</v>
      </c>
      <c r="B195" t="s">
        <v>174</v>
      </c>
      <c r="C195" t="s">
        <v>25</v>
      </c>
      <c r="D195" t="s">
        <v>26</v>
      </c>
      <c r="E195" t="s">
        <v>17</v>
      </c>
      <c r="F195" t="s">
        <v>33</v>
      </c>
      <c r="G195">
        <v>44</v>
      </c>
      <c r="H195">
        <v>14.5</v>
      </c>
      <c r="I195">
        <v>25</v>
      </c>
      <c r="J195" t="s">
        <v>19</v>
      </c>
      <c r="K195" t="s">
        <v>20</v>
      </c>
      <c r="L195" t="s">
        <v>35</v>
      </c>
      <c r="M195" t="s">
        <v>145</v>
      </c>
      <c r="N195" s="2">
        <v>16800</v>
      </c>
    </row>
    <row r="196" spans="1:14" x14ac:dyDescent="0.25">
      <c r="A196" t="s">
        <v>93</v>
      </c>
      <c r="B196" t="s">
        <v>107</v>
      </c>
      <c r="C196" t="s">
        <v>16</v>
      </c>
      <c r="D196" t="s">
        <v>32</v>
      </c>
      <c r="E196" t="s">
        <v>17</v>
      </c>
      <c r="F196" t="s">
        <v>39</v>
      </c>
      <c r="G196">
        <v>40.9</v>
      </c>
      <c r="H196">
        <v>12.3</v>
      </c>
      <c r="I196">
        <v>20</v>
      </c>
      <c r="J196" t="s">
        <v>44</v>
      </c>
      <c r="K196" t="s">
        <v>20</v>
      </c>
      <c r="L196" t="s">
        <v>21</v>
      </c>
      <c r="M196" t="s">
        <v>149</v>
      </c>
      <c r="N196" s="2">
        <v>6900</v>
      </c>
    </row>
    <row r="197" spans="1:14" x14ac:dyDescent="0.25">
      <c r="A197" t="s">
        <v>76</v>
      </c>
      <c r="B197" t="s">
        <v>77</v>
      </c>
      <c r="C197" t="s">
        <v>16</v>
      </c>
      <c r="D197" t="s">
        <v>16</v>
      </c>
      <c r="E197" t="s">
        <v>17</v>
      </c>
      <c r="F197" t="s">
        <v>78</v>
      </c>
      <c r="G197">
        <v>41</v>
      </c>
      <c r="H197">
        <v>9.8000000000000007</v>
      </c>
      <c r="I197">
        <v>20</v>
      </c>
      <c r="J197" t="s">
        <v>28</v>
      </c>
      <c r="K197" t="s">
        <v>20</v>
      </c>
      <c r="L197" t="s">
        <v>21</v>
      </c>
      <c r="M197" t="s">
        <v>29</v>
      </c>
      <c r="N197" s="2">
        <v>24500</v>
      </c>
    </row>
    <row r="198" spans="1:14" x14ac:dyDescent="0.25">
      <c r="A198" t="s">
        <v>79</v>
      </c>
      <c r="B198" t="s">
        <v>80</v>
      </c>
      <c r="C198" t="s">
        <v>16</v>
      </c>
      <c r="D198" t="s">
        <v>26</v>
      </c>
      <c r="E198" t="s">
        <v>17</v>
      </c>
      <c r="F198" t="s">
        <v>81</v>
      </c>
      <c r="G198">
        <v>41.5</v>
      </c>
      <c r="H198">
        <v>11</v>
      </c>
      <c r="I198">
        <v>21</v>
      </c>
      <c r="J198" t="s">
        <v>44</v>
      </c>
      <c r="K198" t="s">
        <v>20</v>
      </c>
      <c r="L198" t="s">
        <v>21</v>
      </c>
      <c r="M198" t="s">
        <v>75</v>
      </c>
      <c r="N198" s="2">
        <v>19500</v>
      </c>
    </row>
    <row r="199" spans="1:14" x14ac:dyDescent="0.25">
      <c r="A199" t="s">
        <v>72</v>
      </c>
      <c r="B199" t="s">
        <v>73</v>
      </c>
      <c r="C199" t="s">
        <v>74</v>
      </c>
      <c r="D199" t="s">
        <v>32</v>
      </c>
      <c r="E199" t="s">
        <v>17</v>
      </c>
      <c r="F199" t="s">
        <v>39</v>
      </c>
      <c r="G199">
        <v>39</v>
      </c>
      <c r="H199">
        <v>8.65</v>
      </c>
      <c r="I199">
        <v>20</v>
      </c>
      <c r="J199" t="s">
        <v>44</v>
      </c>
      <c r="K199" t="s">
        <v>20</v>
      </c>
      <c r="L199" t="s">
        <v>21</v>
      </c>
      <c r="M199" t="s">
        <v>181</v>
      </c>
      <c r="N199" s="2">
        <v>24500</v>
      </c>
    </row>
    <row r="200" spans="1:14" x14ac:dyDescent="0.25">
      <c r="A200" t="s">
        <v>116</v>
      </c>
      <c r="B200" t="s">
        <v>175</v>
      </c>
      <c r="C200" t="s">
        <v>189</v>
      </c>
      <c r="D200" t="s">
        <v>32</v>
      </c>
      <c r="E200" t="s">
        <v>49</v>
      </c>
      <c r="F200" t="s">
        <v>39</v>
      </c>
      <c r="G200">
        <v>38</v>
      </c>
      <c r="H200">
        <v>6</v>
      </c>
      <c r="I200">
        <v>20</v>
      </c>
      <c r="J200" t="s">
        <v>34</v>
      </c>
      <c r="K200" t="s">
        <v>20</v>
      </c>
      <c r="L200" t="s">
        <v>45</v>
      </c>
      <c r="M200" t="s">
        <v>176</v>
      </c>
      <c r="N200" s="2">
        <v>20800</v>
      </c>
    </row>
    <row r="201" spans="1:14" x14ac:dyDescent="0.25">
      <c r="A201" t="s">
        <v>109</v>
      </c>
      <c r="B201" t="s">
        <v>110</v>
      </c>
      <c r="C201" t="s">
        <v>16</v>
      </c>
      <c r="D201" t="s">
        <v>140</v>
      </c>
      <c r="E201" t="s">
        <v>17</v>
      </c>
      <c r="F201" t="s">
        <v>18</v>
      </c>
      <c r="G201">
        <v>45</v>
      </c>
      <c r="H201">
        <v>15.5</v>
      </c>
      <c r="I201">
        <v>23</v>
      </c>
      <c r="J201" t="s">
        <v>19</v>
      </c>
      <c r="K201" t="s">
        <v>20</v>
      </c>
      <c r="L201" t="s">
        <v>21</v>
      </c>
      <c r="M201" t="s">
        <v>112</v>
      </c>
      <c r="N201" s="2">
        <v>13000</v>
      </c>
    </row>
    <row r="202" spans="1:14" x14ac:dyDescent="0.25">
      <c r="A202" t="s">
        <v>128</v>
      </c>
      <c r="B202" t="s">
        <v>129</v>
      </c>
      <c r="C202" t="s">
        <v>16</v>
      </c>
      <c r="D202" t="s">
        <v>16</v>
      </c>
      <c r="E202" t="s">
        <v>17</v>
      </c>
      <c r="F202" t="s">
        <v>33</v>
      </c>
      <c r="G202">
        <v>41</v>
      </c>
      <c r="H202">
        <v>10.88</v>
      </c>
      <c r="I202">
        <v>22</v>
      </c>
      <c r="J202" t="s">
        <v>19</v>
      </c>
      <c r="K202" t="s">
        <v>20</v>
      </c>
      <c r="L202" t="s">
        <v>21</v>
      </c>
      <c r="M202" t="s">
        <v>142</v>
      </c>
      <c r="N202" s="2">
        <v>9700</v>
      </c>
    </row>
    <row r="203" spans="1:14" x14ac:dyDescent="0.25">
      <c r="A203" t="s">
        <v>113</v>
      </c>
      <c r="B203" t="s">
        <v>138</v>
      </c>
      <c r="C203" t="s">
        <v>16</v>
      </c>
      <c r="D203" t="s">
        <v>32</v>
      </c>
      <c r="E203" t="s">
        <v>17</v>
      </c>
      <c r="F203" t="s">
        <v>78</v>
      </c>
      <c r="G203">
        <v>42</v>
      </c>
      <c r="H203">
        <v>14.05</v>
      </c>
      <c r="I203">
        <v>22</v>
      </c>
      <c r="J203" t="s">
        <v>44</v>
      </c>
      <c r="K203" t="s">
        <v>20</v>
      </c>
      <c r="L203" t="s">
        <v>35</v>
      </c>
      <c r="M203" t="s">
        <v>54</v>
      </c>
      <c r="N203" s="2">
        <v>7400</v>
      </c>
    </row>
    <row r="204" spans="1:14" x14ac:dyDescent="0.25">
      <c r="A204" t="s">
        <v>37</v>
      </c>
      <c r="B204" t="s">
        <v>206</v>
      </c>
      <c r="C204" t="s">
        <v>16</v>
      </c>
      <c r="D204" t="s">
        <v>26</v>
      </c>
      <c r="E204" t="s">
        <v>17</v>
      </c>
      <c r="F204" t="s">
        <v>53</v>
      </c>
      <c r="G204">
        <v>44</v>
      </c>
      <c r="H204">
        <v>14.2</v>
      </c>
      <c r="I204">
        <v>22</v>
      </c>
      <c r="J204" t="s">
        <v>19</v>
      </c>
      <c r="K204" t="s">
        <v>20</v>
      </c>
      <c r="L204" t="s">
        <v>21</v>
      </c>
      <c r="M204" t="s">
        <v>40</v>
      </c>
      <c r="N204" s="2">
        <v>4300</v>
      </c>
    </row>
    <row r="205" spans="1:14" x14ac:dyDescent="0.25">
      <c r="A205" t="s">
        <v>41</v>
      </c>
      <c r="B205" t="s">
        <v>207</v>
      </c>
      <c r="C205" t="s">
        <v>16</v>
      </c>
      <c r="D205" t="s">
        <v>16</v>
      </c>
      <c r="E205" t="s">
        <v>17</v>
      </c>
      <c r="F205" t="s">
        <v>33</v>
      </c>
      <c r="G205">
        <v>39.799999999999997</v>
      </c>
      <c r="H205">
        <v>9.08</v>
      </c>
      <c r="I205">
        <v>20</v>
      </c>
      <c r="J205" t="s">
        <v>44</v>
      </c>
      <c r="K205" t="s">
        <v>20</v>
      </c>
      <c r="L205" t="s">
        <v>21</v>
      </c>
      <c r="M205" t="s">
        <v>36</v>
      </c>
      <c r="N205" s="2">
        <v>6500</v>
      </c>
    </row>
    <row r="206" spans="1:14" x14ac:dyDescent="0.25">
      <c r="A206" t="s">
        <v>23</v>
      </c>
      <c r="B206" t="s">
        <v>82</v>
      </c>
      <c r="C206" t="s">
        <v>16</v>
      </c>
      <c r="D206" t="s">
        <v>32</v>
      </c>
      <c r="E206" t="s">
        <v>49</v>
      </c>
      <c r="F206" t="s">
        <v>78</v>
      </c>
      <c r="G206">
        <v>42</v>
      </c>
      <c r="H206">
        <v>13.7</v>
      </c>
      <c r="I206">
        <v>20</v>
      </c>
      <c r="J206" t="s">
        <v>19</v>
      </c>
      <c r="K206" t="s">
        <v>106</v>
      </c>
      <c r="L206" t="s">
        <v>35</v>
      </c>
      <c r="M206" t="s">
        <v>22</v>
      </c>
      <c r="N206" s="2">
        <v>5500</v>
      </c>
    </row>
    <row r="207" spans="1:14" x14ac:dyDescent="0.25">
      <c r="A207" t="s">
        <v>14</v>
      </c>
      <c r="B207" t="s">
        <v>91</v>
      </c>
      <c r="C207" t="s">
        <v>16</v>
      </c>
      <c r="D207" t="s">
        <v>16</v>
      </c>
      <c r="E207" t="s">
        <v>17</v>
      </c>
      <c r="F207" t="s">
        <v>33</v>
      </c>
      <c r="G207">
        <v>40</v>
      </c>
      <c r="H207">
        <v>12.4</v>
      </c>
      <c r="I207">
        <v>20</v>
      </c>
      <c r="J207" t="s">
        <v>19</v>
      </c>
      <c r="K207" t="s">
        <v>20</v>
      </c>
      <c r="L207" t="s">
        <v>185</v>
      </c>
      <c r="M207" t="s">
        <v>40</v>
      </c>
      <c r="N207" s="2">
        <v>9100</v>
      </c>
    </row>
    <row r="208" spans="1:14" x14ac:dyDescent="0.25">
      <c r="A208" t="s">
        <v>47</v>
      </c>
      <c r="B208" t="s">
        <v>160</v>
      </c>
      <c r="C208" t="s">
        <v>16</v>
      </c>
      <c r="D208" t="s">
        <v>32</v>
      </c>
      <c r="E208" t="s">
        <v>17</v>
      </c>
      <c r="F208" t="s">
        <v>78</v>
      </c>
      <c r="G208">
        <v>40</v>
      </c>
      <c r="H208">
        <v>8.8000000000000007</v>
      </c>
      <c r="I208">
        <v>20</v>
      </c>
      <c r="J208" t="s">
        <v>44</v>
      </c>
      <c r="K208" t="s">
        <v>20</v>
      </c>
      <c r="L208" t="s">
        <v>21</v>
      </c>
      <c r="M208" t="s">
        <v>40</v>
      </c>
      <c r="N208" s="2">
        <v>7500</v>
      </c>
    </row>
    <row r="209" spans="1:14" x14ac:dyDescent="0.25">
      <c r="A209" t="s">
        <v>76</v>
      </c>
      <c r="B209" t="s">
        <v>77</v>
      </c>
      <c r="C209" t="s">
        <v>16</v>
      </c>
      <c r="D209" t="s">
        <v>16</v>
      </c>
      <c r="E209" t="s">
        <v>17</v>
      </c>
      <c r="F209" t="s">
        <v>78</v>
      </c>
      <c r="G209">
        <v>41</v>
      </c>
      <c r="H209">
        <v>10.4</v>
      </c>
      <c r="I209">
        <v>20</v>
      </c>
      <c r="J209" t="s">
        <v>28</v>
      </c>
      <c r="K209" t="s">
        <v>20</v>
      </c>
      <c r="L209" t="s">
        <v>21</v>
      </c>
      <c r="M209" t="s">
        <v>29</v>
      </c>
      <c r="N209" s="2">
        <v>20900</v>
      </c>
    </row>
    <row r="210" spans="1:14" x14ac:dyDescent="0.25">
      <c r="A210" t="s">
        <v>93</v>
      </c>
      <c r="B210" t="s">
        <v>208</v>
      </c>
      <c r="C210" t="s">
        <v>16</v>
      </c>
      <c r="D210" t="s">
        <v>32</v>
      </c>
      <c r="E210" t="s">
        <v>17</v>
      </c>
      <c r="F210" t="s">
        <v>95</v>
      </c>
      <c r="G210">
        <v>40</v>
      </c>
      <c r="H210">
        <v>10.8</v>
      </c>
      <c r="I210">
        <v>20</v>
      </c>
      <c r="J210" t="s">
        <v>19</v>
      </c>
      <c r="K210" t="s">
        <v>20</v>
      </c>
      <c r="L210" t="s">
        <v>21</v>
      </c>
      <c r="M210" t="s">
        <v>36</v>
      </c>
      <c r="N210" s="2">
        <v>4200</v>
      </c>
    </row>
    <row r="211" spans="1:14" x14ac:dyDescent="0.25">
      <c r="A211" t="s">
        <v>135</v>
      </c>
      <c r="B211" t="s">
        <v>187</v>
      </c>
      <c r="C211" t="s">
        <v>74</v>
      </c>
      <c r="D211" t="s">
        <v>32</v>
      </c>
      <c r="E211" t="s">
        <v>17</v>
      </c>
      <c r="F211" t="s">
        <v>39</v>
      </c>
      <c r="G211">
        <v>39</v>
      </c>
      <c r="H211">
        <v>8.6</v>
      </c>
      <c r="I211">
        <v>20</v>
      </c>
      <c r="J211" t="s">
        <v>44</v>
      </c>
      <c r="K211" t="s">
        <v>20</v>
      </c>
      <c r="L211" t="s">
        <v>21</v>
      </c>
      <c r="M211" t="s">
        <v>22</v>
      </c>
      <c r="N211" s="2">
        <v>22000</v>
      </c>
    </row>
    <row r="212" spans="1:14" x14ac:dyDescent="0.25">
      <c r="A212" t="s">
        <v>30</v>
      </c>
      <c r="B212" t="s">
        <v>201</v>
      </c>
      <c r="C212" t="s">
        <v>16</v>
      </c>
      <c r="D212" t="s">
        <v>16</v>
      </c>
      <c r="E212" t="s">
        <v>43</v>
      </c>
      <c r="F212" t="s">
        <v>18</v>
      </c>
      <c r="G212">
        <v>32</v>
      </c>
      <c r="H212">
        <v>9.5</v>
      </c>
      <c r="I212">
        <v>15</v>
      </c>
      <c r="J212" t="s">
        <v>28</v>
      </c>
      <c r="K212" t="s">
        <v>20</v>
      </c>
      <c r="L212" t="s">
        <v>45</v>
      </c>
      <c r="M212" t="s">
        <v>46</v>
      </c>
      <c r="N212" s="2">
        <v>1700</v>
      </c>
    </row>
    <row r="213" spans="1:14" x14ac:dyDescent="0.25">
      <c r="A213" t="s">
        <v>89</v>
      </c>
      <c r="B213" t="s">
        <v>90</v>
      </c>
      <c r="C213" t="s">
        <v>16</v>
      </c>
      <c r="D213" t="s">
        <v>32</v>
      </c>
      <c r="E213" t="s">
        <v>17</v>
      </c>
      <c r="F213" t="s">
        <v>53</v>
      </c>
      <c r="G213">
        <v>41</v>
      </c>
      <c r="H213">
        <v>12.7</v>
      </c>
      <c r="I213">
        <v>22</v>
      </c>
      <c r="J213" t="s">
        <v>19</v>
      </c>
      <c r="K213" t="s">
        <v>20</v>
      </c>
      <c r="L213" t="s">
        <v>21</v>
      </c>
      <c r="M213" t="s">
        <v>40</v>
      </c>
      <c r="N213" s="2">
        <v>3600</v>
      </c>
    </row>
    <row r="214" spans="1:14" x14ac:dyDescent="0.25">
      <c r="A214" t="s">
        <v>14</v>
      </c>
      <c r="B214" t="s">
        <v>103</v>
      </c>
      <c r="C214" t="s">
        <v>16</v>
      </c>
      <c r="D214" t="s">
        <v>209</v>
      </c>
      <c r="E214" t="s">
        <v>17</v>
      </c>
      <c r="F214" t="s">
        <v>33</v>
      </c>
      <c r="G214">
        <v>36</v>
      </c>
      <c r="H214">
        <v>12.5</v>
      </c>
      <c r="I214">
        <v>20</v>
      </c>
      <c r="J214" t="s">
        <v>44</v>
      </c>
      <c r="K214" t="s">
        <v>20</v>
      </c>
      <c r="L214" t="s">
        <v>21</v>
      </c>
      <c r="M214" t="s">
        <v>40</v>
      </c>
      <c r="N214" s="2">
        <v>8900</v>
      </c>
    </row>
    <row r="215" spans="1:14" x14ac:dyDescent="0.25">
      <c r="A215" t="s">
        <v>23</v>
      </c>
      <c r="B215" t="s">
        <v>82</v>
      </c>
      <c r="C215" t="s">
        <v>16</v>
      </c>
      <c r="D215" t="s">
        <v>16</v>
      </c>
      <c r="E215" t="s">
        <v>17</v>
      </c>
      <c r="F215" t="s">
        <v>78</v>
      </c>
      <c r="G215">
        <v>42</v>
      </c>
      <c r="H215">
        <v>13.5</v>
      </c>
      <c r="I215">
        <v>20</v>
      </c>
      <c r="J215" t="s">
        <v>19</v>
      </c>
      <c r="K215" t="s">
        <v>20</v>
      </c>
      <c r="L215" t="s">
        <v>35</v>
      </c>
      <c r="M215" t="s">
        <v>29</v>
      </c>
      <c r="N215" s="2">
        <v>6800</v>
      </c>
    </row>
    <row r="216" spans="1:14" x14ac:dyDescent="0.25">
      <c r="A216" t="s">
        <v>30</v>
      </c>
      <c r="B216" t="s">
        <v>201</v>
      </c>
      <c r="C216" t="s">
        <v>16</v>
      </c>
      <c r="D216" t="s">
        <v>16</v>
      </c>
      <c r="E216" t="s">
        <v>43</v>
      </c>
      <c r="F216" t="s">
        <v>18</v>
      </c>
      <c r="G216">
        <v>43</v>
      </c>
      <c r="H216">
        <v>10.8</v>
      </c>
      <c r="I216">
        <v>21</v>
      </c>
      <c r="J216" t="s">
        <v>28</v>
      </c>
      <c r="K216" t="s">
        <v>20</v>
      </c>
      <c r="L216" t="s">
        <v>21</v>
      </c>
      <c r="M216" t="s">
        <v>46</v>
      </c>
      <c r="N216" s="2">
        <v>2600</v>
      </c>
    </row>
    <row r="217" spans="1:14" x14ac:dyDescent="0.25">
      <c r="A217" t="s">
        <v>37</v>
      </c>
      <c r="B217" t="s">
        <v>159</v>
      </c>
      <c r="C217" t="s">
        <v>16</v>
      </c>
      <c r="D217" t="s">
        <v>32</v>
      </c>
      <c r="E217" t="s">
        <v>17</v>
      </c>
      <c r="F217" t="s">
        <v>53</v>
      </c>
      <c r="G217">
        <v>42</v>
      </c>
      <c r="H217">
        <v>14.35</v>
      </c>
      <c r="I217">
        <v>20</v>
      </c>
      <c r="J217" t="s">
        <v>19</v>
      </c>
      <c r="K217" t="s">
        <v>20</v>
      </c>
      <c r="L217" t="s">
        <v>21</v>
      </c>
      <c r="M217" t="s">
        <v>58</v>
      </c>
      <c r="N217" s="2">
        <v>4400</v>
      </c>
    </row>
    <row r="218" spans="1:14" x14ac:dyDescent="0.25">
      <c r="A218" t="s">
        <v>41</v>
      </c>
      <c r="B218" t="s">
        <v>186</v>
      </c>
      <c r="C218" t="s">
        <v>189</v>
      </c>
      <c r="D218" t="s">
        <v>32</v>
      </c>
      <c r="E218" t="s">
        <v>17</v>
      </c>
      <c r="F218" t="s">
        <v>39</v>
      </c>
      <c r="G218">
        <v>33</v>
      </c>
      <c r="H218">
        <v>9.9600000000000009</v>
      </c>
      <c r="I218">
        <v>18</v>
      </c>
      <c r="J218" t="s">
        <v>44</v>
      </c>
      <c r="K218" t="s">
        <v>20</v>
      </c>
      <c r="L218" t="s">
        <v>21</v>
      </c>
      <c r="M218" t="s">
        <v>36</v>
      </c>
      <c r="N218" s="2">
        <v>13000</v>
      </c>
    </row>
    <row r="219" spans="1:14" x14ac:dyDescent="0.25">
      <c r="A219" t="s">
        <v>47</v>
      </c>
      <c r="B219" t="s">
        <v>160</v>
      </c>
      <c r="C219" t="s">
        <v>16</v>
      </c>
      <c r="D219" t="s">
        <v>32</v>
      </c>
      <c r="E219" t="s">
        <v>17</v>
      </c>
      <c r="F219" t="s">
        <v>78</v>
      </c>
      <c r="G219">
        <v>39</v>
      </c>
      <c r="H219">
        <v>8.5</v>
      </c>
      <c r="I219">
        <v>20</v>
      </c>
      <c r="J219" t="s">
        <v>44</v>
      </c>
      <c r="K219" t="s">
        <v>20</v>
      </c>
      <c r="L219" t="s">
        <v>21</v>
      </c>
      <c r="M219" t="s">
        <v>40</v>
      </c>
      <c r="N219" s="2">
        <v>7500</v>
      </c>
    </row>
    <row r="220" spans="1:14" x14ac:dyDescent="0.25">
      <c r="A220" t="s">
        <v>89</v>
      </c>
      <c r="B220" t="s">
        <v>210</v>
      </c>
      <c r="C220" t="s">
        <v>16</v>
      </c>
      <c r="D220" t="s">
        <v>16</v>
      </c>
      <c r="E220" t="s">
        <v>17</v>
      </c>
      <c r="F220" t="s">
        <v>53</v>
      </c>
      <c r="G220">
        <v>41</v>
      </c>
      <c r="H220">
        <v>14.5</v>
      </c>
      <c r="I220">
        <v>22</v>
      </c>
      <c r="J220" t="s">
        <v>19</v>
      </c>
      <c r="K220" t="s">
        <v>20</v>
      </c>
      <c r="L220" t="s">
        <v>92</v>
      </c>
      <c r="M220" t="s">
        <v>40</v>
      </c>
      <c r="N220" s="2">
        <v>4500</v>
      </c>
    </row>
    <row r="221" spans="1:14" x14ac:dyDescent="0.25">
      <c r="A221" t="s">
        <v>113</v>
      </c>
      <c r="B221" t="s">
        <v>114</v>
      </c>
      <c r="C221" t="s">
        <v>16</v>
      </c>
      <c r="D221" t="s">
        <v>32</v>
      </c>
      <c r="E221" t="s">
        <v>17</v>
      </c>
      <c r="F221" t="s">
        <v>33</v>
      </c>
      <c r="G221">
        <v>38</v>
      </c>
      <c r="H221">
        <v>12.45</v>
      </c>
      <c r="I221">
        <v>19</v>
      </c>
      <c r="J221" t="s">
        <v>34</v>
      </c>
      <c r="K221" t="s">
        <v>20</v>
      </c>
      <c r="L221" t="s">
        <v>35</v>
      </c>
      <c r="M221" t="s">
        <v>54</v>
      </c>
      <c r="N221" s="2">
        <v>6900</v>
      </c>
    </row>
    <row r="222" spans="1:14" x14ac:dyDescent="0.25">
      <c r="A222" t="s">
        <v>62</v>
      </c>
      <c r="B222" t="s">
        <v>153</v>
      </c>
      <c r="C222" t="s">
        <v>16</v>
      </c>
      <c r="D222" t="s">
        <v>16</v>
      </c>
      <c r="E222" t="s">
        <v>17</v>
      </c>
      <c r="F222" t="s">
        <v>18</v>
      </c>
      <c r="G222">
        <v>41</v>
      </c>
      <c r="H222">
        <v>12.65</v>
      </c>
      <c r="I222">
        <v>20</v>
      </c>
      <c r="J222" t="s">
        <v>19</v>
      </c>
      <c r="K222" t="s">
        <v>20</v>
      </c>
      <c r="L222" t="s">
        <v>21</v>
      </c>
      <c r="M222" t="s">
        <v>64</v>
      </c>
      <c r="N222" s="2">
        <v>1800</v>
      </c>
    </row>
    <row r="223" spans="1:14" x14ac:dyDescent="0.25">
      <c r="A223" t="s">
        <v>65</v>
      </c>
      <c r="B223" t="s">
        <v>211</v>
      </c>
      <c r="C223" t="s">
        <v>16</v>
      </c>
      <c r="D223" t="s">
        <v>32</v>
      </c>
      <c r="E223" t="s">
        <v>17</v>
      </c>
      <c r="F223" t="s">
        <v>33</v>
      </c>
      <c r="G223">
        <v>40</v>
      </c>
      <c r="H223">
        <v>12.9</v>
      </c>
      <c r="I223">
        <v>20</v>
      </c>
      <c r="J223" t="s">
        <v>28</v>
      </c>
      <c r="K223" t="s">
        <v>20</v>
      </c>
      <c r="L223" t="s">
        <v>21</v>
      </c>
      <c r="M223" t="s">
        <v>58</v>
      </c>
      <c r="N223" s="2">
        <v>1500</v>
      </c>
    </row>
    <row r="224" spans="1:14" x14ac:dyDescent="0.25">
      <c r="A224" t="s">
        <v>59</v>
      </c>
      <c r="B224" t="s">
        <v>60</v>
      </c>
      <c r="C224" t="s">
        <v>16</v>
      </c>
      <c r="D224" t="s">
        <v>205</v>
      </c>
      <c r="E224" t="s">
        <v>17</v>
      </c>
      <c r="F224" t="s">
        <v>33</v>
      </c>
      <c r="G224">
        <v>38</v>
      </c>
      <c r="H224">
        <v>9.6999999999999993</v>
      </c>
      <c r="I224">
        <v>20</v>
      </c>
      <c r="J224" t="s">
        <v>19</v>
      </c>
      <c r="K224" t="s">
        <v>20</v>
      </c>
      <c r="L224" t="s">
        <v>45</v>
      </c>
      <c r="M224" t="s">
        <v>61</v>
      </c>
      <c r="N224" s="2">
        <v>595</v>
      </c>
    </row>
    <row r="225" spans="1:14" x14ac:dyDescent="0.25">
      <c r="A225" t="s">
        <v>86</v>
      </c>
      <c r="B225" t="s">
        <v>143</v>
      </c>
      <c r="C225" t="s">
        <v>16</v>
      </c>
      <c r="D225" t="s">
        <v>32</v>
      </c>
      <c r="E225" t="s">
        <v>17</v>
      </c>
      <c r="F225" t="s">
        <v>18</v>
      </c>
      <c r="G225">
        <v>42</v>
      </c>
      <c r="H225">
        <v>13.2</v>
      </c>
      <c r="I225">
        <v>22</v>
      </c>
      <c r="J225" t="s">
        <v>19</v>
      </c>
      <c r="K225" t="s">
        <v>20</v>
      </c>
      <c r="L225" t="s">
        <v>21</v>
      </c>
      <c r="M225" t="s">
        <v>145</v>
      </c>
      <c r="N225" s="2">
        <v>7500</v>
      </c>
    </row>
    <row r="226" spans="1:14" x14ac:dyDescent="0.25">
      <c r="A226" t="s">
        <v>93</v>
      </c>
      <c r="B226" t="s">
        <v>94</v>
      </c>
      <c r="C226" t="s">
        <v>16</v>
      </c>
      <c r="D226" t="s">
        <v>32</v>
      </c>
      <c r="E226" t="s">
        <v>17</v>
      </c>
      <c r="F226" t="s">
        <v>95</v>
      </c>
      <c r="G226">
        <v>41</v>
      </c>
      <c r="H226">
        <v>15.3</v>
      </c>
      <c r="I226">
        <v>22</v>
      </c>
      <c r="J226" t="s">
        <v>19</v>
      </c>
      <c r="K226" t="s">
        <v>20</v>
      </c>
      <c r="L226" t="s">
        <v>21</v>
      </c>
      <c r="M226" t="s">
        <v>145</v>
      </c>
      <c r="N226" s="2">
        <v>5400</v>
      </c>
    </row>
    <row r="227" spans="1:14" x14ac:dyDescent="0.25">
      <c r="A227" t="s">
        <v>135</v>
      </c>
      <c r="B227" t="s">
        <v>187</v>
      </c>
      <c r="C227" t="s">
        <v>172</v>
      </c>
      <c r="D227" t="s">
        <v>32</v>
      </c>
      <c r="E227" t="s">
        <v>49</v>
      </c>
      <c r="F227" t="s">
        <v>39</v>
      </c>
      <c r="G227">
        <v>37</v>
      </c>
      <c r="H227">
        <v>7.7</v>
      </c>
      <c r="I227">
        <v>20</v>
      </c>
      <c r="J227" t="s">
        <v>34</v>
      </c>
      <c r="K227" t="s">
        <v>20</v>
      </c>
      <c r="L227" t="s">
        <v>45</v>
      </c>
      <c r="M227" t="s">
        <v>149</v>
      </c>
      <c r="N227" s="2">
        <v>25000</v>
      </c>
    </row>
    <row r="228" spans="1:14" x14ac:dyDescent="0.25">
      <c r="A228" t="s">
        <v>133</v>
      </c>
      <c r="B228" t="s">
        <v>174</v>
      </c>
      <c r="C228" t="s">
        <v>212</v>
      </c>
      <c r="D228" t="s">
        <v>26</v>
      </c>
      <c r="E228" t="s">
        <v>17</v>
      </c>
      <c r="F228" t="s">
        <v>33</v>
      </c>
      <c r="G228">
        <v>44</v>
      </c>
      <c r="H228">
        <v>14.5</v>
      </c>
      <c r="I228">
        <v>25</v>
      </c>
      <c r="J228" t="s">
        <v>19</v>
      </c>
      <c r="K228" t="s">
        <v>20</v>
      </c>
      <c r="L228" t="s">
        <v>35</v>
      </c>
      <c r="M228" t="s">
        <v>145</v>
      </c>
      <c r="N228" s="2">
        <v>15000</v>
      </c>
    </row>
    <row r="229" spans="1:14" x14ac:dyDescent="0.25">
      <c r="A229" t="s">
        <v>113</v>
      </c>
      <c r="B229" t="s">
        <v>138</v>
      </c>
      <c r="C229" t="s">
        <v>16</v>
      </c>
      <c r="D229" t="s">
        <v>32</v>
      </c>
      <c r="E229" t="s">
        <v>17</v>
      </c>
      <c r="F229" t="s">
        <v>78</v>
      </c>
      <c r="G229">
        <v>38</v>
      </c>
      <c r="H229">
        <v>12.6</v>
      </c>
      <c r="I229">
        <v>20</v>
      </c>
      <c r="J229" t="s">
        <v>44</v>
      </c>
      <c r="K229" t="s">
        <v>20</v>
      </c>
      <c r="L229" t="s">
        <v>35</v>
      </c>
      <c r="M229" t="s">
        <v>54</v>
      </c>
      <c r="N229" s="2">
        <v>7500</v>
      </c>
    </row>
    <row r="230" spans="1:14" x14ac:dyDescent="0.25">
      <c r="A230" t="s">
        <v>76</v>
      </c>
      <c r="B230" t="s">
        <v>77</v>
      </c>
      <c r="C230" t="s">
        <v>16</v>
      </c>
      <c r="D230" t="s">
        <v>16</v>
      </c>
      <c r="E230" t="s">
        <v>17</v>
      </c>
      <c r="F230" t="s">
        <v>78</v>
      </c>
      <c r="G230">
        <v>41</v>
      </c>
      <c r="H230">
        <v>9.8000000000000007</v>
      </c>
      <c r="I230">
        <v>20</v>
      </c>
      <c r="J230" t="s">
        <v>28</v>
      </c>
      <c r="K230" t="s">
        <v>20</v>
      </c>
      <c r="L230" t="s">
        <v>21</v>
      </c>
      <c r="M230" t="s">
        <v>29</v>
      </c>
      <c r="N230" s="2">
        <v>25000</v>
      </c>
    </row>
    <row r="231" spans="1:14" x14ac:dyDescent="0.25">
      <c r="A231" t="s">
        <v>79</v>
      </c>
      <c r="B231" t="s">
        <v>80</v>
      </c>
      <c r="C231" t="s">
        <v>16</v>
      </c>
      <c r="D231" t="s">
        <v>16</v>
      </c>
      <c r="E231" t="s">
        <v>17</v>
      </c>
      <c r="F231" t="s">
        <v>78</v>
      </c>
      <c r="G231">
        <v>41</v>
      </c>
      <c r="H231">
        <v>11</v>
      </c>
      <c r="I231">
        <v>22</v>
      </c>
      <c r="J231" t="s">
        <v>28</v>
      </c>
      <c r="K231" t="s">
        <v>20</v>
      </c>
      <c r="L231" t="s">
        <v>21</v>
      </c>
      <c r="M231" t="s">
        <v>75</v>
      </c>
      <c r="N231" s="2">
        <v>18000</v>
      </c>
    </row>
    <row r="232" spans="1:14" x14ac:dyDescent="0.25">
      <c r="A232" t="s">
        <v>72</v>
      </c>
      <c r="B232" t="s">
        <v>73</v>
      </c>
      <c r="C232" t="s">
        <v>172</v>
      </c>
      <c r="D232" t="s">
        <v>32</v>
      </c>
      <c r="E232" t="s">
        <v>17</v>
      </c>
      <c r="F232" t="s">
        <v>39</v>
      </c>
      <c r="G232">
        <v>39</v>
      </c>
      <c r="H232">
        <v>8.65</v>
      </c>
      <c r="I232">
        <v>21</v>
      </c>
      <c r="J232" t="s">
        <v>44</v>
      </c>
      <c r="K232" t="s">
        <v>20</v>
      </c>
      <c r="L232" t="s">
        <v>45</v>
      </c>
      <c r="M232" t="s">
        <v>181</v>
      </c>
      <c r="N232" s="2">
        <v>20000</v>
      </c>
    </row>
    <row r="233" spans="1:14" x14ac:dyDescent="0.25">
      <c r="A233" t="s">
        <v>118</v>
      </c>
      <c r="B233" t="s">
        <v>119</v>
      </c>
      <c r="C233" t="s">
        <v>16</v>
      </c>
      <c r="D233" t="s">
        <v>26</v>
      </c>
      <c r="E233" t="s">
        <v>17</v>
      </c>
      <c r="F233" t="s">
        <v>33</v>
      </c>
      <c r="G233">
        <v>42</v>
      </c>
      <c r="H233">
        <v>12.8</v>
      </c>
      <c r="I233">
        <v>22</v>
      </c>
      <c r="J233" t="s">
        <v>28</v>
      </c>
      <c r="K233" t="s">
        <v>20</v>
      </c>
      <c r="L233" t="s">
        <v>21</v>
      </c>
      <c r="M233" t="s">
        <v>29</v>
      </c>
      <c r="N233" s="2">
        <v>8500</v>
      </c>
    </row>
    <row r="234" spans="1:14" x14ac:dyDescent="0.25">
      <c r="A234" t="s">
        <v>109</v>
      </c>
      <c r="B234" t="s">
        <v>110</v>
      </c>
      <c r="C234" t="s">
        <v>16</v>
      </c>
      <c r="D234" t="s">
        <v>111</v>
      </c>
      <c r="E234" t="s">
        <v>17</v>
      </c>
      <c r="F234" t="s">
        <v>18</v>
      </c>
      <c r="G234">
        <v>45</v>
      </c>
      <c r="H234">
        <v>15.5</v>
      </c>
      <c r="I234">
        <v>23</v>
      </c>
      <c r="J234" t="s">
        <v>19</v>
      </c>
      <c r="K234" t="s">
        <v>20</v>
      </c>
      <c r="L234" t="s">
        <v>45</v>
      </c>
      <c r="M234" t="s">
        <v>112</v>
      </c>
      <c r="N234" s="2">
        <v>10500</v>
      </c>
    </row>
    <row r="235" spans="1:14" x14ac:dyDescent="0.25">
      <c r="A235" t="s">
        <v>128</v>
      </c>
      <c r="B235" t="s">
        <v>129</v>
      </c>
      <c r="C235" t="s">
        <v>16</v>
      </c>
      <c r="D235" t="s">
        <v>16</v>
      </c>
      <c r="E235" t="s">
        <v>17</v>
      </c>
      <c r="F235" t="s">
        <v>33</v>
      </c>
      <c r="G235">
        <v>42</v>
      </c>
      <c r="H235">
        <v>10.88</v>
      </c>
      <c r="I235">
        <v>22</v>
      </c>
      <c r="J235" t="s">
        <v>19</v>
      </c>
      <c r="K235" t="s">
        <v>20</v>
      </c>
      <c r="L235" t="s">
        <v>21</v>
      </c>
      <c r="M235" t="s">
        <v>130</v>
      </c>
      <c r="N235" s="2">
        <v>9000</v>
      </c>
    </row>
    <row r="236" spans="1:14" x14ac:dyDescent="0.25">
      <c r="A236" t="s">
        <v>135</v>
      </c>
      <c r="B236" t="s">
        <v>136</v>
      </c>
      <c r="C236" t="s">
        <v>16</v>
      </c>
      <c r="D236" t="s">
        <v>16</v>
      </c>
      <c r="E236" t="s">
        <v>17</v>
      </c>
      <c r="F236" t="s">
        <v>137</v>
      </c>
      <c r="G236">
        <v>40.799999999999997</v>
      </c>
      <c r="H236">
        <v>8.3000000000000007</v>
      </c>
      <c r="I236">
        <v>21</v>
      </c>
      <c r="J236" t="s">
        <v>28</v>
      </c>
      <c r="K236" t="s">
        <v>20</v>
      </c>
      <c r="L236" t="s">
        <v>21</v>
      </c>
      <c r="M236" t="s">
        <v>181</v>
      </c>
      <c r="N236" s="2">
        <v>51000</v>
      </c>
    </row>
    <row r="237" spans="1:14" x14ac:dyDescent="0.25">
      <c r="A237" t="s">
        <v>76</v>
      </c>
      <c r="B237" t="s">
        <v>77</v>
      </c>
      <c r="C237" t="s">
        <v>16</v>
      </c>
      <c r="D237" t="s">
        <v>16</v>
      </c>
      <c r="E237" t="s">
        <v>17</v>
      </c>
      <c r="F237" t="s">
        <v>78</v>
      </c>
      <c r="G237">
        <v>41</v>
      </c>
      <c r="H237">
        <v>9.8000000000000007</v>
      </c>
      <c r="I237">
        <v>20</v>
      </c>
      <c r="J237" t="s">
        <v>28</v>
      </c>
      <c r="K237" t="s">
        <v>20</v>
      </c>
      <c r="L237" t="s">
        <v>21</v>
      </c>
      <c r="M237" t="s">
        <v>29</v>
      </c>
      <c r="N237" s="2">
        <v>22000</v>
      </c>
    </row>
    <row r="238" spans="1:14" x14ac:dyDescent="0.25">
      <c r="A238" t="s">
        <v>93</v>
      </c>
      <c r="B238" t="s">
        <v>94</v>
      </c>
      <c r="C238" t="s">
        <v>16</v>
      </c>
      <c r="D238" t="s">
        <v>32</v>
      </c>
      <c r="E238" t="s">
        <v>17</v>
      </c>
      <c r="F238" t="s">
        <v>95</v>
      </c>
      <c r="G238">
        <v>46.2</v>
      </c>
      <c r="H238">
        <v>15</v>
      </c>
      <c r="I238">
        <v>20</v>
      </c>
      <c r="J238" t="s">
        <v>19</v>
      </c>
      <c r="K238" t="s">
        <v>20</v>
      </c>
      <c r="L238" t="s">
        <v>35</v>
      </c>
      <c r="M238" t="s">
        <v>122</v>
      </c>
      <c r="N238" s="2">
        <v>7500</v>
      </c>
    </row>
    <row r="239" spans="1:14" x14ac:dyDescent="0.25">
      <c r="A239" t="s">
        <v>109</v>
      </c>
      <c r="B239" t="s">
        <v>110</v>
      </c>
      <c r="C239" t="s">
        <v>25</v>
      </c>
      <c r="D239" t="s">
        <v>140</v>
      </c>
      <c r="E239" t="s">
        <v>17</v>
      </c>
      <c r="F239" t="s">
        <v>18</v>
      </c>
      <c r="G239">
        <v>45</v>
      </c>
      <c r="H239">
        <v>15.4</v>
      </c>
      <c r="I239">
        <v>23</v>
      </c>
      <c r="J239" t="s">
        <v>19</v>
      </c>
      <c r="K239" t="s">
        <v>20</v>
      </c>
      <c r="L239" t="s">
        <v>21</v>
      </c>
      <c r="M239" t="s">
        <v>112</v>
      </c>
      <c r="N239" s="2">
        <v>14500</v>
      </c>
    </row>
    <row r="240" spans="1:14" x14ac:dyDescent="0.25">
      <c r="A240" t="s">
        <v>79</v>
      </c>
      <c r="B240" t="s">
        <v>80</v>
      </c>
      <c r="C240" t="s">
        <v>16</v>
      </c>
      <c r="D240" t="s">
        <v>16</v>
      </c>
      <c r="E240" t="s">
        <v>17</v>
      </c>
      <c r="F240" t="s">
        <v>81</v>
      </c>
      <c r="G240">
        <v>41</v>
      </c>
      <c r="H240">
        <v>11</v>
      </c>
      <c r="I240">
        <v>22</v>
      </c>
      <c r="J240" t="s">
        <v>44</v>
      </c>
      <c r="K240" t="s">
        <v>20</v>
      </c>
      <c r="L240" t="s">
        <v>21</v>
      </c>
      <c r="M240" t="s">
        <v>29</v>
      </c>
      <c r="N240" s="2">
        <v>21500</v>
      </c>
    </row>
    <row r="241" spans="1:14" x14ac:dyDescent="0.25">
      <c r="A241" t="s">
        <v>113</v>
      </c>
      <c r="B241" t="s">
        <v>114</v>
      </c>
      <c r="C241" t="s">
        <v>16</v>
      </c>
      <c r="D241" t="s">
        <v>32</v>
      </c>
      <c r="E241" t="s">
        <v>17</v>
      </c>
      <c r="F241" t="s">
        <v>33</v>
      </c>
      <c r="G241">
        <v>42</v>
      </c>
      <c r="H241">
        <v>12.75</v>
      </c>
      <c r="I241">
        <v>20</v>
      </c>
      <c r="J241" t="s">
        <v>19</v>
      </c>
      <c r="K241" t="s">
        <v>20</v>
      </c>
      <c r="L241" t="s">
        <v>35</v>
      </c>
      <c r="M241" t="s">
        <v>54</v>
      </c>
      <c r="N241" s="2">
        <v>7500</v>
      </c>
    </row>
    <row r="242" spans="1:14" x14ac:dyDescent="0.25">
      <c r="A242" t="s">
        <v>133</v>
      </c>
      <c r="B242" t="s">
        <v>174</v>
      </c>
      <c r="C242" t="s">
        <v>25</v>
      </c>
      <c r="D242" t="s">
        <v>26</v>
      </c>
      <c r="E242" t="s">
        <v>17</v>
      </c>
      <c r="F242" t="s">
        <v>33</v>
      </c>
      <c r="G242">
        <v>44</v>
      </c>
      <c r="H242">
        <v>14.5</v>
      </c>
      <c r="I242">
        <v>22</v>
      </c>
      <c r="J242" t="s">
        <v>19</v>
      </c>
      <c r="K242" t="s">
        <v>20</v>
      </c>
      <c r="L242" t="s">
        <v>35</v>
      </c>
      <c r="M242" t="s">
        <v>145</v>
      </c>
      <c r="N242" s="2">
        <v>15000</v>
      </c>
    </row>
    <row r="243" spans="1:14" x14ac:dyDescent="0.25">
      <c r="A243" t="s">
        <v>72</v>
      </c>
      <c r="B243" t="s">
        <v>73</v>
      </c>
      <c r="C243" t="s">
        <v>189</v>
      </c>
      <c r="D243" t="s">
        <v>32</v>
      </c>
      <c r="E243" t="s">
        <v>17</v>
      </c>
      <c r="F243" t="s">
        <v>39</v>
      </c>
      <c r="G243">
        <v>39</v>
      </c>
      <c r="H243">
        <v>10.199999999999999</v>
      </c>
      <c r="I243">
        <v>22</v>
      </c>
      <c r="J243" t="s">
        <v>44</v>
      </c>
      <c r="K243" t="s">
        <v>20</v>
      </c>
      <c r="L243" t="s">
        <v>45</v>
      </c>
      <c r="M243" t="s">
        <v>75</v>
      </c>
      <c r="N243" s="2">
        <v>18000</v>
      </c>
    </row>
    <row r="244" spans="1:14" x14ac:dyDescent="0.25">
      <c r="A244" t="s">
        <v>126</v>
      </c>
      <c r="B244" t="s">
        <v>213</v>
      </c>
      <c r="C244" t="s">
        <v>16</v>
      </c>
      <c r="D244" t="s">
        <v>32</v>
      </c>
      <c r="E244" t="s">
        <v>43</v>
      </c>
      <c r="F244" t="s">
        <v>39</v>
      </c>
      <c r="G244">
        <v>30</v>
      </c>
      <c r="H244">
        <v>10.5</v>
      </c>
      <c r="I244">
        <v>17</v>
      </c>
      <c r="J244" t="s">
        <v>34</v>
      </c>
      <c r="K244" t="s">
        <v>20</v>
      </c>
      <c r="L244" t="s">
        <v>45</v>
      </c>
      <c r="M244" t="s">
        <v>46</v>
      </c>
      <c r="N244" s="2">
        <v>5000</v>
      </c>
    </row>
    <row r="245" spans="1:14" x14ac:dyDescent="0.25">
      <c r="A245" t="s">
        <v>128</v>
      </c>
      <c r="B245" t="s">
        <v>129</v>
      </c>
      <c r="C245" t="s">
        <v>16</v>
      </c>
      <c r="D245" t="s">
        <v>16</v>
      </c>
      <c r="E245" t="s">
        <v>17</v>
      </c>
      <c r="F245" t="s">
        <v>33</v>
      </c>
      <c r="G245">
        <v>41</v>
      </c>
      <c r="H245">
        <v>10.88</v>
      </c>
      <c r="I245">
        <v>22</v>
      </c>
      <c r="J245" t="s">
        <v>28</v>
      </c>
      <c r="K245" t="s">
        <v>20</v>
      </c>
      <c r="L245" t="s">
        <v>21</v>
      </c>
      <c r="M245" t="s">
        <v>130</v>
      </c>
      <c r="N245" s="2">
        <v>11500</v>
      </c>
    </row>
    <row r="246" spans="1:14" x14ac:dyDescent="0.25">
      <c r="A246" t="s">
        <v>86</v>
      </c>
      <c r="B246" t="s">
        <v>143</v>
      </c>
      <c r="C246" t="s">
        <v>16</v>
      </c>
      <c r="D246" t="s">
        <v>32</v>
      </c>
      <c r="E246" t="s">
        <v>17</v>
      </c>
      <c r="F246" t="s">
        <v>18</v>
      </c>
      <c r="G246">
        <v>44</v>
      </c>
      <c r="H246">
        <v>15.65</v>
      </c>
      <c r="I246">
        <v>24</v>
      </c>
      <c r="J246" t="s">
        <v>19</v>
      </c>
      <c r="K246" t="s">
        <v>20</v>
      </c>
      <c r="L246" t="s">
        <v>21</v>
      </c>
      <c r="M246" t="s">
        <v>145</v>
      </c>
      <c r="N246" s="2">
        <v>8000</v>
      </c>
    </row>
    <row r="247" spans="1:14" x14ac:dyDescent="0.25">
      <c r="A247" t="s">
        <v>89</v>
      </c>
      <c r="B247" t="s">
        <v>90</v>
      </c>
      <c r="C247" t="s">
        <v>16</v>
      </c>
      <c r="D247" t="s">
        <v>32</v>
      </c>
      <c r="E247" t="s">
        <v>17</v>
      </c>
      <c r="F247" t="s">
        <v>53</v>
      </c>
      <c r="G247">
        <v>41</v>
      </c>
      <c r="H247">
        <v>14.75</v>
      </c>
      <c r="I247">
        <v>22</v>
      </c>
      <c r="J247" t="s">
        <v>19</v>
      </c>
      <c r="K247" t="s">
        <v>20</v>
      </c>
      <c r="L247" t="s">
        <v>45</v>
      </c>
      <c r="M247" t="s">
        <v>40</v>
      </c>
      <c r="N247" s="2">
        <v>3800</v>
      </c>
    </row>
    <row r="248" spans="1:14" x14ac:dyDescent="0.25">
      <c r="A248" t="s">
        <v>86</v>
      </c>
      <c r="B248" t="s">
        <v>150</v>
      </c>
      <c r="C248" t="s">
        <v>16</v>
      </c>
      <c r="D248" t="s">
        <v>32</v>
      </c>
      <c r="E248" t="s">
        <v>49</v>
      </c>
      <c r="F248" t="s">
        <v>33</v>
      </c>
      <c r="G248">
        <v>44</v>
      </c>
      <c r="H248">
        <v>13.05</v>
      </c>
      <c r="I248">
        <v>24</v>
      </c>
      <c r="J248" t="s">
        <v>19</v>
      </c>
      <c r="K248" t="s">
        <v>20</v>
      </c>
      <c r="L248" t="s">
        <v>45</v>
      </c>
      <c r="M248" t="s">
        <v>88</v>
      </c>
      <c r="N248" s="2">
        <v>6400</v>
      </c>
    </row>
    <row r="249" spans="1:14" x14ac:dyDescent="0.25">
      <c r="A249" t="s">
        <v>93</v>
      </c>
      <c r="B249" t="s">
        <v>107</v>
      </c>
      <c r="C249" t="s">
        <v>16</v>
      </c>
      <c r="D249" t="s">
        <v>32</v>
      </c>
      <c r="E249" t="s">
        <v>17</v>
      </c>
      <c r="F249" t="s">
        <v>39</v>
      </c>
      <c r="G249">
        <v>41</v>
      </c>
      <c r="H249">
        <v>12.3</v>
      </c>
      <c r="I249">
        <v>22</v>
      </c>
      <c r="J249" t="s">
        <v>44</v>
      </c>
      <c r="K249" t="s">
        <v>20</v>
      </c>
      <c r="L249" t="s">
        <v>21</v>
      </c>
      <c r="M249" t="s">
        <v>29</v>
      </c>
      <c r="N249" s="2">
        <v>8900</v>
      </c>
    </row>
    <row r="250" spans="1:14" x14ac:dyDescent="0.25">
      <c r="A250" t="s">
        <v>76</v>
      </c>
      <c r="B250" t="s">
        <v>77</v>
      </c>
      <c r="C250" t="s">
        <v>16</v>
      </c>
      <c r="D250" t="s">
        <v>16</v>
      </c>
      <c r="E250" t="s">
        <v>17</v>
      </c>
      <c r="F250" t="s">
        <v>78</v>
      </c>
      <c r="G250">
        <v>41</v>
      </c>
      <c r="H250">
        <v>9.8000000000000007</v>
      </c>
      <c r="I250">
        <v>20</v>
      </c>
      <c r="J250" t="s">
        <v>28</v>
      </c>
      <c r="K250" t="s">
        <v>20</v>
      </c>
      <c r="L250" t="s">
        <v>21</v>
      </c>
      <c r="M250" t="s">
        <v>29</v>
      </c>
      <c r="N250" s="2">
        <v>20400</v>
      </c>
    </row>
    <row r="251" spans="1:14" x14ac:dyDescent="0.25">
      <c r="A251" t="s">
        <v>79</v>
      </c>
      <c r="B251" t="s">
        <v>80</v>
      </c>
      <c r="C251" t="s">
        <v>16</v>
      </c>
      <c r="D251" t="s">
        <v>26</v>
      </c>
      <c r="E251" t="s">
        <v>17</v>
      </c>
      <c r="F251" t="s">
        <v>81</v>
      </c>
      <c r="G251">
        <v>41</v>
      </c>
      <c r="H251">
        <v>11</v>
      </c>
      <c r="I251">
        <v>21</v>
      </c>
      <c r="J251" t="s">
        <v>28</v>
      </c>
      <c r="K251" t="s">
        <v>20</v>
      </c>
      <c r="L251" t="s">
        <v>21</v>
      </c>
      <c r="M251" t="s">
        <v>29</v>
      </c>
      <c r="N251" s="2">
        <v>22000</v>
      </c>
    </row>
    <row r="252" spans="1:14" x14ac:dyDescent="0.25">
      <c r="A252" t="s">
        <v>135</v>
      </c>
      <c r="B252" t="s">
        <v>136</v>
      </c>
      <c r="C252" t="s">
        <v>16</v>
      </c>
      <c r="D252" t="s">
        <v>16</v>
      </c>
      <c r="E252" t="s">
        <v>17</v>
      </c>
      <c r="F252" t="s">
        <v>137</v>
      </c>
      <c r="G252">
        <v>40.799999999999997</v>
      </c>
      <c r="H252">
        <v>8.3000000000000007</v>
      </c>
      <c r="I252">
        <v>21</v>
      </c>
      <c r="J252" t="s">
        <v>28</v>
      </c>
      <c r="K252" t="s">
        <v>20</v>
      </c>
      <c r="L252" t="s">
        <v>21</v>
      </c>
      <c r="M252" t="s">
        <v>50</v>
      </c>
      <c r="N252" s="2">
        <v>62500</v>
      </c>
    </row>
    <row r="253" spans="1:14" x14ac:dyDescent="0.25">
      <c r="A253" t="s">
        <v>109</v>
      </c>
      <c r="B253" t="s">
        <v>110</v>
      </c>
      <c r="C253" t="s">
        <v>16</v>
      </c>
      <c r="D253" t="s">
        <v>111</v>
      </c>
      <c r="E253" t="s">
        <v>17</v>
      </c>
      <c r="F253" t="s">
        <v>18</v>
      </c>
      <c r="G253">
        <v>45</v>
      </c>
      <c r="H253">
        <v>15.5</v>
      </c>
      <c r="I253">
        <v>23</v>
      </c>
      <c r="J253" t="s">
        <v>19</v>
      </c>
      <c r="K253" t="s">
        <v>20</v>
      </c>
      <c r="L253" t="s">
        <v>21</v>
      </c>
      <c r="M253" t="s">
        <v>112</v>
      </c>
      <c r="N253" s="2">
        <v>14900</v>
      </c>
    </row>
    <row r="254" spans="1:14" x14ac:dyDescent="0.25">
      <c r="A254" t="s">
        <v>126</v>
      </c>
      <c r="B254" t="s">
        <v>127</v>
      </c>
      <c r="C254" t="s">
        <v>16</v>
      </c>
      <c r="D254" t="s">
        <v>32</v>
      </c>
      <c r="E254" t="s">
        <v>17</v>
      </c>
      <c r="F254" t="s">
        <v>78</v>
      </c>
      <c r="G254">
        <v>42</v>
      </c>
      <c r="H254">
        <v>12.67</v>
      </c>
      <c r="I254">
        <v>20</v>
      </c>
      <c r="J254" t="s">
        <v>44</v>
      </c>
      <c r="K254" t="s">
        <v>20</v>
      </c>
      <c r="L254" t="s">
        <v>35</v>
      </c>
      <c r="M254" t="s">
        <v>36</v>
      </c>
      <c r="N254" s="2">
        <v>5900</v>
      </c>
    </row>
    <row r="255" spans="1:14" x14ac:dyDescent="0.25">
      <c r="A255" t="s">
        <v>62</v>
      </c>
      <c r="B255" t="s">
        <v>63</v>
      </c>
      <c r="C255" t="s">
        <v>16</v>
      </c>
      <c r="D255" t="s">
        <v>32</v>
      </c>
      <c r="E255" t="s">
        <v>17</v>
      </c>
      <c r="F255" t="s">
        <v>39</v>
      </c>
      <c r="G255">
        <v>40</v>
      </c>
      <c r="H255">
        <v>9.35</v>
      </c>
      <c r="I255">
        <v>20</v>
      </c>
      <c r="J255" t="s">
        <v>44</v>
      </c>
      <c r="K255" t="s">
        <v>20</v>
      </c>
      <c r="L255" t="s">
        <v>21</v>
      </c>
      <c r="M255" t="s">
        <v>64</v>
      </c>
      <c r="N255" s="2">
        <v>1500</v>
      </c>
    </row>
    <row r="256" spans="1:14" x14ac:dyDescent="0.25">
      <c r="A256" t="s">
        <v>99</v>
      </c>
      <c r="B256" t="s">
        <v>192</v>
      </c>
      <c r="C256" t="s">
        <v>16</v>
      </c>
      <c r="D256" t="s">
        <v>32</v>
      </c>
      <c r="E256" t="s">
        <v>17</v>
      </c>
      <c r="F256" t="s">
        <v>78</v>
      </c>
      <c r="G256">
        <v>40</v>
      </c>
      <c r="H256">
        <v>9.85</v>
      </c>
      <c r="I256">
        <v>20</v>
      </c>
      <c r="J256" t="s">
        <v>19</v>
      </c>
      <c r="K256" t="s">
        <v>20</v>
      </c>
      <c r="L256" t="s">
        <v>21</v>
      </c>
      <c r="M256" t="s">
        <v>58</v>
      </c>
      <c r="N256" s="2">
        <v>2700</v>
      </c>
    </row>
    <row r="257" spans="1:14" x14ac:dyDescent="0.25">
      <c r="A257" t="s">
        <v>113</v>
      </c>
      <c r="B257" t="s">
        <v>114</v>
      </c>
      <c r="C257" t="s">
        <v>16</v>
      </c>
      <c r="D257" t="s">
        <v>32</v>
      </c>
      <c r="E257" t="s">
        <v>17</v>
      </c>
      <c r="F257" t="s">
        <v>33</v>
      </c>
      <c r="G257">
        <v>42</v>
      </c>
      <c r="H257">
        <v>12.75</v>
      </c>
      <c r="I257">
        <v>20</v>
      </c>
      <c r="J257" t="s">
        <v>19</v>
      </c>
      <c r="K257" t="s">
        <v>20</v>
      </c>
      <c r="L257" t="s">
        <v>35</v>
      </c>
      <c r="M257" t="s">
        <v>54</v>
      </c>
      <c r="N257" s="2">
        <v>6500</v>
      </c>
    </row>
    <row r="258" spans="1:14" x14ac:dyDescent="0.25">
      <c r="A258" t="s">
        <v>14</v>
      </c>
      <c r="B258" t="s">
        <v>103</v>
      </c>
      <c r="C258" t="s">
        <v>16</v>
      </c>
      <c r="D258" t="s">
        <v>16</v>
      </c>
      <c r="E258" t="s">
        <v>17</v>
      </c>
      <c r="F258" t="s">
        <v>33</v>
      </c>
      <c r="G258">
        <v>41</v>
      </c>
      <c r="H258">
        <v>11.8</v>
      </c>
      <c r="I258">
        <v>21</v>
      </c>
      <c r="J258" t="s">
        <v>28</v>
      </c>
      <c r="K258" t="s">
        <v>20</v>
      </c>
      <c r="L258" t="s">
        <v>21</v>
      </c>
      <c r="M258" t="s">
        <v>40</v>
      </c>
      <c r="N258" s="2">
        <v>7800</v>
      </c>
    </row>
    <row r="259" spans="1:14" x14ac:dyDescent="0.25">
      <c r="A259" t="s">
        <v>23</v>
      </c>
      <c r="B259" t="s">
        <v>82</v>
      </c>
      <c r="C259" t="s">
        <v>16</v>
      </c>
      <c r="D259" t="s">
        <v>16</v>
      </c>
      <c r="E259" t="s">
        <v>17</v>
      </c>
      <c r="F259" t="s">
        <v>78</v>
      </c>
      <c r="G259">
        <v>42</v>
      </c>
      <c r="H259">
        <v>13.75</v>
      </c>
      <c r="I259">
        <v>20</v>
      </c>
      <c r="J259" t="s">
        <v>19</v>
      </c>
      <c r="K259" t="s">
        <v>20</v>
      </c>
      <c r="L259" t="s">
        <v>141</v>
      </c>
      <c r="M259" t="s">
        <v>22</v>
      </c>
      <c r="N259" s="2">
        <v>5300</v>
      </c>
    </row>
    <row r="260" spans="1:14" x14ac:dyDescent="0.25">
      <c r="A260" t="s">
        <v>30</v>
      </c>
      <c r="B260" t="s">
        <v>214</v>
      </c>
      <c r="C260" t="s">
        <v>16</v>
      </c>
      <c r="D260" t="s">
        <v>32</v>
      </c>
      <c r="E260" t="s">
        <v>17</v>
      </c>
      <c r="F260" t="s">
        <v>33</v>
      </c>
      <c r="G260">
        <v>39</v>
      </c>
      <c r="H260">
        <v>14.5</v>
      </c>
      <c r="I260">
        <v>22</v>
      </c>
      <c r="J260" t="s">
        <v>28</v>
      </c>
      <c r="K260" t="s">
        <v>20</v>
      </c>
      <c r="L260" t="s">
        <v>35</v>
      </c>
      <c r="M260" t="s">
        <v>36</v>
      </c>
      <c r="N260" s="2">
        <v>5900</v>
      </c>
    </row>
    <row r="261" spans="1:14" x14ac:dyDescent="0.25">
      <c r="A261" t="s">
        <v>37</v>
      </c>
      <c r="B261" t="s">
        <v>84</v>
      </c>
      <c r="C261" t="s">
        <v>16</v>
      </c>
      <c r="D261" t="s">
        <v>26</v>
      </c>
      <c r="E261" t="s">
        <v>17</v>
      </c>
      <c r="F261" t="s">
        <v>166</v>
      </c>
      <c r="G261">
        <v>44</v>
      </c>
      <c r="H261">
        <v>14.21</v>
      </c>
      <c r="I261">
        <v>22</v>
      </c>
      <c r="J261" t="s">
        <v>28</v>
      </c>
      <c r="K261" t="s">
        <v>20</v>
      </c>
      <c r="L261" t="s">
        <v>21</v>
      </c>
      <c r="M261" t="s">
        <v>58</v>
      </c>
      <c r="N261" s="2">
        <v>3800</v>
      </c>
    </row>
    <row r="262" spans="1:14" x14ac:dyDescent="0.25">
      <c r="A262" t="s">
        <v>41</v>
      </c>
      <c r="B262" t="s">
        <v>186</v>
      </c>
      <c r="C262" t="s">
        <v>16</v>
      </c>
      <c r="D262" t="s">
        <v>16</v>
      </c>
      <c r="E262" t="s">
        <v>17</v>
      </c>
      <c r="F262" t="s">
        <v>39</v>
      </c>
      <c r="G262">
        <v>42</v>
      </c>
      <c r="H262">
        <v>13</v>
      </c>
      <c r="I262">
        <v>22</v>
      </c>
      <c r="J262" t="s">
        <v>44</v>
      </c>
      <c r="K262" t="s">
        <v>20</v>
      </c>
      <c r="L262" t="s">
        <v>21</v>
      </c>
      <c r="M262" t="s">
        <v>36</v>
      </c>
      <c r="N262" s="2">
        <v>7500</v>
      </c>
    </row>
    <row r="263" spans="1:14" x14ac:dyDescent="0.25">
      <c r="A263" t="s">
        <v>47</v>
      </c>
      <c r="B263" t="s">
        <v>96</v>
      </c>
      <c r="C263" t="s">
        <v>16</v>
      </c>
      <c r="D263" t="s">
        <v>32</v>
      </c>
      <c r="E263" t="s">
        <v>17</v>
      </c>
      <c r="F263" t="s">
        <v>78</v>
      </c>
      <c r="G263">
        <v>39</v>
      </c>
      <c r="H263">
        <v>7.5</v>
      </c>
      <c r="I263">
        <v>20</v>
      </c>
      <c r="J263" t="s">
        <v>34</v>
      </c>
      <c r="K263" t="s">
        <v>20</v>
      </c>
      <c r="L263" t="s">
        <v>21</v>
      </c>
      <c r="M263" t="s">
        <v>58</v>
      </c>
      <c r="N263" s="2">
        <v>6200</v>
      </c>
    </row>
    <row r="264" spans="1:14" x14ac:dyDescent="0.25">
      <c r="A264" t="s">
        <v>14</v>
      </c>
      <c r="B264" t="s">
        <v>91</v>
      </c>
      <c r="C264" t="s">
        <v>16</v>
      </c>
      <c r="D264" t="s">
        <v>16</v>
      </c>
      <c r="E264" t="s">
        <v>17</v>
      </c>
      <c r="F264" t="s">
        <v>33</v>
      </c>
      <c r="G264">
        <v>40</v>
      </c>
      <c r="H264">
        <v>12.5</v>
      </c>
      <c r="I264">
        <v>20</v>
      </c>
      <c r="J264" t="s">
        <v>19</v>
      </c>
      <c r="K264" t="s">
        <v>20</v>
      </c>
      <c r="L264" t="s">
        <v>185</v>
      </c>
      <c r="M264" t="s">
        <v>40</v>
      </c>
      <c r="N264" s="2">
        <v>9500</v>
      </c>
    </row>
    <row r="265" spans="1:14" x14ac:dyDescent="0.25">
      <c r="A265" t="s">
        <v>23</v>
      </c>
      <c r="B265" t="s">
        <v>215</v>
      </c>
      <c r="C265" t="s">
        <v>16</v>
      </c>
      <c r="D265" t="s">
        <v>16</v>
      </c>
      <c r="E265" t="s">
        <v>17</v>
      </c>
      <c r="F265" t="s">
        <v>81</v>
      </c>
      <c r="G265">
        <v>41.5</v>
      </c>
      <c r="H265">
        <v>13</v>
      </c>
      <c r="I265">
        <v>20</v>
      </c>
      <c r="J265" t="s">
        <v>44</v>
      </c>
      <c r="K265" t="s">
        <v>20</v>
      </c>
      <c r="L265" t="s">
        <v>21</v>
      </c>
      <c r="M265" t="s">
        <v>29</v>
      </c>
      <c r="N265" s="2">
        <v>4700</v>
      </c>
    </row>
    <row r="266" spans="1:14" x14ac:dyDescent="0.25">
      <c r="A266" t="s">
        <v>30</v>
      </c>
      <c r="B266" t="s">
        <v>201</v>
      </c>
      <c r="C266" t="s">
        <v>16</v>
      </c>
      <c r="D266" t="s">
        <v>16</v>
      </c>
      <c r="E266" t="s">
        <v>17</v>
      </c>
      <c r="F266" t="s">
        <v>18</v>
      </c>
      <c r="G266">
        <v>41</v>
      </c>
      <c r="H266">
        <v>12.5</v>
      </c>
      <c r="I266">
        <v>20</v>
      </c>
      <c r="J266" t="s">
        <v>19</v>
      </c>
      <c r="K266" t="s">
        <v>20</v>
      </c>
      <c r="L266" t="s">
        <v>21</v>
      </c>
      <c r="M266" t="s">
        <v>58</v>
      </c>
      <c r="N266" s="2">
        <v>2700</v>
      </c>
    </row>
    <row r="267" spans="1:14" x14ac:dyDescent="0.25">
      <c r="A267" t="s">
        <v>37</v>
      </c>
      <c r="B267" t="s">
        <v>216</v>
      </c>
      <c r="C267" t="s">
        <v>16</v>
      </c>
      <c r="D267" t="s">
        <v>26</v>
      </c>
      <c r="E267" t="s">
        <v>17</v>
      </c>
      <c r="F267" t="s">
        <v>18</v>
      </c>
      <c r="G267">
        <v>43</v>
      </c>
      <c r="H267">
        <v>16.5</v>
      </c>
      <c r="I267">
        <v>22</v>
      </c>
      <c r="J267" t="s">
        <v>19</v>
      </c>
      <c r="K267" t="s">
        <v>20</v>
      </c>
      <c r="L267" t="s">
        <v>141</v>
      </c>
      <c r="M267" t="s">
        <v>36</v>
      </c>
      <c r="N267" s="2">
        <v>4600</v>
      </c>
    </row>
    <row r="268" spans="1:14" x14ac:dyDescent="0.25">
      <c r="A268" t="s">
        <v>41</v>
      </c>
      <c r="B268" t="s">
        <v>161</v>
      </c>
      <c r="C268" t="s">
        <v>16</v>
      </c>
      <c r="D268" t="s">
        <v>32</v>
      </c>
      <c r="E268" t="s">
        <v>17</v>
      </c>
      <c r="F268" t="s">
        <v>33</v>
      </c>
      <c r="G268">
        <v>35.1</v>
      </c>
      <c r="H268">
        <v>8.83</v>
      </c>
      <c r="I268">
        <v>22</v>
      </c>
      <c r="J268" t="s">
        <v>44</v>
      </c>
      <c r="K268" t="s">
        <v>20</v>
      </c>
      <c r="L268" t="s">
        <v>21</v>
      </c>
      <c r="M268" t="s">
        <v>36</v>
      </c>
      <c r="N268" s="2">
        <v>5300</v>
      </c>
    </row>
    <row r="269" spans="1:14" x14ac:dyDescent="0.25">
      <c r="A269" t="s">
        <v>14</v>
      </c>
      <c r="B269" t="s">
        <v>217</v>
      </c>
      <c r="C269" t="s">
        <v>218</v>
      </c>
      <c r="D269" t="s">
        <v>32</v>
      </c>
      <c r="E269" t="s">
        <v>17</v>
      </c>
      <c r="F269" t="s">
        <v>33</v>
      </c>
      <c r="G269">
        <v>40</v>
      </c>
      <c r="H269">
        <v>12.4</v>
      </c>
      <c r="I269">
        <v>20</v>
      </c>
      <c r="J269" t="s">
        <v>219</v>
      </c>
      <c r="K269" t="s">
        <v>20</v>
      </c>
      <c r="L269" t="s">
        <v>35</v>
      </c>
      <c r="M269" t="s">
        <v>145</v>
      </c>
      <c r="N269" s="2">
        <v>39500</v>
      </c>
    </row>
    <row r="270" spans="1:14" x14ac:dyDescent="0.25">
      <c r="A270" t="s">
        <v>23</v>
      </c>
      <c r="B270" t="s">
        <v>82</v>
      </c>
      <c r="C270" t="s">
        <v>16</v>
      </c>
      <c r="D270" t="s">
        <v>16</v>
      </c>
      <c r="E270" t="s">
        <v>49</v>
      </c>
      <c r="F270" t="s">
        <v>78</v>
      </c>
      <c r="G270">
        <v>42</v>
      </c>
      <c r="H270">
        <v>14.3</v>
      </c>
      <c r="I270">
        <v>20</v>
      </c>
      <c r="J270" t="s">
        <v>19</v>
      </c>
      <c r="K270" t="s">
        <v>20</v>
      </c>
      <c r="L270" t="s">
        <v>35</v>
      </c>
      <c r="M270" t="s">
        <v>22</v>
      </c>
      <c r="N270" s="2">
        <v>5400</v>
      </c>
    </row>
    <row r="271" spans="1:14" x14ac:dyDescent="0.25">
      <c r="A271" t="s">
        <v>220</v>
      </c>
      <c r="B271" t="s">
        <v>214</v>
      </c>
      <c r="C271" t="s">
        <v>16</v>
      </c>
      <c r="D271" t="s">
        <v>32</v>
      </c>
      <c r="E271" t="s">
        <v>17</v>
      </c>
      <c r="F271" t="s">
        <v>33</v>
      </c>
      <c r="G271">
        <v>39</v>
      </c>
      <c r="H271">
        <v>14</v>
      </c>
      <c r="I271">
        <v>22</v>
      </c>
      <c r="J271" t="s">
        <v>28</v>
      </c>
      <c r="K271" t="s">
        <v>20</v>
      </c>
      <c r="L271" t="s">
        <v>35</v>
      </c>
      <c r="M271" t="s">
        <v>36</v>
      </c>
      <c r="N271" s="2">
        <v>6550</v>
      </c>
    </row>
    <row r="272" spans="1:14" x14ac:dyDescent="0.25">
      <c r="A272" t="s">
        <v>41</v>
      </c>
      <c r="B272" t="s">
        <v>102</v>
      </c>
      <c r="C272" t="s">
        <v>16</v>
      </c>
      <c r="D272" t="s">
        <v>32</v>
      </c>
      <c r="E272" t="s">
        <v>43</v>
      </c>
      <c r="F272" t="s">
        <v>39</v>
      </c>
      <c r="G272">
        <v>43.5</v>
      </c>
      <c r="H272">
        <v>7.3</v>
      </c>
      <c r="I272">
        <v>23</v>
      </c>
      <c r="J272" t="s">
        <v>44</v>
      </c>
      <c r="K272" t="s">
        <v>20</v>
      </c>
      <c r="L272" t="s">
        <v>45</v>
      </c>
      <c r="M272" t="s">
        <v>46</v>
      </c>
      <c r="N272" s="2">
        <v>5300</v>
      </c>
    </row>
    <row r="273" spans="1:14" x14ac:dyDescent="0.25">
      <c r="A273" t="s">
        <v>37</v>
      </c>
      <c r="B273" t="s">
        <v>84</v>
      </c>
      <c r="C273" t="s">
        <v>16</v>
      </c>
      <c r="D273" t="s">
        <v>26</v>
      </c>
      <c r="E273" t="s">
        <v>17</v>
      </c>
      <c r="F273" t="s">
        <v>166</v>
      </c>
      <c r="G273">
        <v>42</v>
      </c>
      <c r="H273">
        <v>13.32</v>
      </c>
      <c r="I273">
        <v>20</v>
      </c>
      <c r="J273" t="s">
        <v>28</v>
      </c>
      <c r="K273" t="s">
        <v>20</v>
      </c>
      <c r="L273" t="s">
        <v>21</v>
      </c>
      <c r="M273" t="s">
        <v>58</v>
      </c>
      <c r="N273" s="2">
        <v>3850</v>
      </c>
    </row>
    <row r="274" spans="1:14" x14ac:dyDescent="0.25">
      <c r="A274" t="s">
        <v>135</v>
      </c>
      <c r="B274" t="s">
        <v>187</v>
      </c>
      <c r="C274" t="s">
        <v>172</v>
      </c>
      <c r="D274" t="s">
        <v>32</v>
      </c>
      <c r="E274" t="s">
        <v>17</v>
      </c>
      <c r="F274" t="s">
        <v>39</v>
      </c>
      <c r="G274">
        <v>39</v>
      </c>
      <c r="H274">
        <v>8.25</v>
      </c>
      <c r="I274">
        <v>20</v>
      </c>
      <c r="J274" t="s">
        <v>44</v>
      </c>
      <c r="K274" t="s">
        <v>20</v>
      </c>
      <c r="L274" t="s">
        <v>45</v>
      </c>
      <c r="M274" t="s">
        <v>22</v>
      </c>
      <c r="N274" s="2">
        <v>25800</v>
      </c>
    </row>
    <row r="275" spans="1:14" x14ac:dyDescent="0.25">
      <c r="A275" t="s">
        <v>89</v>
      </c>
      <c r="B275" t="s">
        <v>90</v>
      </c>
      <c r="C275" t="s">
        <v>16</v>
      </c>
      <c r="D275" t="s">
        <v>140</v>
      </c>
      <c r="E275" t="s">
        <v>17</v>
      </c>
      <c r="F275" t="s">
        <v>53</v>
      </c>
      <c r="G275">
        <v>41</v>
      </c>
      <c r="H275">
        <v>11.9</v>
      </c>
      <c r="I275">
        <v>22</v>
      </c>
      <c r="J275" t="s">
        <v>19</v>
      </c>
      <c r="K275" t="s">
        <v>20</v>
      </c>
      <c r="L275" t="s">
        <v>21</v>
      </c>
      <c r="M275" t="s">
        <v>40</v>
      </c>
      <c r="N275" s="2">
        <v>4100</v>
      </c>
    </row>
    <row r="276" spans="1:14" x14ac:dyDescent="0.25">
      <c r="A276" t="s">
        <v>109</v>
      </c>
      <c r="B276" t="s">
        <v>110</v>
      </c>
      <c r="C276" t="s">
        <v>16</v>
      </c>
      <c r="D276" t="s">
        <v>26</v>
      </c>
      <c r="E276" t="s">
        <v>17</v>
      </c>
      <c r="F276" t="s">
        <v>18</v>
      </c>
      <c r="G276">
        <v>45</v>
      </c>
      <c r="H276">
        <v>15.5</v>
      </c>
      <c r="I276">
        <v>23</v>
      </c>
      <c r="J276" t="s">
        <v>19</v>
      </c>
      <c r="K276" t="s">
        <v>20</v>
      </c>
      <c r="L276" t="s">
        <v>21</v>
      </c>
      <c r="M276" t="s">
        <v>112</v>
      </c>
      <c r="N276" s="2">
        <v>12900</v>
      </c>
    </row>
    <row r="277" spans="1:14" x14ac:dyDescent="0.25">
      <c r="A277" t="s">
        <v>93</v>
      </c>
      <c r="B277" t="s">
        <v>107</v>
      </c>
      <c r="C277" t="s">
        <v>16</v>
      </c>
      <c r="D277" t="s">
        <v>32</v>
      </c>
      <c r="E277" t="s">
        <v>17</v>
      </c>
      <c r="F277" t="s">
        <v>39</v>
      </c>
      <c r="G277">
        <v>41</v>
      </c>
      <c r="H277">
        <v>12.3</v>
      </c>
      <c r="I277">
        <v>22</v>
      </c>
      <c r="J277" t="s">
        <v>28</v>
      </c>
      <c r="K277" t="s">
        <v>20</v>
      </c>
      <c r="L277" t="s">
        <v>45</v>
      </c>
      <c r="M277" t="s">
        <v>29</v>
      </c>
      <c r="N277" s="2">
        <v>6900</v>
      </c>
    </row>
    <row r="278" spans="1:14" x14ac:dyDescent="0.25">
      <c r="A278" t="s">
        <v>79</v>
      </c>
      <c r="B278" t="s">
        <v>80</v>
      </c>
      <c r="C278" t="s">
        <v>16</v>
      </c>
      <c r="D278" t="s">
        <v>26</v>
      </c>
      <c r="E278" t="s">
        <v>17</v>
      </c>
      <c r="F278" t="s">
        <v>81</v>
      </c>
      <c r="G278">
        <v>41</v>
      </c>
      <c r="H278">
        <v>11</v>
      </c>
      <c r="I278">
        <v>22</v>
      </c>
      <c r="J278" t="s">
        <v>28</v>
      </c>
      <c r="K278" t="s">
        <v>20</v>
      </c>
      <c r="L278" t="s">
        <v>21</v>
      </c>
      <c r="M278" t="s">
        <v>75</v>
      </c>
      <c r="N278" s="2">
        <v>19800</v>
      </c>
    </row>
    <row r="279" spans="1:14" x14ac:dyDescent="0.25">
      <c r="A279" t="s">
        <v>14</v>
      </c>
      <c r="B279" t="s">
        <v>103</v>
      </c>
      <c r="C279" t="s">
        <v>16</v>
      </c>
      <c r="D279" t="s">
        <v>16</v>
      </c>
      <c r="E279" t="s">
        <v>17</v>
      </c>
      <c r="F279" t="s">
        <v>33</v>
      </c>
      <c r="G279">
        <v>36</v>
      </c>
      <c r="H279">
        <v>12</v>
      </c>
      <c r="I279">
        <v>20</v>
      </c>
      <c r="J279" t="s">
        <v>19</v>
      </c>
      <c r="K279" t="s">
        <v>20</v>
      </c>
      <c r="L279" t="s">
        <v>21</v>
      </c>
      <c r="M279" t="s">
        <v>40</v>
      </c>
      <c r="N279" s="2">
        <v>8100</v>
      </c>
    </row>
    <row r="280" spans="1:14" x14ac:dyDescent="0.25">
      <c r="A280" t="s">
        <v>14</v>
      </c>
      <c r="B280" t="s">
        <v>103</v>
      </c>
      <c r="C280" t="s">
        <v>16</v>
      </c>
      <c r="D280" t="s">
        <v>16</v>
      </c>
      <c r="E280" t="s">
        <v>17</v>
      </c>
      <c r="F280" t="s">
        <v>33</v>
      </c>
      <c r="G280">
        <v>36</v>
      </c>
      <c r="H280">
        <v>12.5</v>
      </c>
      <c r="I280">
        <v>20</v>
      </c>
      <c r="J280" t="s">
        <v>19</v>
      </c>
      <c r="K280" t="s">
        <v>20</v>
      </c>
      <c r="L280" t="s">
        <v>21</v>
      </c>
      <c r="M280" t="s">
        <v>40</v>
      </c>
      <c r="N280" s="2">
        <v>6500</v>
      </c>
    </row>
    <row r="281" spans="1:14" x14ac:dyDescent="0.25">
      <c r="A281" t="s">
        <v>23</v>
      </c>
      <c r="B281" t="s">
        <v>105</v>
      </c>
      <c r="C281" t="s">
        <v>16</v>
      </c>
      <c r="D281" t="s">
        <v>16</v>
      </c>
      <c r="E281" t="s">
        <v>49</v>
      </c>
      <c r="F281" t="s">
        <v>78</v>
      </c>
      <c r="G281">
        <v>42</v>
      </c>
      <c r="H281">
        <v>14.3</v>
      </c>
      <c r="I281">
        <v>20</v>
      </c>
      <c r="J281" t="s">
        <v>19</v>
      </c>
      <c r="K281" t="s">
        <v>106</v>
      </c>
      <c r="L281" t="s">
        <v>35</v>
      </c>
      <c r="M281" t="s">
        <v>22</v>
      </c>
      <c r="N281" s="2">
        <v>5400</v>
      </c>
    </row>
    <row r="282" spans="1:14" x14ac:dyDescent="0.25">
      <c r="A282" t="s">
        <v>135</v>
      </c>
      <c r="B282" t="s">
        <v>136</v>
      </c>
      <c r="C282" t="s">
        <v>16</v>
      </c>
      <c r="D282" t="s">
        <v>16</v>
      </c>
      <c r="E282" t="s">
        <v>17</v>
      </c>
      <c r="F282" t="s">
        <v>137</v>
      </c>
      <c r="G282">
        <v>40.5</v>
      </c>
      <c r="H282">
        <v>8.3000000000000007</v>
      </c>
      <c r="I282">
        <v>20</v>
      </c>
      <c r="J282" t="s">
        <v>28</v>
      </c>
      <c r="K282" t="s">
        <v>20</v>
      </c>
      <c r="L282" t="s">
        <v>21</v>
      </c>
      <c r="M282" t="s">
        <v>181</v>
      </c>
      <c r="N282" s="2">
        <v>44000</v>
      </c>
    </row>
    <row r="283" spans="1:14" x14ac:dyDescent="0.25">
      <c r="A283" t="s">
        <v>41</v>
      </c>
      <c r="B283" t="s">
        <v>186</v>
      </c>
      <c r="C283" t="s">
        <v>189</v>
      </c>
      <c r="D283" t="s">
        <v>32</v>
      </c>
      <c r="E283" t="s">
        <v>17</v>
      </c>
      <c r="F283" t="s">
        <v>39</v>
      </c>
      <c r="G283">
        <v>33</v>
      </c>
      <c r="H283">
        <v>9.9600000000000009</v>
      </c>
      <c r="I283">
        <v>18</v>
      </c>
      <c r="J283" t="s">
        <v>44</v>
      </c>
      <c r="K283" t="s">
        <v>20</v>
      </c>
      <c r="L283" t="s">
        <v>21</v>
      </c>
      <c r="M283" t="s">
        <v>36</v>
      </c>
      <c r="N283" s="2">
        <v>13200</v>
      </c>
    </row>
    <row r="284" spans="1:14" x14ac:dyDescent="0.25">
      <c r="A284" t="s">
        <v>133</v>
      </c>
      <c r="B284" t="s">
        <v>134</v>
      </c>
      <c r="C284" t="s">
        <v>221</v>
      </c>
      <c r="D284" t="s">
        <v>26</v>
      </c>
      <c r="E284" t="s">
        <v>17</v>
      </c>
      <c r="F284" t="s">
        <v>78</v>
      </c>
      <c r="G284">
        <v>42</v>
      </c>
      <c r="H284">
        <v>10.5</v>
      </c>
      <c r="I284">
        <v>22</v>
      </c>
      <c r="J284" t="s">
        <v>28</v>
      </c>
      <c r="K284" t="s">
        <v>20</v>
      </c>
      <c r="L284" t="s">
        <v>45</v>
      </c>
      <c r="M284" t="s">
        <v>36</v>
      </c>
      <c r="N284" s="2">
        <v>20200</v>
      </c>
    </row>
    <row r="285" spans="1:14" x14ac:dyDescent="0.25">
      <c r="A285" t="s">
        <v>76</v>
      </c>
      <c r="B285" t="s">
        <v>77</v>
      </c>
      <c r="C285" t="s">
        <v>16</v>
      </c>
      <c r="D285" t="s">
        <v>16</v>
      </c>
      <c r="E285" t="s">
        <v>17</v>
      </c>
      <c r="F285" t="s">
        <v>78</v>
      </c>
      <c r="G285">
        <v>41</v>
      </c>
      <c r="H285">
        <v>10.4</v>
      </c>
      <c r="I285">
        <v>20</v>
      </c>
      <c r="J285" t="s">
        <v>28</v>
      </c>
      <c r="K285" t="s">
        <v>20</v>
      </c>
      <c r="L285" t="s">
        <v>21</v>
      </c>
      <c r="M285" t="s">
        <v>29</v>
      </c>
      <c r="N285" s="2">
        <v>24800</v>
      </c>
    </row>
    <row r="286" spans="1:14" x14ac:dyDescent="0.25">
      <c r="A286" t="s">
        <v>93</v>
      </c>
      <c r="B286" t="s">
        <v>94</v>
      </c>
      <c r="C286" t="s">
        <v>16</v>
      </c>
      <c r="D286" t="s">
        <v>32</v>
      </c>
      <c r="E286" t="s">
        <v>17</v>
      </c>
      <c r="F286" t="s">
        <v>95</v>
      </c>
      <c r="G286">
        <v>41</v>
      </c>
      <c r="H286">
        <v>12.8</v>
      </c>
      <c r="I286">
        <v>22</v>
      </c>
      <c r="J286" t="s">
        <v>19</v>
      </c>
      <c r="K286" t="s">
        <v>20</v>
      </c>
      <c r="L286" t="s">
        <v>21</v>
      </c>
      <c r="M286" t="s">
        <v>36</v>
      </c>
      <c r="N286" s="2">
        <v>4800</v>
      </c>
    </row>
    <row r="287" spans="1:14" x14ac:dyDescent="0.25">
      <c r="A287" t="s">
        <v>89</v>
      </c>
      <c r="B287" t="s">
        <v>210</v>
      </c>
      <c r="C287" t="s">
        <v>16</v>
      </c>
      <c r="D287" t="s">
        <v>16</v>
      </c>
      <c r="E287" t="s">
        <v>17</v>
      </c>
      <c r="F287" t="s">
        <v>53</v>
      </c>
      <c r="G287">
        <v>41</v>
      </c>
      <c r="H287">
        <v>14.5</v>
      </c>
      <c r="I287">
        <v>22</v>
      </c>
      <c r="J287" t="s">
        <v>19</v>
      </c>
      <c r="K287" t="s">
        <v>20</v>
      </c>
      <c r="L287" t="s">
        <v>92</v>
      </c>
      <c r="M287" t="s">
        <v>40</v>
      </c>
      <c r="N287" s="2">
        <v>4000</v>
      </c>
    </row>
    <row r="288" spans="1:14" x14ac:dyDescent="0.25">
      <c r="A288" t="s">
        <v>72</v>
      </c>
      <c r="B288" t="s">
        <v>73</v>
      </c>
      <c r="C288" t="s">
        <v>74</v>
      </c>
      <c r="D288" t="s">
        <v>32</v>
      </c>
      <c r="E288" t="s">
        <v>49</v>
      </c>
      <c r="F288" t="s">
        <v>39</v>
      </c>
      <c r="G288">
        <v>40</v>
      </c>
      <c r="H288">
        <v>6.95</v>
      </c>
      <c r="I288">
        <v>20</v>
      </c>
      <c r="J288" t="s">
        <v>34</v>
      </c>
      <c r="K288" t="s">
        <v>20</v>
      </c>
      <c r="L288" t="s">
        <v>45</v>
      </c>
      <c r="M288" t="s">
        <v>173</v>
      </c>
      <c r="N288" s="2">
        <v>22500</v>
      </c>
    </row>
    <row r="289" spans="1:14" x14ac:dyDescent="0.25">
      <c r="A289" t="s">
        <v>109</v>
      </c>
      <c r="B289" t="s">
        <v>110</v>
      </c>
      <c r="C289" t="s">
        <v>16</v>
      </c>
      <c r="D289" t="s">
        <v>26</v>
      </c>
      <c r="E289" t="s">
        <v>17</v>
      </c>
      <c r="F289" t="s">
        <v>18</v>
      </c>
      <c r="G289">
        <v>45</v>
      </c>
      <c r="H289">
        <v>15.4</v>
      </c>
      <c r="I289">
        <v>23</v>
      </c>
      <c r="J289" t="s">
        <v>19</v>
      </c>
      <c r="K289" t="s">
        <v>20</v>
      </c>
      <c r="L289" t="s">
        <v>21</v>
      </c>
      <c r="M289" t="s">
        <v>112</v>
      </c>
      <c r="N289" s="2">
        <v>12500</v>
      </c>
    </row>
    <row r="290" spans="1:14" x14ac:dyDescent="0.25">
      <c r="A290" t="s">
        <v>126</v>
      </c>
      <c r="B290" t="s">
        <v>127</v>
      </c>
      <c r="C290" t="s">
        <v>16</v>
      </c>
      <c r="D290" t="s">
        <v>32</v>
      </c>
      <c r="E290" t="s">
        <v>17</v>
      </c>
      <c r="F290" t="s">
        <v>78</v>
      </c>
      <c r="G290">
        <v>42</v>
      </c>
      <c r="H290">
        <v>12.67</v>
      </c>
      <c r="I290">
        <v>22</v>
      </c>
      <c r="J290" t="s">
        <v>19</v>
      </c>
      <c r="K290" t="s">
        <v>20</v>
      </c>
      <c r="L290" t="s">
        <v>35</v>
      </c>
      <c r="M290" t="s">
        <v>36</v>
      </c>
      <c r="N290" s="2">
        <v>6900</v>
      </c>
    </row>
    <row r="291" spans="1:14" x14ac:dyDescent="0.25">
      <c r="A291" t="s">
        <v>86</v>
      </c>
      <c r="B291" t="s">
        <v>150</v>
      </c>
      <c r="C291" t="s">
        <v>25</v>
      </c>
      <c r="D291" t="s">
        <v>32</v>
      </c>
      <c r="E291" t="s">
        <v>17</v>
      </c>
      <c r="F291" t="s">
        <v>33</v>
      </c>
      <c r="G291">
        <v>44</v>
      </c>
      <c r="H291">
        <v>15.65</v>
      </c>
      <c r="I291">
        <v>24</v>
      </c>
      <c r="J291" t="s">
        <v>19</v>
      </c>
      <c r="K291" t="s">
        <v>20</v>
      </c>
      <c r="L291" t="s">
        <v>45</v>
      </c>
      <c r="M291" t="s">
        <v>145</v>
      </c>
      <c r="N291" s="2">
        <v>7500</v>
      </c>
    </row>
    <row r="292" spans="1:14" x14ac:dyDescent="0.25">
      <c r="A292" t="s">
        <v>76</v>
      </c>
      <c r="B292" t="s">
        <v>77</v>
      </c>
      <c r="C292" t="s">
        <v>16</v>
      </c>
      <c r="D292" t="s">
        <v>16</v>
      </c>
      <c r="E292" t="s">
        <v>17</v>
      </c>
      <c r="F292" t="s">
        <v>78</v>
      </c>
      <c r="G292">
        <v>41</v>
      </c>
      <c r="H292">
        <v>10.4</v>
      </c>
      <c r="I292">
        <v>20</v>
      </c>
      <c r="J292" t="s">
        <v>28</v>
      </c>
      <c r="K292" t="s">
        <v>20</v>
      </c>
      <c r="L292" t="s">
        <v>222</v>
      </c>
      <c r="M292" t="s">
        <v>29</v>
      </c>
      <c r="N292" s="2">
        <v>25000</v>
      </c>
    </row>
    <row r="293" spans="1:14" x14ac:dyDescent="0.25">
      <c r="A293" t="s">
        <v>135</v>
      </c>
      <c r="B293" t="s">
        <v>136</v>
      </c>
      <c r="C293" t="s">
        <v>16</v>
      </c>
      <c r="D293" t="s">
        <v>16</v>
      </c>
      <c r="E293" t="s">
        <v>17</v>
      </c>
      <c r="F293" t="s">
        <v>137</v>
      </c>
      <c r="G293">
        <v>40.5</v>
      </c>
      <c r="H293">
        <v>8.3000000000000007</v>
      </c>
      <c r="I293">
        <v>22</v>
      </c>
      <c r="J293" t="s">
        <v>28</v>
      </c>
      <c r="K293" t="s">
        <v>20</v>
      </c>
      <c r="L293" t="s">
        <v>139</v>
      </c>
      <c r="M293" t="s">
        <v>50</v>
      </c>
      <c r="N293" s="2">
        <v>70000</v>
      </c>
    </row>
    <row r="294" spans="1:14" x14ac:dyDescent="0.25">
      <c r="A294" t="s">
        <v>93</v>
      </c>
      <c r="B294" t="s">
        <v>94</v>
      </c>
      <c r="C294" t="s">
        <v>16</v>
      </c>
      <c r="D294" t="s">
        <v>32</v>
      </c>
      <c r="E294" t="s">
        <v>17</v>
      </c>
      <c r="F294" t="s">
        <v>95</v>
      </c>
      <c r="G294">
        <v>41</v>
      </c>
      <c r="H294">
        <v>10.8</v>
      </c>
      <c r="I294">
        <v>20</v>
      </c>
      <c r="J294" t="s">
        <v>19</v>
      </c>
      <c r="K294" t="s">
        <v>20</v>
      </c>
      <c r="L294" t="s">
        <v>222</v>
      </c>
      <c r="M294" t="s">
        <v>36</v>
      </c>
      <c r="N294" s="2">
        <v>5500</v>
      </c>
    </row>
    <row r="295" spans="1:14" x14ac:dyDescent="0.25">
      <c r="A295" t="s">
        <v>109</v>
      </c>
      <c r="B295" t="s">
        <v>110</v>
      </c>
      <c r="C295" t="s">
        <v>25</v>
      </c>
      <c r="D295" t="s">
        <v>140</v>
      </c>
      <c r="E295" t="s">
        <v>17</v>
      </c>
      <c r="F295" t="s">
        <v>18</v>
      </c>
      <c r="G295">
        <v>45</v>
      </c>
      <c r="H295">
        <v>15.4</v>
      </c>
      <c r="I295">
        <v>23</v>
      </c>
      <c r="J295" t="s">
        <v>19</v>
      </c>
      <c r="K295" t="s">
        <v>20</v>
      </c>
      <c r="L295" t="s">
        <v>21</v>
      </c>
      <c r="M295" t="s">
        <v>112</v>
      </c>
      <c r="N295" s="2">
        <v>12000</v>
      </c>
    </row>
    <row r="296" spans="1:14" x14ac:dyDescent="0.25">
      <c r="A296" t="s">
        <v>118</v>
      </c>
      <c r="B296" t="s">
        <v>119</v>
      </c>
      <c r="C296" t="s">
        <v>16</v>
      </c>
      <c r="D296" t="s">
        <v>26</v>
      </c>
      <c r="E296" t="s">
        <v>17</v>
      </c>
      <c r="F296" t="s">
        <v>33</v>
      </c>
      <c r="G296">
        <v>44</v>
      </c>
      <c r="H296">
        <v>14.4</v>
      </c>
      <c r="I296">
        <v>22</v>
      </c>
      <c r="J296" t="s">
        <v>28</v>
      </c>
      <c r="K296" t="s">
        <v>20</v>
      </c>
      <c r="L296" t="s">
        <v>169</v>
      </c>
      <c r="M296" t="s">
        <v>29</v>
      </c>
      <c r="N296" s="2">
        <v>7500</v>
      </c>
    </row>
    <row r="297" spans="1:14" x14ac:dyDescent="0.25">
      <c r="A297" t="s">
        <v>72</v>
      </c>
      <c r="B297" t="s">
        <v>73</v>
      </c>
      <c r="C297" t="s">
        <v>168</v>
      </c>
      <c r="D297" t="s">
        <v>32</v>
      </c>
      <c r="E297" t="s">
        <v>17</v>
      </c>
      <c r="F297" t="s">
        <v>39</v>
      </c>
      <c r="G297">
        <v>38</v>
      </c>
      <c r="H297">
        <v>8.25</v>
      </c>
      <c r="I297">
        <v>20</v>
      </c>
      <c r="J297" t="s">
        <v>44</v>
      </c>
      <c r="K297" t="s">
        <v>20</v>
      </c>
      <c r="L297" t="s">
        <v>45</v>
      </c>
      <c r="M297" t="s">
        <v>50</v>
      </c>
      <c r="N297" s="2">
        <v>20000</v>
      </c>
    </row>
    <row r="298" spans="1:14" x14ac:dyDescent="0.25">
      <c r="A298" t="s">
        <v>128</v>
      </c>
      <c r="B298" t="s">
        <v>129</v>
      </c>
      <c r="C298" t="s">
        <v>16</v>
      </c>
      <c r="D298" t="s">
        <v>16</v>
      </c>
      <c r="E298" t="s">
        <v>17</v>
      </c>
      <c r="F298" t="s">
        <v>33</v>
      </c>
      <c r="G298">
        <v>38</v>
      </c>
      <c r="H298">
        <v>10.88</v>
      </c>
      <c r="I298">
        <v>22</v>
      </c>
      <c r="J298" t="s">
        <v>19</v>
      </c>
      <c r="K298" t="s">
        <v>20</v>
      </c>
      <c r="L298" t="s">
        <v>45</v>
      </c>
      <c r="M298" t="s">
        <v>142</v>
      </c>
      <c r="N298" s="2">
        <v>8500</v>
      </c>
    </row>
    <row r="299" spans="1:14" x14ac:dyDescent="0.25">
      <c r="A299" t="s">
        <v>133</v>
      </c>
      <c r="B299" t="s">
        <v>174</v>
      </c>
      <c r="C299" t="s">
        <v>98</v>
      </c>
      <c r="D299" t="s">
        <v>26</v>
      </c>
      <c r="E299" t="s">
        <v>17</v>
      </c>
      <c r="F299" t="s">
        <v>33</v>
      </c>
      <c r="G299">
        <v>42</v>
      </c>
      <c r="H299">
        <v>14.1</v>
      </c>
      <c r="I299">
        <v>24</v>
      </c>
      <c r="J299" t="s">
        <v>19</v>
      </c>
      <c r="K299" t="s">
        <v>20</v>
      </c>
      <c r="L299" t="s">
        <v>148</v>
      </c>
      <c r="M299" t="s">
        <v>36</v>
      </c>
      <c r="N299" s="2">
        <v>12000</v>
      </c>
    </row>
    <row r="300" spans="1:14" x14ac:dyDescent="0.25">
      <c r="A300" t="s">
        <v>113</v>
      </c>
      <c r="B300" t="s">
        <v>138</v>
      </c>
      <c r="C300" t="s">
        <v>16</v>
      </c>
      <c r="D300" t="s">
        <v>32</v>
      </c>
      <c r="E300" t="s">
        <v>17</v>
      </c>
      <c r="F300" t="s">
        <v>33</v>
      </c>
      <c r="G300">
        <v>42</v>
      </c>
      <c r="H300">
        <v>14.05</v>
      </c>
      <c r="I300">
        <v>20</v>
      </c>
      <c r="J300" t="s">
        <v>44</v>
      </c>
      <c r="K300" t="s">
        <v>20</v>
      </c>
      <c r="L300" t="s">
        <v>148</v>
      </c>
      <c r="M300" t="s">
        <v>54</v>
      </c>
      <c r="N300" s="2">
        <v>6000</v>
      </c>
    </row>
    <row r="301" spans="1:14" x14ac:dyDescent="0.25">
      <c r="A301" t="s">
        <v>79</v>
      </c>
      <c r="B301" t="s">
        <v>80</v>
      </c>
      <c r="C301" t="s">
        <v>16</v>
      </c>
      <c r="D301" t="s">
        <v>26</v>
      </c>
      <c r="E301" t="s">
        <v>17</v>
      </c>
      <c r="F301" t="s">
        <v>81</v>
      </c>
      <c r="G301">
        <v>41</v>
      </c>
      <c r="H301">
        <v>11</v>
      </c>
      <c r="I301">
        <v>22</v>
      </c>
      <c r="J301" t="s">
        <v>28</v>
      </c>
      <c r="K301" t="s">
        <v>20</v>
      </c>
      <c r="L301" t="s">
        <v>21</v>
      </c>
      <c r="M301" t="s">
        <v>75</v>
      </c>
      <c r="N301" s="2">
        <v>12000</v>
      </c>
    </row>
    <row r="302" spans="1:14" x14ac:dyDescent="0.25">
      <c r="A302" t="s">
        <v>76</v>
      </c>
      <c r="B302" t="s">
        <v>77</v>
      </c>
      <c r="C302" t="s">
        <v>16</v>
      </c>
      <c r="D302" t="s">
        <v>16</v>
      </c>
      <c r="E302" t="s">
        <v>17</v>
      </c>
      <c r="F302" t="s">
        <v>78</v>
      </c>
      <c r="G302">
        <v>41</v>
      </c>
      <c r="H302">
        <v>10.4</v>
      </c>
      <c r="I302">
        <v>20</v>
      </c>
      <c r="J302" t="s">
        <v>19</v>
      </c>
      <c r="K302" t="s">
        <v>20</v>
      </c>
      <c r="L302" t="s">
        <v>21</v>
      </c>
      <c r="M302" t="s">
        <v>29</v>
      </c>
      <c r="N302" s="2">
        <v>22000</v>
      </c>
    </row>
    <row r="303" spans="1:14" x14ac:dyDescent="0.25">
      <c r="A303" t="s">
        <v>133</v>
      </c>
      <c r="B303" t="s">
        <v>134</v>
      </c>
      <c r="C303" t="s">
        <v>25</v>
      </c>
      <c r="D303" t="s">
        <v>26</v>
      </c>
      <c r="E303" t="s">
        <v>17</v>
      </c>
      <c r="F303" t="s">
        <v>78</v>
      </c>
      <c r="G303">
        <v>42</v>
      </c>
      <c r="H303">
        <v>10.5</v>
      </c>
      <c r="I303">
        <v>22</v>
      </c>
      <c r="J303" t="s">
        <v>28</v>
      </c>
      <c r="K303" t="s">
        <v>20</v>
      </c>
      <c r="L303" t="s">
        <v>21</v>
      </c>
      <c r="M303" t="s">
        <v>36</v>
      </c>
      <c r="N303" s="2">
        <v>8500</v>
      </c>
    </row>
    <row r="304" spans="1:14" x14ac:dyDescent="0.25">
      <c r="A304" t="s">
        <v>86</v>
      </c>
      <c r="B304" t="s">
        <v>143</v>
      </c>
      <c r="C304" t="s">
        <v>16</v>
      </c>
      <c r="D304" t="s">
        <v>32</v>
      </c>
      <c r="E304" t="s">
        <v>49</v>
      </c>
      <c r="F304" t="s">
        <v>18</v>
      </c>
      <c r="G304">
        <v>44</v>
      </c>
      <c r="H304">
        <v>15.65</v>
      </c>
      <c r="I304">
        <v>24</v>
      </c>
      <c r="J304" t="s">
        <v>19</v>
      </c>
      <c r="K304" t="s">
        <v>20</v>
      </c>
      <c r="L304" t="s">
        <v>45</v>
      </c>
      <c r="M304" t="s">
        <v>88</v>
      </c>
      <c r="N304" s="2">
        <v>7200</v>
      </c>
    </row>
    <row r="305" spans="1:14" x14ac:dyDescent="0.25">
      <c r="A305" t="s">
        <v>72</v>
      </c>
      <c r="B305" t="s">
        <v>73</v>
      </c>
      <c r="C305" t="s">
        <v>183</v>
      </c>
      <c r="D305" t="s">
        <v>32</v>
      </c>
      <c r="E305" t="s">
        <v>49</v>
      </c>
      <c r="F305" t="s">
        <v>39</v>
      </c>
      <c r="G305">
        <v>40</v>
      </c>
      <c r="H305">
        <v>6.1</v>
      </c>
      <c r="I305">
        <v>20</v>
      </c>
      <c r="J305" t="s">
        <v>44</v>
      </c>
      <c r="K305" t="s">
        <v>20</v>
      </c>
      <c r="L305" t="s">
        <v>45</v>
      </c>
      <c r="M305" t="s">
        <v>173</v>
      </c>
      <c r="N305" s="2">
        <v>16000</v>
      </c>
    </row>
    <row r="306" spans="1:14" x14ac:dyDescent="0.25">
      <c r="A306" t="s">
        <v>126</v>
      </c>
      <c r="B306" t="s">
        <v>213</v>
      </c>
      <c r="C306" t="s">
        <v>16</v>
      </c>
      <c r="D306" t="s">
        <v>16</v>
      </c>
      <c r="E306" t="s">
        <v>43</v>
      </c>
      <c r="F306" t="s">
        <v>39</v>
      </c>
      <c r="G306">
        <v>30</v>
      </c>
      <c r="H306">
        <v>7.2</v>
      </c>
      <c r="I306">
        <v>15</v>
      </c>
      <c r="J306" t="s">
        <v>44</v>
      </c>
      <c r="K306" t="s">
        <v>20</v>
      </c>
      <c r="L306" t="s">
        <v>21</v>
      </c>
      <c r="M306" t="s">
        <v>46</v>
      </c>
      <c r="N306" s="2">
        <v>5800</v>
      </c>
    </row>
    <row r="307" spans="1:14" x14ac:dyDescent="0.25">
      <c r="A307" t="s">
        <v>118</v>
      </c>
      <c r="B307" t="s">
        <v>119</v>
      </c>
      <c r="C307" t="s">
        <v>16</v>
      </c>
      <c r="D307" t="s">
        <v>26</v>
      </c>
      <c r="E307" t="s">
        <v>17</v>
      </c>
      <c r="F307" t="s">
        <v>33</v>
      </c>
      <c r="G307">
        <v>42.2</v>
      </c>
      <c r="H307">
        <v>12.6</v>
      </c>
      <c r="I307">
        <v>22</v>
      </c>
      <c r="J307" t="s">
        <v>28</v>
      </c>
      <c r="K307" t="s">
        <v>20</v>
      </c>
      <c r="L307" t="s">
        <v>21</v>
      </c>
      <c r="M307" t="s">
        <v>29</v>
      </c>
      <c r="N307" s="2">
        <v>8900</v>
      </c>
    </row>
    <row r="308" spans="1:14" x14ac:dyDescent="0.25">
      <c r="A308" t="s">
        <v>93</v>
      </c>
      <c r="B308" t="s">
        <v>223</v>
      </c>
      <c r="C308" t="s">
        <v>16</v>
      </c>
      <c r="D308" t="s">
        <v>32</v>
      </c>
      <c r="E308" t="s">
        <v>17</v>
      </c>
      <c r="F308" t="s">
        <v>39</v>
      </c>
      <c r="G308">
        <v>41</v>
      </c>
      <c r="H308">
        <v>13.1</v>
      </c>
      <c r="I308">
        <v>20</v>
      </c>
      <c r="J308" t="s">
        <v>34</v>
      </c>
      <c r="K308" t="s">
        <v>20</v>
      </c>
      <c r="L308" t="s">
        <v>35</v>
      </c>
      <c r="M308" t="s">
        <v>142</v>
      </c>
      <c r="N308" s="2">
        <v>7600</v>
      </c>
    </row>
    <row r="309" spans="1:14" x14ac:dyDescent="0.25">
      <c r="A309" t="s">
        <v>135</v>
      </c>
      <c r="B309" t="s">
        <v>136</v>
      </c>
      <c r="C309" t="s">
        <v>16</v>
      </c>
      <c r="D309" t="s">
        <v>16</v>
      </c>
      <c r="E309" t="s">
        <v>17</v>
      </c>
      <c r="F309" t="s">
        <v>137</v>
      </c>
      <c r="G309">
        <v>40.799999999999997</v>
      </c>
      <c r="H309">
        <v>8.3000000000000007</v>
      </c>
      <c r="I309">
        <v>20</v>
      </c>
      <c r="J309" t="s">
        <v>28</v>
      </c>
      <c r="K309" t="s">
        <v>20</v>
      </c>
      <c r="L309" t="s">
        <v>21</v>
      </c>
      <c r="M309" t="s">
        <v>50</v>
      </c>
      <c r="N309" s="2">
        <v>57000</v>
      </c>
    </row>
    <row r="310" spans="1:14" x14ac:dyDescent="0.25">
      <c r="A310" t="s">
        <v>99</v>
      </c>
      <c r="B310" t="s">
        <v>100</v>
      </c>
      <c r="C310" t="s">
        <v>25</v>
      </c>
      <c r="D310" t="s">
        <v>32</v>
      </c>
      <c r="E310" t="s">
        <v>17</v>
      </c>
      <c r="F310" t="s">
        <v>33</v>
      </c>
      <c r="G310">
        <v>42</v>
      </c>
      <c r="H310">
        <v>12.8</v>
      </c>
      <c r="I310">
        <v>22</v>
      </c>
      <c r="J310" t="s">
        <v>19</v>
      </c>
      <c r="K310" t="s">
        <v>20</v>
      </c>
      <c r="L310" t="s">
        <v>92</v>
      </c>
      <c r="M310" t="s">
        <v>36</v>
      </c>
      <c r="N310" s="2">
        <v>6500</v>
      </c>
    </row>
    <row r="311" spans="1:14" x14ac:dyDescent="0.25">
      <c r="A311" t="s">
        <v>79</v>
      </c>
      <c r="B311" t="s">
        <v>80</v>
      </c>
      <c r="C311" t="s">
        <v>16</v>
      </c>
      <c r="D311" t="s">
        <v>16</v>
      </c>
      <c r="E311" t="s">
        <v>17</v>
      </c>
      <c r="F311" t="s">
        <v>81</v>
      </c>
      <c r="G311">
        <v>41.5</v>
      </c>
      <c r="H311">
        <v>11</v>
      </c>
      <c r="I311">
        <v>22</v>
      </c>
      <c r="J311" t="s">
        <v>28</v>
      </c>
      <c r="K311" t="s">
        <v>20</v>
      </c>
      <c r="L311" t="s">
        <v>21</v>
      </c>
      <c r="M311" t="s">
        <v>29</v>
      </c>
      <c r="N311" s="2">
        <v>21000</v>
      </c>
    </row>
    <row r="312" spans="1:14" x14ac:dyDescent="0.25">
      <c r="A312" t="s">
        <v>113</v>
      </c>
      <c r="B312" t="s">
        <v>224</v>
      </c>
      <c r="C312" t="s">
        <v>16</v>
      </c>
      <c r="D312" t="s">
        <v>32</v>
      </c>
      <c r="E312" t="s">
        <v>17</v>
      </c>
      <c r="F312" t="s">
        <v>33</v>
      </c>
      <c r="G312">
        <v>38</v>
      </c>
      <c r="H312">
        <v>12.45</v>
      </c>
      <c r="I312">
        <v>20</v>
      </c>
      <c r="J312" t="s">
        <v>44</v>
      </c>
      <c r="K312" t="s">
        <v>20</v>
      </c>
      <c r="L312" t="s">
        <v>35</v>
      </c>
      <c r="M312" t="s">
        <v>54</v>
      </c>
      <c r="N312" s="2">
        <v>6000</v>
      </c>
    </row>
    <row r="313" spans="1:14" x14ac:dyDescent="0.25">
      <c r="A313" t="s">
        <v>14</v>
      </c>
      <c r="B313" t="s">
        <v>217</v>
      </c>
      <c r="C313" t="s">
        <v>225</v>
      </c>
      <c r="D313" t="s">
        <v>32</v>
      </c>
      <c r="E313" t="s">
        <v>17</v>
      </c>
      <c r="F313" t="s">
        <v>33</v>
      </c>
      <c r="G313">
        <v>40</v>
      </c>
      <c r="H313">
        <v>12.4</v>
      </c>
      <c r="I313">
        <v>20</v>
      </c>
      <c r="J313" t="s">
        <v>226</v>
      </c>
      <c r="K313" t="s">
        <v>20</v>
      </c>
      <c r="L313" t="s">
        <v>35</v>
      </c>
      <c r="M313" t="s">
        <v>145</v>
      </c>
      <c r="N313" s="2">
        <v>29500</v>
      </c>
    </row>
    <row r="314" spans="1:14" x14ac:dyDescent="0.25">
      <c r="A314" t="s">
        <v>76</v>
      </c>
      <c r="B314" t="s">
        <v>77</v>
      </c>
      <c r="C314" t="s">
        <v>168</v>
      </c>
      <c r="D314" t="s">
        <v>168</v>
      </c>
      <c r="E314" t="s">
        <v>17</v>
      </c>
      <c r="F314" t="s">
        <v>78</v>
      </c>
      <c r="G314">
        <v>37</v>
      </c>
      <c r="H314">
        <v>9.8000000000000007</v>
      </c>
      <c r="I314">
        <v>18</v>
      </c>
      <c r="J314" t="s">
        <v>28</v>
      </c>
      <c r="K314" t="s">
        <v>20</v>
      </c>
      <c r="L314" t="s">
        <v>45</v>
      </c>
      <c r="M314" t="s">
        <v>29</v>
      </c>
      <c r="N314" s="2">
        <v>36500</v>
      </c>
    </row>
    <row r="315" spans="1:14" x14ac:dyDescent="0.25">
      <c r="A315" t="s">
        <v>135</v>
      </c>
      <c r="B315" t="s">
        <v>136</v>
      </c>
      <c r="C315" t="s">
        <v>16</v>
      </c>
      <c r="D315" t="s">
        <v>16</v>
      </c>
      <c r="E315" t="s">
        <v>17</v>
      </c>
      <c r="F315" t="s">
        <v>137</v>
      </c>
      <c r="G315">
        <v>40.5</v>
      </c>
      <c r="H315">
        <v>8.3000000000000007</v>
      </c>
      <c r="I315">
        <v>22</v>
      </c>
      <c r="J315" t="s">
        <v>28</v>
      </c>
      <c r="K315" t="s">
        <v>20</v>
      </c>
      <c r="L315" t="s">
        <v>21</v>
      </c>
      <c r="M315" t="s">
        <v>50</v>
      </c>
      <c r="N315" s="2">
        <v>51000</v>
      </c>
    </row>
    <row r="316" spans="1:14" x14ac:dyDescent="0.25">
      <c r="A316" t="s">
        <v>93</v>
      </c>
      <c r="B316" t="s">
        <v>227</v>
      </c>
      <c r="C316" t="s">
        <v>16</v>
      </c>
      <c r="D316" t="s">
        <v>32</v>
      </c>
      <c r="E316" t="s">
        <v>17</v>
      </c>
      <c r="F316" t="s">
        <v>39</v>
      </c>
      <c r="G316">
        <v>42.3</v>
      </c>
      <c r="H316">
        <v>14.2</v>
      </c>
      <c r="I316">
        <v>22</v>
      </c>
      <c r="J316" t="s">
        <v>34</v>
      </c>
      <c r="K316" t="s">
        <v>20</v>
      </c>
      <c r="L316" t="s">
        <v>21</v>
      </c>
      <c r="M316" t="s">
        <v>29</v>
      </c>
      <c r="N316" s="2">
        <v>8800</v>
      </c>
    </row>
    <row r="317" spans="1:14" x14ac:dyDescent="0.25">
      <c r="A317" t="s">
        <v>109</v>
      </c>
      <c r="B317" t="s">
        <v>110</v>
      </c>
      <c r="C317" t="s">
        <v>16</v>
      </c>
      <c r="D317" t="s">
        <v>26</v>
      </c>
      <c r="E317" t="s">
        <v>17</v>
      </c>
      <c r="F317" t="s">
        <v>18</v>
      </c>
      <c r="G317">
        <v>45</v>
      </c>
      <c r="H317">
        <v>15.4</v>
      </c>
      <c r="I317">
        <v>23</v>
      </c>
      <c r="J317" t="s">
        <v>19</v>
      </c>
      <c r="K317" t="s">
        <v>20</v>
      </c>
      <c r="L317" t="s">
        <v>21</v>
      </c>
      <c r="M317" t="s">
        <v>112</v>
      </c>
      <c r="N317" s="2">
        <v>13500</v>
      </c>
    </row>
    <row r="318" spans="1:14" x14ac:dyDescent="0.25">
      <c r="A318" t="s">
        <v>133</v>
      </c>
      <c r="B318" t="s">
        <v>174</v>
      </c>
      <c r="C318" t="s">
        <v>212</v>
      </c>
      <c r="D318" t="s">
        <v>26</v>
      </c>
      <c r="E318" t="s">
        <v>17</v>
      </c>
      <c r="F318" t="s">
        <v>33</v>
      </c>
      <c r="G318">
        <v>44</v>
      </c>
      <c r="H318">
        <v>14.5</v>
      </c>
      <c r="I318">
        <v>22</v>
      </c>
      <c r="J318" t="s">
        <v>19</v>
      </c>
      <c r="K318" t="s">
        <v>20</v>
      </c>
      <c r="L318" t="s">
        <v>35</v>
      </c>
      <c r="M318" t="s">
        <v>145</v>
      </c>
      <c r="N318" s="2">
        <v>19500</v>
      </c>
    </row>
    <row r="319" spans="1:14" x14ac:dyDescent="0.25">
      <c r="A319" t="s">
        <v>118</v>
      </c>
      <c r="B319" t="s">
        <v>119</v>
      </c>
      <c r="C319" t="s">
        <v>16</v>
      </c>
      <c r="D319" t="s">
        <v>26</v>
      </c>
      <c r="E319" t="s">
        <v>17</v>
      </c>
      <c r="F319" t="s">
        <v>33</v>
      </c>
      <c r="G319">
        <v>43</v>
      </c>
      <c r="H319">
        <v>12.6</v>
      </c>
      <c r="I319">
        <v>22</v>
      </c>
      <c r="J319" t="s">
        <v>28</v>
      </c>
      <c r="K319" t="s">
        <v>20</v>
      </c>
      <c r="L319" t="s">
        <v>21</v>
      </c>
      <c r="M319" t="s">
        <v>29</v>
      </c>
      <c r="N319" s="2">
        <v>7000</v>
      </c>
    </row>
    <row r="320" spans="1:14" x14ac:dyDescent="0.25">
      <c r="A320" t="s">
        <v>72</v>
      </c>
      <c r="B320" t="s">
        <v>73</v>
      </c>
      <c r="C320" t="s">
        <v>74</v>
      </c>
      <c r="D320" t="s">
        <v>32</v>
      </c>
      <c r="E320" t="s">
        <v>49</v>
      </c>
      <c r="F320" t="s">
        <v>39</v>
      </c>
      <c r="G320">
        <v>38</v>
      </c>
      <c r="H320">
        <v>7.45</v>
      </c>
      <c r="I320">
        <v>20</v>
      </c>
      <c r="J320" t="s">
        <v>44</v>
      </c>
      <c r="K320" t="s">
        <v>20</v>
      </c>
      <c r="L320" t="s">
        <v>45</v>
      </c>
      <c r="M320" t="s">
        <v>173</v>
      </c>
      <c r="N320" s="2">
        <v>23000</v>
      </c>
    </row>
    <row r="321" spans="1:14" x14ac:dyDescent="0.25">
      <c r="A321" t="s">
        <v>128</v>
      </c>
      <c r="B321" t="s">
        <v>129</v>
      </c>
      <c r="C321" t="s">
        <v>16</v>
      </c>
      <c r="D321" t="s">
        <v>16</v>
      </c>
      <c r="E321" t="s">
        <v>17</v>
      </c>
      <c r="F321" t="s">
        <v>33</v>
      </c>
      <c r="G321">
        <v>42</v>
      </c>
      <c r="H321">
        <v>10.88</v>
      </c>
      <c r="I321">
        <v>25</v>
      </c>
      <c r="J321" t="s">
        <v>19</v>
      </c>
      <c r="K321" t="s">
        <v>20</v>
      </c>
      <c r="L321" t="s">
        <v>21</v>
      </c>
      <c r="M321" t="s">
        <v>142</v>
      </c>
      <c r="N321" s="2">
        <v>9500</v>
      </c>
    </row>
    <row r="322" spans="1:14" x14ac:dyDescent="0.25">
      <c r="A322" t="s">
        <v>116</v>
      </c>
      <c r="B322" t="s">
        <v>175</v>
      </c>
      <c r="C322" t="s">
        <v>74</v>
      </c>
      <c r="D322" t="s">
        <v>32</v>
      </c>
      <c r="E322" t="s">
        <v>49</v>
      </c>
      <c r="F322" t="s">
        <v>39</v>
      </c>
      <c r="G322">
        <v>40</v>
      </c>
      <c r="H322">
        <v>6.36</v>
      </c>
      <c r="I322">
        <v>20</v>
      </c>
      <c r="J322" t="s">
        <v>44</v>
      </c>
      <c r="K322" t="s">
        <v>20</v>
      </c>
      <c r="L322" t="s">
        <v>45</v>
      </c>
      <c r="M322" t="s">
        <v>176</v>
      </c>
      <c r="N322" s="2">
        <v>18500</v>
      </c>
    </row>
    <row r="323" spans="1:14" x14ac:dyDescent="0.25">
      <c r="A323" t="s">
        <v>79</v>
      </c>
      <c r="B323" t="s">
        <v>182</v>
      </c>
      <c r="C323" t="s">
        <v>189</v>
      </c>
      <c r="D323" t="s">
        <v>32</v>
      </c>
      <c r="E323" t="s">
        <v>49</v>
      </c>
      <c r="F323" t="s">
        <v>39</v>
      </c>
      <c r="G323">
        <v>42</v>
      </c>
      <c r="H323">
        <v>7.65</v>
      </c>
      <c r="I323">
        <v>20</v>
      </c>
      <c r="J323" t="s">
        <v>44</v>
      </c>
      <c r="K323" t="s">
        <v>20</v>
      </c>
      <c r="L323" t="s">
        <v>45</v>
      </c>
      <c r="M323" t="s">
        <v>173</v>
      </c>
      <c r="N323" s="2">
        <v>22500</v>
      </c>
    </row>
    <row r="324" spans="1:14" x14ac:dyDescent="0.25">
      <c r="A324" t="s">
        <v>86</v>
      </c>
      <c r="B324" t="s">
        <v>143</v>
      </c>
      <c r="C324" t="s">
        <v>16</v>
      </c>
      <c r="D324" t="s">
        <v>32</v>
      </c>
      <c r="E324" t="s">
        <v>17</v>
      </c>
      <c r="F324" t="s">
        <v>18</v>
      </c>
      <c r="G324">
        <v>44</v>
      </c>
      <c r="H324">
        <v>15.65</v>
      </c>
      <c r="I324">
        <v>22</v>
      </c>
      <c r="J324" t="s">
        <v>19</v>
      </c>
      <c r="K324" t="s">
        <v>20</v>
      </c>
      <c r="L324" t="s">
        <v>68</v>
      </c>
      <c r="M324" t="s">
        <v>145</v>
      </c>
      <c r="N324" s="2">
        <v>7500</v>
      </c>
    </row>
    <row r="325" spans="1:14" x14ac:dyDescent="0.25">
      <c r="A325" t="s">
        <v>93</v>
      </c>
      <c r="B325" t="s">
        <v>107</v>
      </c>
      <c r="C325" t="s">
        <v>16</v>
      </c>
      <c r="D325" t="s">
        <v>32</v>
      </c>
      <c r="E325" t="s">
        <v>17</v>
      </c>
      <c r="F325" t="s">
        <v>39</v>
      </c>
      <c r="G325">
        <v>41</v>
      </c>
      <c r="H325">
        <v>12.3</v>
      </c>
      <c r="I325">
        <v>22</v>
      </c>
      <c r="J325" t="s">
        <v>28</v>
      </c>
      <c r="K325" t="s">
        <v>20</v>
      </c>
      <c r="L325" t="s">
        <v>21</v>
      </c>
      <c r="M325" t="s">
        <v>29</v>
      </c>
      <c r="N325" s="2">
        <v>6500</v>
      </c>
    </row>
    <row r="326" spans="1:14" x14ac:dyDescent="0.25">
      <c r="A326" t="s">
        <v>76</v>
      </c>
      <c r="B326" t="s">
        <v>77</v>
      </c>
      <c r="C326" t="s">
        <v>16</v>
      </c>
      <c r="D326" t="s">
        <v>16</v>
      </c>
      <c r="E326" t="s">
        <v>17</v>
      </c>
      <c r="F326" t="s">
        <v>78</v>
      </c>
      <c r="G326">
        <v>41</v>
      </c>
      <c r="H326">
        <v>9.8000000000000007</v>
      </c>
      <c r="I326">
        <v>20</v>
      </c>
      <c r="J326" t="s">
        <v>28</v>
      </c>
      <c r="K326" t="s">
        <v>20</v>
      </c>
      <c r="L326" t="s">
        <v>21</v>
      </c>
      <c r="M326" t="s">
        <v>29</v>
      </c>
      <c r="N326" s="2">
        <v>20000</v>
      </c>
    </row>
    <row r="327" spans="1:14" x14ac:dyDescent="0.25">
      <c r="A327" t="s">
        <v>133</v>
      </c>
      <c r="B327" t="s">
        <v>174</v>
      </c>
      <c r="C327" t="s">
        <v>212</v>
      </c>
      <c r="D327" t="s">
        <v>26</v>
      </c>
      <c r="E327" t="s">
        <v>17</v>
      </c>
      <c r="F327" t="s">
        <v>33</v>
      </c>
      <c r="G327">
        <v>44</v>
      </c>
      <c r="H327">
        <v>14.5</v>
      </c>
      <c r="I327">
        <v>26</v>
      </c>
      <c r="J327" t="s">
        <v>19</v>
      </c>
      <c r="K327" t="s">
        <v>20</v>
      </c>
      <c r="L327" t="s">
        <v>35</v>
      </c>
      <c r="M327" t="s">
        <v>145</v>
      </c>
      <c r="N327" s="2">
        <v>12000</v>
      </c>
    </row>
    <row r="328" spans="1:14" x14ac:dyDescent="0.25">
      <c r="A328" t="s">
        <v>128</v>
      </c>
      <c r="B328" t="s">
        <v>129</v>
      </c>
      <c r="C328" t="s">
        <v>16</v>
      </c>
      <c r="D328" t="s">
        <v>16</v>
      </c>
      <c r="E328" t="s">
        <v>17</v>
      </c>
      <c r="F328" t="s">
        <v>33</v>
      </c>
      <c r="G328">
        <v>42</v>
      </c>
      <c r="H328">
        <v>10.88</v>
      </c>
      <c r="I328">
        <v>22</v>
      </c>
      <c r="J328" t="s">
        <v>28</v>
      </c>
      <c r="K328" t="s">
        <v>20</v>
      </c>
      <c r="L328" t="s">
        <v>21</v>
      </c>
      <c r="M328" t="s">
        <v>130</v>
      </c>
      <c r="N328" s="2">
        <v>6500</v>
      </c>
    </row>
    <row r="329" spans="1:14" x14ac:dyDescent="0.25">
      <c r="A329" t="s">
        <v>126</v>
      </c>
      <c r="B329" t="s">
        <v>127</v>
      </c>
      <c r="C329" t="s">
        <v>16</v>
      </c>
      <c r="D329" t="s">
        <v>32</v>
      </c>
      <c r="E329" t="s">
        <v>17</v>
      </c>
      <c r="F329" t="s">
        <v>78</v>
      </c>
      <c r="G329">
        <v>42</v>
      </c>
      <c r="H329">
        <v>11.43</v>
      </c>
      <c r="I329">
        <v>22</v>
      </c>
      <c r="J329" t="s">
        <v>19</v>
      </c>
      <c r="K329" t="s">
        <v>20</v>
      </c>
      <c r="L329" t="s">
        <v>35</v>
      </c>
      <c r="M329" t="s">
        <v>22</v>
      </c>
      <c r="N329" s="2">
        <v>6200</v>
      </c>
    </row>
    <row r="330" spans="1:14" x14ac:dyDescent="0.25">
      <c r="A330" t="s">
        <v>79</v>
      </c>
      <c r="B330" t="s">
        <v>80</v>
      </c>
      <c r="C330" t="s">
        <v>16</v>
      </c>
      <c r="D330" t="s">
        <v>16</v>
      </c>
      <c r="E330" t="s">
        <v>17</v>
      </c>
      <c r="F330" t="s">
        <v>81</v>
      </c>
      <c r="G330">
        <v>41</v>
      </c>
      <c r="H330">
        <v>11</v>
      </c>
      <c r="I330">
        <v>22</v>
      </c>
      <c r="J330" t="s">
        <v>28</v>
      </c>
      <c r="K330" t="s">
        <v>20</v>
      </c>
      <c r="L330" t="s">
        <v>21</v>
      </c>
      <c r="M330" t="s">
        <v>29</v>
      </c>
      <c r="N330" s="2">
        <v>15000</v>
      </c>
    </row>
    <row r="331" spans="1:14" x14ac:dyDescent="0.25">
      <c r="A331" t="s">
        <v>116</v>
      </c>
      <c r="B331" t="s">
        <v>175</v>
      </c>
      <c r="C331" t="s">
        <v>172</v>
      </c>
      <c r="D331" t="s">
        <v>32</v>
      </c>
      <c r="E331" t="s">
        <v>49</v>
      </c>
      <c r="F331" t="s">
        <v>39</v>
      </c>
      <c r="G331">
        <v>40</v>
      </c>
      <c r="H331">
        <v>6.36</v>
      </c>
      <c r="I331">
        <v>20</v>
      </c>
      <c r="J331" t="s">
        <v>44</v>
      </c>
      <c r="K331" t="s">
        <v>20</v>
      </c>
      <c r="L331" t="s">
        <v>45</v>
      </c>
      <c r="M331" t="s">
        <v>149</v>
      </c>
      <c r="N331" s="2">
        <v>22000</v>
      </c>
    </row>
    <row r="332" spans="1:14" x14ac:dyDescent="0.25">
      <c r="A332" t="s">
        <v>113</v>
      </c>
      <c r="B332" t="s">
        <v>114</v>
      </c>
      <c r="C332" t="s">
        <v>16</v>
      </c>
      <c r="D332" t="s">
        <v>32</v>
      </c>
      <c r="E332" t="s">
        <v>17</v>
      </c>
      <c r="F332" t="s">
        <v>33</v>
      </c>
      <c r="G332">
        <v>42</v>
      </c>
      <c r="H332">
        <v>12.75</v>
      </c>
      <c r="I332">
        <v>22</v>
      </c>
      <c r="J332" t="s">
        <v>19</v>
      </c>
      <c r="K332" t="s">
        <v>20</v>
      </c>
      <c r="L332" t="s">
        <v>35</v>
      </c>
      <c r="M332" t="s">
        <v>54</v>
      </c>
      <c r="N332" s="2">
        <v>5500</v>
      </c>
    </row>
    <row r="333" spans="1:14" x14ac:dyDescent="0.25">
      <c r="A333" t="s">
        <v>72</v>
      </c>
      <c r="B333" t="s">
        <v>73</v>
      </c>
      <c r="C333" t="s">
        <v>172</v>
      </c>
      <c r="D333" t="s">
        <v>32</v>
      </c>
      <c r="E333" t="s">
        <v>17</v>
      </c>
      <c r="F333" t="s">
        <v>39</v>
      </c>
      <c r="G333">
        <v>39</v>
      </c>
      <c r="H333">
        <v>10.199999999999999</v>
      </c>
      <c r="I333">
        <v>22</v>
      </c>
      <c r="J333" t="s">
        <v>44</v>
      </c>
      <c r="K333" t="s">
        <v>20</v>
      </c>
      <c r="L333" t="s">
        <v>45</v>
      </c>
      <c r="M333" t="s">
        <v>50</v>
      </c>
      <c r="N333" s="2">
        <v>19000</v>
      </c>
    </row>
    <row r="334" spans="1:14" x14ac:dyDescent="0.25">
      <c r="A334" t="s">
        <v>89</v>
      </c>
      <c r="B334" t="s">
        <v>90</v>
      </c>
      <c r="C334" t="s">
        <v>16</v>
      </c>
      <c r="D334" t="s">
        <v>32</v>
      </c>
      <c r="E334" t="s">
        <v>17</v>
      </c>
      <c r="F334" t="s">
        <v>53</v>
      </c>
      <c r="G334">
        <v>41</v>
      </c>
      <c r="H334">
        <v>12.7</v>
      </c>
      <c r="I334">
        <v>22</v>
      </c>
      <c r="J334" t="s">
        <v>19</v>
      </c>
      <c r="K334" t="s">
        <v>20</v>
      </c>
      <c r="L334" t="s">
        <v>45</v>
      </c>
      <c r="M334" t="s">
        <v>40</v>
      </c>
      <c r="N334" s="2">
        <v>3500</v>
      </c>
    </row>
    <row r="335" spans="1:14" x14ac:dyDescent="0.25">
      <c r="A335" t="s">
        <v>14</v>
      </c>
      <c r="B335" t="s">
        <v>103</v>
      </c>
      <c r="C335" t="s">
        <v>16</v>
      </c>
      <c r="D335" t="s">
        <v>16</v>
      </c>
      <c r="E335" t="s">
        <v>17</v>
      </c>
      <c r="F335" t="s">
        <v>33</v>
      </c>
      <c r="G335">
        <v>36</v>
      </c>
      <c r="H335">
        <v>12.5</v>
      </c>
      <c r="I335">
        <v>20</v>
      </c>
      <c r="J335" t="s">
        <v>28</v>
      </c>
      <c r="K335" t="s">
        <v>20</v>
      </c>
      <c r="L335" t="s">
        <v>228</v>
      </c>
      <c r="M335" t="s">
        <v>40</v>
      </c>
      <c r="N335" s="2">
        <v>7400</v>
      </c>
    </row>
    <row r="336" spans="1:14" x14ac:dyDescent="0.25">
      <c r="A336" t="s">
        <v>23</v>
      </c>
      <c r="B336" t="s">
        <v>82</v>
      </c>
      <c r="C336" t="s">
        <v>16</v>
      </c>
      <c r="D336" t="s">
        <v>16</v>
      </c>
      <c r="E336" t="s">
        <v>17</v>
      </c>
      <c r="F336" t="s">
        <v>78</v>
      </c>
      <c r="G336">
        <v>42</v>
      </c>
      <c r="H336">
        <v>14.3</v>
      </c>
      <c r="I336">
        <v>20</v>
      </c>
      <c r="J336" t="s">
        <v>19</v>
      </c>
      <c r="K336" t="s">
        <v>106</v>
      </c>
      <c r="L336" t="s">
        <v>35</v>
      </c>
      <c r="M336" t="s">
        <v>22</v>
      </c>
      <c r="N336" s="2">
        <v>5000</v>
      </c>
    </row>
    <row r="337" spans="1:14" x14ac:dyDescent="0.25">
      <c r="A337" t="s">
        <v>41</v>
      </c>
      <c r="B337" t="s">
        <v>161</v>
      </c>
      <c r="C337" t="s">
        <v>16</v>
      </c>
      <c r="D337" t="s">
        <v>16</v>
      </c>
      <c r="E337" t="s">
        <v>17</v>
      </c>
      <c r="F337" t="s">
        <v>33</v>
      </c>
      <c r="G337">
        <v>39.799999999999997</v>
      </c>
      <c r="H337">
        <v>9.08</v>
      </c>
      <c r="I337">
        <v>20</v>
      </c>
      <c r="J337" t="s">
        <v>44</v>
      </c>
      <c r="K337" t="s">
        <v>20</v>
      </c>
      <c r="L337" t="s">
        <v>21</v>
      </c>
      <c r="M337" t="s">
        <v>36</v>
      </c>
      <c r="N337" s="2">
        <v>6200</v>
      </c>
    </row>
    <row r="338" spans="1:14" x14ac:dyDescent="0.25">
      <c r="A338" t="s">
        <v>220</v>
      </c>
      <c r="B338" t="s">
        <v>201</v>
      </c>
      <c r="C338" t="s">
        <v>16</v>
      </c>
      <c r="D338" t="s">
        <v>16</v>
      </c>
      <c r="E338" t="s">
        <v>17</v>
      </c>
      <c r="F338" t="s">
        <v>18</v>
      </c>
      <c r="G338">
        <v>43</v>
      </c>
      <c r="H338">
        <v>12.5</v>
      </c>
      <c r="I338">
        <v>21</v>
      </c>
      <c r="J338" t="s">
        <v>19</v>
      </c>
      <c r="K338" t="s">
        <v>20</v>
      </c>
      <c r="L338" t="s">
        <v>21</v>
      </c>
      <c r="M338" t="s">
        <v>58</v>
      </c>
      <c r="N338" s="2">
        <v>3100</v>
      </c>
    </row>
    <row r="339" spans="1:14" x14ac:dyDescent="0.25">
      <c r="A339" t="s">
        <v>37</v>
      </c>
      <c r="B339" t="s">
        <v>84</v>
      </c>
      <c r="C339" t="s">
        <v>16</v>
      </c>
      <c r="D339" t="s">
        <v>26</v>
      </c>
      <c r="E339" t="s">
        <v>17</v>
      </c>
      <c r="F339" t="s">
        <v>166</v>
      </c>
      <c r="G339">
        <v>42</v>
      </c>
      <c r="H339">
        <v>13.3</v>
      </c>
      <c r="I339">
        <v>20</v>
      </c>
      <c r="J339" t="s">
        <v>28</v>
      </c>
      <c r="K339" t="s">
        <v>20</v>
      </c>
      <c r="L339" t="s">
        <v>21</v>
      </c>
      <c r="M339" t="s">
        <v>58</v>
      </c>
      <c r="N339" s="2">
        <v>4100</v>
      </c>
    </row>
    <row r="340" spans="1:14" x14ac:dyDescent="0.25">
      <c r="A340" t="s">
        <v>86</v>
      </c>
      <c r="B340" t="s">
        <v>143</v>
      </c>
      <c r="C340" t="s">
        <v>16</v>
      </c>
      <c r="D340" t="s">
        <v>32</v>
      </c>
      <c r="E340" t="s">
        <v>17</v>
      </c>
      <c r="F340" t="s">
        <v>18</v>
      </c>
      <c r="G340">
        <v>44</v>
      </c>
      <c r="H340">
        <v>13.05</v>
      </c>
      <c r="I340">
        <v>24</v>
      </c>
      <c r="J340" t="s">
        <v>19</v>
      </c>
      <c r="K340" t="s">
        <v>20</v>
      </c>
      <c r="L340" t="s">
        <v>45</v>
      </c>
      <c r="M340" t="s">
        <v>145</v>
      </c>
      <c r="N340" s="2">
        <v>6500</v>
      </c>
    </row>
    <row r="341" spans="1:14" x14ac:dyDescent="0.25">
      <c r="A341" t="s">
        <v>89</v>
      </c>
      <c r="B341" t="s">
        <v>90</v>
      </c>
      <c r="C341" t="s">
        <v>16</v>
      </c>
      <c r="D341" t="s">
        <v>32</v>
      </c>
      <c r="E341" t="s">
        <v>17</v>
      </c>
      <c r="F341" t="s">
        <v>53</v>
      </c>
      <c r="G341">
        <v>41</v>
      </c>
      <c r="H341">
        <v>12.7</v>
      </c>
      <c r="I341">
        <v>22</v>
      </c>
      <c r="J341" t="s">
        <v>19</v>
      </c>
      <c r="K341" t="s">
        <v>20</v>
      </c>
      <c r="L341" t="s">
        <v>21</v>
      </c>
      <c r="M341" t="s">
        <v>40</v>
      </c>
      <c r="N341" s="2">
        <v>3800</v>
      </c>
    </row>
    <row r="342" spans="1:14" x14ac:dyDescent="0.25">
      <c r="A342" t="s">
        <v>113</v>
      </c>
      <c r="B342" t="s">
        <v>229</v>
      </c>
      <c r="C342" t="s">
        <v>16</v>
      </c>
      <c r="D342" t="s">
        <v>32</v>
      </c>
      <c r="E342" t="s">
        <v>17</v>
      </c>
      <c r="F342" t="s">
        <v>78</v>
      </c>
      <c r="G342">
        <v>39</v>
      </c>
      <c r="H342">
        <v>8.15</v>
      </c>
      <c r="I342">
        <v>20</v>
      </c>
      <c r="J342" t="s">
        <v>44</v>
      </c>
      <c r="K342" t="s">
        <v>20</v>
      </c>
      <c r="L342" t="s">
        <v>21</v>
      </c>
      <c r="M342" t="s">
        <v>54</v>
      </c>
      <c r="N342" s="2">
        <v>4900</v>
      </c>
    </row>
    <row r="343" spans="1:14" x14ac:dyDescent="0.25">
      <c r="A343" t="s">
        <v>62</v>
      </c>
      <c r="B343" t="s">
        <v>230</v>
      </c>
      <c r="C343" t="s">
        <v>16</v>
      </c>
      <c r="D343" t="s">
        <v>32</v>
      </c>
      <c r="E343" t="s">
        <v>17</v>
      </c>
      <c r="F343" t="s">
        <v>78</v>
      </c>
      <c r="G343">
        <v>40</v>
      </c>
      <c r="H343">
        <v>10.75</v>
      </c>
      <c r="I343">
        <v>20</v>
      </c>
      <c r="J343" t="s">
        <v>44</v>
      </c>
      <c r="K343" t="s">
        <v>20</v>
      </c>
      <c r="L343" t="s">
        <v>21</v>
      </c>
      <c r="M343" t="s">
        <v>130</v>
      </c>
      <c r="N343" s="2">
        <v>1850</v>
      </c>
    </row>
    <row r="344" spans="1:14" x14ac:dyDescent="0.25">
      <c r="A344" t="s">
        <v>99</v>
      </c>
      <c r="B344" t="s">
        <v>231</v>
      </c>
      <c r="C344" t="s">
        <v>16</v>
      </c>
      <c r="D344" t="s">
        <v>32</v>
      </c>
      <c r="E344" t="s">
        <v>17</v>
      </c>
      <c r="F344" t="s">
        <v>78</v>
      </c>
      <c r="G344">
        <v>42</v>
      </c>
      <c r="H344">
        <v>11.4</v>
      </c>
      <c r="I344">
        <v>22</v>
      </c>
      <c r="J344" t="s">
        <v>34</v>
      </c>
      <c r="K344" t="s">
        <v>20</v>
      </c>
      <c r="L344" t="s">
        <v>232</v>
      </c>
      <c r="M344" t="s">
        <v>36</v>
      </c>
      <c r="N344" s="2">
        <v>3900</v>
      </c>
    </row>
    <row r="345" spans="1:14" x14ac:dyDescent="0.25">
      <c r="A345" t="s">
        <v>233</v>
      </c>
      <c r="B345" t="s">
        <v>234</v>
      </c>
      <c r="C345" t="s">
        <v>16</v>
      </c>
      <c r="D345" t="s">
        <v>32</v>
      </c>
      <c r="E345" t="s">
        <v>17</v>
      </c>
      <c r="F345" t="s">
        <v>78</v>
      </c>
      <c r="G345">
        <v>40</v>
      </c>
      <c r="H345">
        <v>10.3</v>
      </c>
      <c r="I345">
        <v>20</v>
      </c>
      <c r="J345" t="s">
        <v>44</v>
      </c>
      <c r="K345" t="s">
        <v>20</v>
      </c>
      <c r="L345" t="s">
        <v>21</v>
      </c>
      <c r="M345" t="s">
        <v>112</v>
      </c>
      <c r="N345" s="2">
        <v>2750</v>
      </c>
    </row>
    <row r="346" spans="1:14" x14ac:dyDescent="0.25">
      <c r="A346" t="s">
        <v>14</v>
      </c>
      <c r="B346" t="s">
        <v>103</v>
      </c>
      <c r="C346" t="s">
        <v>16</v>
      </c>
      <c r="D346" t="s">
        <v>209</v>
      </c>
      <c r="E346" t="s">
        <v>17</v>
      </c>
      <c r="F346" t="s">
        <v>33</v>
      </c>
      <c r="G346">
        <v>41</v>
      </c>
      <c r="H346">
        <v>11.8</v>
      </c>
      <c r="I346">
        <v>20</v>
      </c>
      <c r="J346" t="s">
        <v>28</v>
      </c>
      <c r="K346" t="s">
        <v>20</v>
      </c>
      <c r="L346" t="s">
        <v>21</v>
      </c>
      <c r="M346" t="s">
        <v>40</v>
      </c>
      <c r="N346" s="2">
        <v>9500</v>
      </c>
    </row>
    <row r="347" spans="1:14" x14ac:dyDescent="0.25">
      <c r="A347" t="s">
        <v>23</v>
      </c>
      <c r="B347" t="s">
        <v>105</v>
      </c>
      <c r="C347" t="s">
        <v>16</v>
      </c>
      <c r="D347" t="s">
        <v>16</v>
      </c>
      <c r="E347" t="s">
        <v>49</v>
      </c>
      <c r="F347" t="s">
        <v>78</v>
      </c>
      <c r="G347">
        <v>42</v>
      </c>
      <c r="H347">
        <v>13.75</v>
      </c>
      <c r="I347">
        <v>20</v>
      </c>
      <c r="J347" t="s">
        <v>19</v>
      </c>
      <c r="K347" t="s">
        <v>106</v>
      </c>
      <c r="L347" t="s">
        <v>83</v>
      </c>
      <c r="M347" t="s">
        <v>22</v>
      </c>
      <c r="N347" s="2">
        <v>5350</v>
      </c>
    </row>
    <row r="348" spans="1:14" x14ac:dyDescent="0.25">
      <c r="A348" t="s">
        <v>37</v>
      </c>
      <c r="B348" t="s">
        <v>159</v>
      </c>
      <c r="C348" t="s">
        <v>16</v>
      </c>
      <c r="D348" t="s">
        <v>16</v>
      </c>
      <c r="E348" t="s">
        <v>17</v>
      </c>
      <c r="F348" t="s">
        <v>53</v>
      </c>
      <c r="G348">
        <v>44</v>
      </c>
      <c r="H348">
        <v>14.2</v>
      </c>
      <c r="I348">
        <v>22</v>
      </c>
      <c r="J348" t="s">
        <v>28</v>
      </c>
      <c r="K348" t="s">
        <v>20</v>
      </c>
      <c r="L348" t="s">
        <v>21</v>
      </c>
      <c r="M348" t="s">
        <v>58</v>
      </c>
      <c r="N348" s="2">
        <v>3250</v>
      </c>
    </row>
    <row r="349" spans="1:14" x14ac:dyDescent="0.25">
      <c r="A349" t="s">
        <v>41</v>
      </c>
      <c r="B349" t="s">
        <v>102</v>
      </c>
      <c r="C349" t="s">
        <v>235</v>
      </c>
      <c r="D349" t="s">
        <v>32</v>
      </c>
      <c r="E349" t="s">
        <v>49</v>
      </c>
      <c r="F349" t="s">
        <v>39</v>
      </c>
      <c r="G349">
        <v>27.5</v>
      </c>
      <c r="H349">
        <v>6.5</v>
      </c>
      <c r="I349">
        <v>18</v>
      </c>
      <c r="J349" t="s">
        <v>44</v>
      </c>
      <c r="K349" t="s">
        <v>20</v>
      </c>
      <c r="L349" t="s">
        <v>45</v>
      </c>
      <c r="M349" t="s">
        <v>46</v>
      </c>
      <c r="N349" s="2">
        <v>14200</v>
      </c>
    </row>
    <row r="350" spans="1:14" x14ac:dyDescent="0.25">
      <c r="A350" t="s">
        <v>30</v>
      </c>
      <c r="B350" t="s">
        <v>214</v>
      </c>
      <c r="C350" t="s">
        <v>16</v>
      </c>
      <c r="D350" t="s">
        <v>32</v>
      </c>
      <c r="E350" t="s">
        <v>17</v>
      </c>
      <c r="F350" t="s">
        <v>33</v>
      </c>
      <c r="G350">
        <v>39</v>
      </c>
      <c r="H350">
        <v>14</v>
      </c>
      <c r="I350">
        <v>22</v>
      </c>
      <c r="J350" t="s">
        <v>28</v>
      </c>
      <c r="K350" t="s">
        <v>20</v>
      </c>
      <c r="L350" t="s">
        <v>35</v>
      </c>
      <c r="M350" t="s">
        <v>75</v>
      </c>
      <c r="N350" s="2">
        <v>4950</v>
      </c>
    </row>
    <row r="351" spans="1:14" x14ac:dyDescent="0.25">
      <c r="A351" t="s">
        <v>47</v>
      </c>
      <c r="B351" t="s">
        <v>160</v>
      </c>
      <c r="C351" t="s">
        <v>16</v>
      </c>
      <c r="D351" t="s">
        <v>32</v>
      </c>
      <c r="E351" t="s">
        <v>17</v>
      </c>
      <c r="F351" t="s">
        <v>78</v>
      </c>
      <c r="G351">
        <v>40</v>
      </c>
      <c r="H351">
        <v>8.5</v>
      </c>
      <c r="I351">
        <v>20</v>
      </c>
      <c r="J351" t="s">
        <v>44</v>
      </c>
      <c r="K351" t="s">
        <v>20</v>
      </c>
      <c r="L351" t="s">
        <v>232</v>
      </c>
      <c r="M351" t="s">
        <v>40</v>
      </c>
      <c r="N351" s="2">
        <v>6500</v>
      </c>
    </row>
    <row r="352" spans="1:14" x14ac:dyDescent="0.25">
      <c r="A352" t="s">
        <v>86</v>
      </c>
      <c r="B352" t="s">
        <v>150</v>
      </c>
      <c r="C352" t="s">
        <v>25</v>
      </c>
      <c r="D352" t="s">
        <v>26</v>
      </c>
      <c r="E352" t="s">
        <v>49</v>
      </c>
      <c r="F352" t="s">
        <v>18</v>
      </c>
      <c r="G352">
        <v>44</v>
      </c>
      <c r="H352">
        <v>15.6</v>
      </c>
      <c r="I352">
        <v>24</v>
      </c>
      <c r="J352" t="s">
        <v>19</v>
      </c>
      <c r="K352" t="s">
        <v>20</v>
      </c>
      <c r="L352" t="s">
        <v>45</v>
      </c>
      <c r="M352" t="s">
        <v>145</v>
      </c>
      <c r="N352" s="2">
        <v>8500</v>
      </c>
    </row>
    <row r="353" spans="1:14" x14ac:dyDescent="0.25">
      <c r="A353" t="s">
        <v>76</v>
      </c>
      <c r="B353" t="s">
        <v>77</v>
      </c>
      <c r="C353" t="s">
        <v>16</v>
      </c>
      <c r="D353" t="s">
        <v>16</v>
      </c>
      <c r="E353" t="s">
        <v>17</v>
      </c>
      <c r="F353" t="s">
        <v>78</v>
      </c>
      <c r="G353">
        <v>41</v>
      </c>
      <c r="H353">
        <v>10.4</v>
      </c>
      <c r="I353">
        <v>20</v>
      </c>
      <c r="J353" t="s">
        <v>28</v>
      </c>
      <c r="K353" t="s">
        <v>20</v>
      </c>
      <c r="L353" t="s">
        <v>21</v>
      </c>
      <c r="M353" t="s">
        <v>29</v>
      </c>
      <c r="N353" s="2">
        <v>27000</v>
      </c>
    </row>
    <row r="354" spans="1:14" x14ac:dyDescent="0.25">
      <c r="A354" t="s">
        <v>93</v>
      </c>
      <c r="B354" t="s">
        <v>107</v>
      </c>
      <c r="C354" t="s">
        <v>16</v>
      </c>
      <c r="D354" t="s">
        <v>32</v>
      </c>
      <c r="E354" t="s">
        <v>17</v>
      </c>
      <c r="F354" t="s">
        <v>39</v>
      </c>
      <c r="G354">
        <v>40.4</v>
      </c>
      <c r="H354">
        <v>12.3</v>
      </c>
      <c r="I354">
        <v>20</v>
      </c>
      <c r="J354" t="s">
        <v>44</v>
      </c>
      <c r="K354" t="s">
        <v>20</v>
      </c>
      <c r="L354" t="s">
        <v>35</v>
      </c>
      <c r="M354" t="s">
        <v>142</v>
      </c>
      <c r="N354" s="2">
        <v>7250</v>
      </c>
    </row>
    <row r="355" spans="1:14" x14ac:dyDescent="0.25">
      <c r="A355" t="s">
        <v>135</v>
      </c>
      <c r="B355" t="s">
        <v>187</v>
      </c>
      <c r="C355" t="s">
        <v>183</v>
      </c>
      <c r="D355" t="s">
        <v>32</v>
      </c>
      <c r="E355" t="s">
        <v>49</v>
      </c>
      <c r="F355" t="s">
        <v>39</v>
      </c>
      <c r="G355">
        <v>38</v>
      </c>
      <c r="H355">
        <v>8.25</v>
      </c>
      <c r="I355">
        <v>20</v>
      </c>
      <c r="J355" t="s">
        <v>34</v>
      </c>
      <c r="K355" t="s">
        <v>20</v>
      </c>
      <c r="L355" t="s">
        <v>45</v>
      </c>
      <c r="M355" t="s">
        <v>149</v>
      </c>
      <c r="N355" s="2">
        <v>25000</v>
      </c>
    </row>
    <row r="356" spans="1:14" x14ac:dyDescent="0.25">
      <c r="A356" t="s">
        <v>69</v>
      </c>
      <c r="B356" t="s">
        <v>97</v>
      </c>
      <c r="C356" t="s">
        <v>98</v>
      </c>
      <c r="D356" t="s">
        <v>26</v>
      </c>
      <c r="E356" t="s">
        <v>17</v>
      </c>
      <c r="F356" t="s">
        <v>33</v>
      </c>
      <c r="G356">
        <v>42</v>
      </c>
      <c r="H356">
        <v>9.8000000000000007</v>
      </c>
      <c r="I356">
        <v>24</v>
      </c>
      <c r="J356" t="s">
        <v>19</v>
      </c>
      <c r="K356" t="s">
        <v>20</v>
      </c>
      <c r="L356" t="s">
        <v>45</v>
      </c>
      <c r="M356" t="s">
        <v>75</v>
      </c>
      <c r="N356" s="2">
        <v>3800</v>
      </c>
    </row>
    <row r="357" spans="1:14" x14ac:dyDescent="0.25">
      <c r="A357" t="s">
        <v>14</v>
      </c>
      <c r="B357" t="s">
        <v>103</v>
      </c>
      <c r="C357" t="s">
        <v>16</v>
      </c>
      <c r="D357" t="s">
        <v>16</v>
      </c>
      <c r="E357" t="s">
        <v>17</v>
      </c>
      <c r="F357" t="s">
        <v>33</v>
      </c>
      <c r="G357">
        <v>36</v>
      </c>
      <c r="H357">
        <v>12.5</v>
      </c>
      <c r="I357">
        <v>20</v>
      </c>
      <c r="J357" t="s">
        <v>44</v>
      </c>
      <c r="K357" t="s">
        <v>20</v>
      </c>
      <c r="L357" t="s">
        <v>236</v>
      </c>
      <c r="M357" t="s">
        <v>40</v>
      </c>
      <c r="N357" s="2">
        <v>8000</v>
      </c>
    </row>
    <row r="358" spans="1:14" x14ac:dyDescent="0.25">
      <c r="A358" t="s">
        <v>23</v>
      </c>
      <c r="B358" t="s">
        <v>82</v>
      </c>
      <c r="C358" t="s">
        <v>16</v>
      </c>
      <c r="D358" t="s">
        <v>16</v>
      </c>
      <c r="E358" t="s">
        <v>49</v>
      </c>
      <c r="F358" t="s">
        <v>78</v>
      </c>
      <c r="G358">
        <v>42</v>
      </c>
      <c r="H358">
        <v>14.3</v>
      </c>
      <c r="I358">
        <v>20</v>
      </c>
      <c r="J358" t="s">
        <v>19</v>
      </c>
      <c r="K358" t="s">
        <v>106</v>
      </c>
      <c r="L358" t="s">
        <v>83</v>
      </c>
      <c r="M358" t="s">
        <v>22</v>
      </c>
      <c r="N358" s="2">
        <v>4500</v>
      </c>
    </row>
    <row r="359" spans="1:14" x14ac:dyDescent="0.25">
      <c r="A359" t="s">
        <v>135</v>
      </c>
      <c r="B359" t="s">
        <v>136</v>
      </c>
      <c r="C359" t="s">
        <v>16</v>
      </c>
      <c r="D359" t="s">
        <v>16</v>
      </c>
      <c r="E359" t="s">
        <v>17</v>
      </c>
      <c r="F359" t="s">
        <v>137</v>
      </c>
      <c r="G359">
        <v>40.799999999999997</v>
      </c>
      <c r="H359">
        <v>8.3000000000000007</v>
      </c>
      <c r="I359">
        <v>20</v>
      </c>
      <c r="J359" t="s">
        <v>28</v>
      </c>
      <c r="K359" t="s">
        <v>20</v>
      </c>
      <c r="L359" t="s">
        <v>21</v>
      </c>
      <c r="M359" t="s">
        <v>50</v>
      </c>
      <c r="N359" s="2">
        <v>52000</v>
      </c>
    </row>
    <row r="360" spans="1:14" x14ac:dyDescent="0.25">
      <c r="A360" t="s">
        <v>76</v>
      </c>
      <c r="B360" t="s">
        <v>77</v>
      </c>
      <c r="C360" t="s">
        <v>16</v>
      </c>
      <c r="D360" t="s">
        <v>16</v>
      </c>
      <c r="E360" t="s">
        <v>17</v>
      </c>
      <c r="F360" t="s">
        <v>78</v>
      </c>
      <c r="G360">
        <v>41</v>
      </c>
      <c r="H360">
        <v>10.4</v>
      </c>
      <c r="I360">
        <v>20</v>
      </c>
      <c r="J360" t="s">
        <v>28</v>
      </c>
      <c r="K360" t="s">
        <v>20</v>
      </c>
      <c r="L360" t="s">
        <v>21</v>
      </c>
      <c r="M360" t="s">
        <v>29</v>
      </c>
      <c r="N360" s="2">
        <v>28500</v>
      </c>
    </row>
    <row r="361" spans="1:14" x14ac:dyDescent="0.25">
      <c r="A361" t="s">
        <v>93</v>
      </c>
      <c r="B361" t="s">
        <v>237</v>
      </c>
      <c r="C361" t="s">
        <v>16</v>
      </c>
      <c r="D361" t="s">
        <v>32</v>
      </c>
      <c r="E361" t="s">
        <v>17</v>
      </c>
      <c r="F361" t="s">
        <v>95</v>
      </c>
      <c r="G361">
        <v>41</v>
      </c>
      <c r="H361">
        <v>12.5</v>
      </c>
      <c r="I361">
        <v>20</v>
      </c>
      <c r="J361" t="s">
        <v>19</v>
      </c>
      <c r="K361" t="s">
        <v>20</v>
      </c>
      <c r="L361" t="s">
        <v>148</v>
      </c>
      <c r="M361" t="s">
        <v>149</v>
      </c>
      <c r="N361" s="2">
        <v>6800</v>
      </c>
    </row>
    <row r="362" spans="1:14" x14ac:dyDescent="0.25">
      <c r="A362" t="s">
        <v>133</v>
      </c>
      <c r="B362" t="s">
        <v>174</v>
      </c>
      <c r="C362" t="s">
        <v>98</v>
      </c>
      <c r="D362" t="s">
        <v>26</v>
      </c>
      <c r="E362" t="s">
        <v>17</v>
      </c>
      <c r="F362" t="s">
        <v>33</v>
      </c>
      <c r="G362">
        <v>42</v>
      </c>
      <c r="H362">
        <v>14.1</v>
      </c>
      <c r="I362">
        <v>24</v>
      </c>
      <c r="J362" t="s">
        <v>19</v>
      </c>
      <c r="K362" t="s">
        <v>20</v>
      </c>
      <c r="L362" t="s">
        <v>35</v>
      </c>
      <c r="M362" t="s">
        <v>145</v>
      </c>
      <c r="N362" s="2">
        <v>16000</v>
      </c>
    </row>
    <row r="363" spans="1:14" x14ac:dyDescent="0.25">
      <c r="A363" t="s">
        <v>113</v>
      </c>
      <c r="B363" t="s">
        <v>114</v>
      </c>
      <c r="C363" t="s">
        <v>16</v>
      </c>
      <c r="D363" t="s">
        <v>32</v>
      </c>
      <c r="E363" t="s">
        <v>17</v>
      </c>
      <c r="F363" t="s">
        <v>33</v>
      </c>
      <c r="G363">
        <v>42</v>
      </c>
      <c r="H363">
        <v>12.75</v>
      </c>
      <c r="I363">
        <v>20</v>
      </c>
      <c r="J363" t="s">
        <v>19</v>
      </c>
      <c r="K363" t="s">
        <v>20</v>
      </c>
      <c r="L363" t="s">
        <v>35</v>
      </c>
      <c r="M363" t="s">
        <v>54</v>
      </c>
      <c r="N363" s="2">
        <v>6500</v>
      </c>
    </row>
    <row r="364" spans="1:14" x14ac:dyDescent="0.25">
      <c r="A364" t="s">
        <v>72</v>
      </c>
      <c r="B364" t="s">
        <v>73</v>
      </c>
      <c r="C364" t="s">
        <v>183</v>
      </c>
      <c r="D364" t="s">
        <v>32</v>
      </c>
      <c r="E364" t="s">
        <v>17</v>
      </c>
      <c r="F364" t="s">
        <v>39</v>
      </c>
      <c r="G364">
        <v>39</v>
      </c>
      <c r="H364">
        <v>8.65</v>
      </c>
      <c r="I364">
        <v>20</v>
      </c>
      <c r="J364" t="s">
        <v>44</v>
      </c>
      <c r="K364" t="s">
        <v>20</v>
      </c>
      <c r="L364" t="s">
        <v>45</v>
      </c>
      <c r="M364" t="s">
        <v>75</v>
      </c>
      <c r="N364" s="2">
        <v>19000</v>
      </c>
    </row>
    <row r="365" spans="1:14" x14ac:dyDescent="0.25">
      <c r="A365" t="s">
        <v>109</v>
      </c>
      <c r="B365" t="s">
        <v>110</v>
      </c>
      <c r="C365" t="s">
        <v>16</v>
      </c>
      <c r="D365" t="s">
        <v>26</v>
      </c>
      <c r="E365" t="s">
        <v>17</v>
      </c>
      <c r="F365" t="s">
        <v>18</v>
      </c>
      <c r="G365">
        <v>45</v>
      </c>
      <c r="H365">
        <v>15.5</v>
      </c>
      <c r="I365">
        <v>23</v>
      </c>
      <c r="J365" t="s">
        <v>19</v>
      </c>
      <c r="K365" t="s">
        <v>20</v>
      </c>
      <c r="L365" t="s">
        <v>21</v>
      </c>
      <c r="M365" t="s">
        <v>112</v>
      </c>
      <c r="N365" s="2">
        <v>13500</v>
      </c>
    </row>
    <row r="366" spans="1:14" x14ac:dyDescent="0.25">
      <c r="A366" t="s">
        <v>128</v>
      </c>
      <c r="B366" t="s">
        <v>129</v>
      </c>
      <c r="C366" t="s">
        <v>16</v>
      </c>
      <c r="D366" t="s">
        <v>16</v>
      </c>
      <c r="E366" t="s">
        <v>17</v>
      </c>
      <c r="F366" t="s">
        <v>33</v>
      </c>
      <c r="G366">
        <v>42</v>
      </c>
      <c r="H366">
        <v>10.88</v>
      </c>
      <c r="I366">
        <v>25</v>
      </c>
      <c r="J366" t="s">
        <v>19</v>
      </c>
      <c r="K366" t="s">
        <v>20</v>
      </c>
      <c r="L366" t="s">
        <v>21</v>
      </c>
      <c r="M366" t="s">
        <v>142</v>
      </c>
      <c r="N366" s="2">
        <v>8000</v>
      </c>
    </row>
    <row r="367" spans="1:14" x14ac:dyDescent="0.25">
      <c r="A367" t="s">
        <v>120</v>
      </c>
      <c r="B367" t="s">
        <v>121</v>
      </c>
      <c r="C367" t="s">
        <v>16</v>
      </c>
      <c r="D367" t="s">
        <v>32</v>
      </c>
      <c r="E367" t="s">
        <v>17</v>
      </c>
      <c r="F367" t="s">
        <v>39</v>
      </c>
      <c r="G367">
        <v>43</v>
      </c>
      <c r="H367">
        <v>12.48</v>
      </c>
      <c r="I367">
        <v>23</v>
      </c>
      <c r="J367" t="s">
        <v>44</v>
      </c>
      <c r="K367" t="s">
        <v>20</v>
      </c>
      <c r="L367" t="s">
        <v>45</v>
      </c>
      <c r="M367" t="s">
        <v>122</v>
      </c>
      <c r="N367" s="2">
        <v>10000</v>
      </c>
    </row>
    <row r="368" spans="1:14" x14ac:dyDescent="0.25">
      <c r="A368" t="s">
        <v>14</v>
      </c>
      <c r="B368" t="s">
        <v>91</v>
      </c>
      <c r="C368" t="s">
        <v>16</v>
      </c>
      <c r="D368" t="s">
        <v>16</v>
      </c>
      <c r="E368" t="s">
        <v>17</v>
      </c>
      <c r="F368" t="s">
        <v>33</v>
      </c>
      <c r="G368">
        <v>40</v>
      </c>
      <c r="H368">
        <v>12.5</v>
      </c>
      <c r="I368">
        <v>20</v>
      </c>
      <c r="J368" t="s">
        <v>19</v>
      </c>
      <c r="K368" t="s">
        <v>20</v>
      </c>
      <c r="L368" t="s">
        <v>68</v>
      </c>
      <c r="M368" t="s">
        <v>40</v>
      </c>
      <c r="N368" s="2">
        <v>9700</v>
      </c>
    </row>
    <row r="369" spans="1:14" x14ac:dyDescent="0.25">
      <c r="A369" t="s">
        <v>135</v>
      </c>
      <c r="B369" t="s">
        <v>136</v>
      </c>
      <c r="C369" t="s">
        <v>16</v>
      </c>
      <c r="D369" t="s">
        <v>16</v>
      </c>
      <c r="E369" t="s">
        <v>17</v>
      </c>
      <c r="F369" t="s">
        <v>137</v>
      </c>
      <c r="G369">
        <v>40.5</v>
      </c>
      <c r="H369">
        <v>8.3000000000000007</v>
      </c>
      <c r="I369">
        <v>21</v>
      </c>
      <c r="J369" t="s">
        <v>28</v>
      </c>
      <c r="K369" t="s">
        <v>20</v>
      </c>
      <c r="L369" t="s">
        <v>21</v>
      </c>
      <c r="M369" t="s">
        <v>50</v>
      </c>
      <c r="N369" s="2">
        <v>29800</v>
      </c>
    </row>
    <row r="370" spans="1:14" x14ac:dyDescent="0.25">
      <c r="A370" t="s">
        <v>23</v>
      </c>
      <c r="B370" t="s">
        <v>82</v>
      </c>
      <c r="C370" t="s">
        <v>16</v>
      </c>
      <c r="D370" t="s">
        <v>16</v>
      </c>
      <c r="E370" t="s">
        <v>49</v>
      </c>
      <c r="F370" t="s">
        <v>78</v>
      </c>
      <c r="G370">
        <v>42</v>
      </c>
      <c r="H370">
        <v>14.3</v>
      </c>
      <c r="I370">
        <v>20</v>
      </c>
      <c r="J370" t="s">
        <v>19</v>
      </c>
      <c r="K370" t="s">
        <v>106</v>
      </c>
      <c r="L370" t="s">
        <v>35</v>
      </c>
      <c r="M370" t="s">
        <v>22</v>
      </c>
      <c r="N370" s="2">
        <v>5350</v>
      </c>
    </row>
    <row r="371" spans="1:14" x14ac:dyDescent="0.25">
      <c r="A371" t="s">
        <v>76</v>
      </c>
      <c r="B371" t="s">
        <v>77</v>
      </c>
      <c r="C371" t="s">
        <v>16</v>
      </c>
      <c r="D371" t="s">
        <v>16</v>
      </c>
      <c r="E371" t="s">
        <v>17</v>
      </c>
      <c r="F371" t="s">
        <v>78</v>
      </c>
      <c r="G371">
        <v>41</v>
      </c>
      <c r="H371">
        <v>9.8000000000000007</v>
      </c>
      <c r="I371">
        <v>20</v>
      </c>
      <c r="J371" t="s">
        <v>28</v>
      </c>
      <c r="K371" t="s">
        <v>20</v>
      </c>
      <c r="L371" t="s">
        <v>21</v>
      </c>
      <c r="M371" t="s">
        <v>29</v>
      </c>
      <c r="N371" s="2">
        <v>18500</v>
      </c>
    </row>
    <row r="372" spans="1:14" x14ac:dyDescent="0.25">
      <c r="A372" t="s">
        <v>93</v>
      </c>
      <c r="B372" t="s">
        <v>94</v>
      </c>
      <c r="C372" t="s">
        <v>16</v>
      </c>
      <c r="D372" t="s">
        <v>32</v>
      </c>
      <c r="E372" t="s">
        <v>17</v>
      </c>
      <c r="F372" t="s">
        <v>95</v>
      </c>
      <c r="G372">
        <v>43</v>
      </c>
      <c r="H372">
        <v>15</v>
      </c>
      <c r="I372">
        <v>22</v>
      </c>
      <c r="J372" t="s">
        <v>19</v>
      </c>
      <c r="K372" t="s">
        <v>20</v>
      </c>
      <c r="L372" t="s">
        <v>21</v>
      </c>
      <c r="M372" t="s">
        <v>145</v>
      </c>
      <c r="N372" s="2">
        <v>4950</v>
      </c>
    </row>
    <row r="373" spans="1:14" x14ac:dyDescent="0.25">
      <c r="A373" t="s">
        <v>113</v>
      </c>
      <c r="B373" t="s">
        <v>114</v>
      </c>
      <c r="C373" t="s">
        <v>16</v>
      </c>
      <c r="D373" t="s">
        <v>32</v>
      </c>
      <c r="E373" t="s">
        <v>17</v>
      </c>
      <c r="F373" t="s">
        <v>33</v>
      </c>
      <c r="G373">
        <v>42</v>
      </c>
      <c r="H373">
        <v>12.75</v>
      </c>
      <c r="I373">
        <v>20</v>
      </c>
      <c r="J373" t="s">
        <v>34</v>
      </c>
      <c r="K373" t="s">
        <v>20</v>
      </c>
      <c r="L373" t="s">
        <v>141</v>
      </c>
      <c r="M373" t="s">
        <v>54</v>
      </c>
      <c r="N373" s="2">
        <v>7900</v>
      </c>
    </row>
    <row r="374" spans="1:14" x14ac:dyDescent="0.25">
      <c r="A374" t="s">
        <v>41</v>
      </c>
      <c r="B374" t="s">
        <v>102</v>
      </c>
      <c r="C374" t="s">
        <v>16</v>
      </c>
      <c r="D374" t="s">
        <v>32</v>
      </c>
      <c r="E374" t="s">
        <v>49</v>
      </c>
      <c r="F374" t="s">
        <v>39</v>
      </c>
      <c r="G374">
        <v>31.4</v>
      </c>
      <c r="H374">
        <v>7.25</v>
      </c>
      <c r="I374">
        <v>18</v>
      </c>
      <c r="J374" t="s">
        <v>44</v>
      </c>
      <c r="K374" t="s">
        <v>20</v>
      </c>
      <c r="L374" t="s">
        <v>45</v>
      </c>
      <c r="M374" t="s">
        <v>46</v>
      </c>
      <c r="N374" s="2">
        <v>4500</v>
      </c>
    </row>
    <row r="375" spans="1:14" x14ac:dyDescent="0.25">
      <c r="A375" t="s">
        <v>133</v>
      </c>
      <c r="B375" t="s">
        <v>174</v>
      </c>
      <c r="C375" t="s">
        <v>25</v>
      </c>
      <c r="D375" t="s">
        <v>26</v>
      </c>
      <c r="E375" t="s">
        <v>17</v>
      </c>
      <c r="F375" t="s">
        <v>33</v>
      </c>
      <c r="G375">
        <v>44</v>
      </c>
      <c r="H375">
        <v>14.5</v>
      </c>
      <c r="I375">
        <v>24</v>
      </c>
      <c r="J375" t="s">
        <v>19</v>
      </c>
      <c r="K375" t="s">
        <v>20</v>
      </c>
      <c r="L375" t="s">
        <v>141</v>
      </c>
      <c r="M375" t="s">
        <v>145</v>
      </c>
      <c r="N375" s="2">
        <v>16000</v>
      </c>
    </row>
    <row r="376" spans="1:14" x14ac:dyDescent="0.25">
      <c r="A376" t="s">
        <v>128</v>
      </c>
      <c r="B376" t="s">
        <v>129</v>
      </c>
      <c r="C376" t="s">
        <v>16</v>
      </c>
      <c r="D376" t="s">
        <v>16</v>
      </c>
      <c r="E376" t="s">
        <v>17</v>
      </c>
      <c r="F376" t="s">
        <v>33</v>
      </c>
      <c r="G376">
        <v>42</v>
      </c>
      <c r="H376">
        <v>10.88</v>
      </c>
      <c r="I376">
        <v>22</v>
      </c>
      <c r="J376" t="s">
        <v>28</v>
      </c>
      <c r="K376" t="s">
        <v>20</v>
      </c>
      <c r="L376" t="s">
        <v>21</v>
      </c>
      <c r="M376" t="s">
        <v>130</v>
      </c>
      <c r="N376" s="2">
        <v>12800</v>
      </c>
    </row>
    <row r="377" spans="1:14" x14ac:dyDescent="0.25">
      <c r="A377" t="s">
        <v>47</v>
      </c>
      <c r="B377" t="s">
        <v>160</v>
      </c>
      <c r="C377" t="s">
        <v>16</v>
      </c>
      <c r="D377" t="s">
        <v>32</v>
      </c>
      <c r="E377" t="s">
        <v>17</v>
      </c>
      <c r="F377" t="s">
        <v>78</v>
      </c>
      <c r="G377">
        <v>40</v>
      </c>
      <c r="H377">
        <v>8.7799999999999994</v>
      </c>
      <c r="I377">
        <v>20</v>
      </c>
      <c r="J377" t="s">
        <v>44</v>
      </c>
      <c r="K377" t="s">
        <v>20</v>
      </c>
      <c r="L377" t="s">
        <v>147</v>
      </c>
      <c r="M377" t="s">
        <v>40</v>
      </c>
      <c r="N377" s="2">
        <v>8500</v>
      </c>
    </row>
    <row r="378" spans="1:14" x14ac:dyDescent="0.25">
      <c r="A378" t="s">
        <v>93</v>
      </c>
      <c r="B378" t="s">
        <v>107</v>
      </c>
      <c r="C378" t="s">
        <v>16</v>
      </c>
      <c r="D378" t="s">
        <v>32</v>
      </c>
      <c r="E378" t="s">
        <v>17</v>
      </c>
      <c r="F378" t="s">
        <v>39</v>
      </c>
      <c r="G378">
        <v>41</v>
      </c>
      <c r="H378">
        <v>12.3</v>
      </c>
      <c r="I378">
        <v>22</v>
      </c>
      <c r="J378" t="s">
        <v>28</v>
      </c>
      <c r="K378" t="s">
        <v>20</v>
      </c>
      <c r="L378" t="s">
        <v>147</v>
      </c>
      <c r="M378" t="s">
        <v>36</v>
      </c>
      <c r="N378" s="2">
        <v>8500</v>
      </c>
    </row>
    <row r="379" spans="1:14" x14ac:dyDescent="0.25">
      <c r="A379" t="s">
        <v>86</v>
      </c>
      <c r="B379" t="s">
        <v>150</v>
      </c>
      <c r="C379" t="s">
        <v>25</v>
      </c>
      <c r="D379" t="s">
        <v>26</v>
      </c>
      <c r="E379" t="s">
        <v>17</v>
      </c>
      <c r="F379" t="s">
        <v>18</v>
      </c>
      <c r="G379">
        <v>44</v>
      </c>
      <c r="H379">
        <v>13.05</v>
      </c>
      <c r="I379">
        <v>24</v>
      </c>
      <c r="J379" t="s">
        <v>19</v>
      </c>
      <c r="K379" t="s">
        <v>20</v>
      </c>
      <c r="L379" t="s">
        <v>238</v>
      </c>
      <c r="M379" t="s">
        <v>145</v>
      </c>
      <c r="N379" s="2">
        <v>7500</v>
      </c>
    </row>
    <row r="380" spans="1:14" x14ac:dyDescent="0.25">
      <c r="A380" t="s">
        <v>135</v>
      </c>
      <c r="B380" t="s">
        <v>136</v>
      </c>
      <c r="C380" t="s">
        <v>16</v>
      </c>
      <c r="D380" t="s">
        <v>16</v>
      </c>
      <c r="E380" t="s">
        <v>17</v>
      </c>
      <c r="F380" t="s">
        <v>137</v>
      </c>
      <c r="G380">
        <v>40.5</v>
      </c>
      <c r="H380">
        <v>8.3000000000000007</v>
      </c>
      <c r="I380">
        <v>20</v>
      </c>
      <c r="J380" t="s">
        <v>28</v>
      </c>
      <c r="K380" t="s">
        <v>20</v>
      </c>
      <c r="L380" t="s">
        <v>21</v>
      </c>
      <c r="M380" t="s">
        <v>50</v>
      </c>
      <c r="N380" s="2">
        <v>39000</v>
      </c>
    </row>
    <row r="381" spans="1:14" x14ac:dyDescent="0.25">
      <c r="A381" t="s">
        <v>76</v>
      </c>
      <c r="B381" t="s">
        <v>77</v>
      </c>
      <c r="C381" t="s">
        <v>16</v>
      </c>
      <c r="D381" t="s">
        <v>16</v>
      </c>
      <c r="E381" t="s">
        <v>17</v>
      </c>
      <c r="F381" t="s">
        <v>78</v>
      </c>
      <c r="G381">
        <v>37</v>
      </c>
      <c r="H381">
        <v>9.8000000000000007</v>
      </c>
      <c r="I381">
        <v>20</v>
      </c>
      <c r="J381" t="s">
        <v>28</v>
      </c>
      <c r="K381" t="s">
        <v>20</v>
      </c>
      <c r="L381" t="s">
        <v>21</v>
      </c>
      <c r="M381" t="s">
        <v>75</v>
      </c>
      <c r="N381" s="2">
        <v>19500</v>
      </c>
    </row>
    <row r="382" spans="1:14" x14ac:dyDescent="0.25">
      <c r="A382" t="s">
        <v>133</v>
      </c>
      <c r="B382" t="s">
        <v>174</v>
      </c>
      <c r="C382" t="s">
        <v>25</v>
      </c>
      <c r="D382" t="s">
        <v>26</v>
      </c>
      <c r="E382" t="s">
        <v>17</v>
      </c>
      <c r="F382" t="s">
        <v>33</v>
      </c>
      <c r="G382">
        <v>44</v>
      </c>
      <c r="H382">
        <v>14.5</v>
      </c>
      <c r="I382">
        <v>24</v>
      </c>
      <c r="J382" t="s">
        <v>19</v>
      </c>
      <c r="K382" t="s">
        <v>20</v>
      </c>
      <c r="L382" t="s">
        <v>148</v>
      </c>
      <c r="M382" t="s">
        <v>145</v>
      </c>
      <c r="N382" s="2">
        <v>13000</v>
      </c>
    </row>
    <row r="383" spans="1:14" x14ac:dyDescent="0.25">
      <c r="A383" t="s">
        <v>113</v>
      </c>
      <c r="B383" t="s">
        <v>114</v>
      </c>
      <c r="C383" t="s">
        <v>16</v>
      </c>
      <c r="D383" t="s">
        <v>32</v>
      </c>
      <c r="E383" t="s">
        <v>17</v>
      </c>
      <c r="F383" t="s">
        <v>33</v>
      </c>
      <c r="G383">
        <v>42</v>
      </c>
      <c r="H383">
        <v>12.75</v>
      </c>
      <c r="I383">
        <v>20</v>
      </c>
      <c r="J383" t="s">
        <v>34</v>
      </c>
      <c r="K383" t="s">
        <v>20</v>
      </c>
      <c r="L383" t="s">
        <v>239</v>
      </c>
      <c r="M383" t="s">
        <v>54</v>
      </c>
      <c r="N383" s="2">
        <v>7500</v>
      </c>
    </row>
    <row r="384" spans="1:14" x14ac:dyDescent="0.25">
      <c r="A384" t="s">
        <v>79</v>
      </c>
      <c r="B384" t="s">
        <v>80</v>
      </c>
      <c r="C384" t="s">
        <v>16</v>
      </c>
      <c r="D384" t="s">
        <v>16</v>
      </c>
      <c r="E384" t="s">
        <v>17</v>
      </c>
      <c r="F384" t="s">
        <v>81</v>
      </c>
      <c r="G384">
        <v>41</v>
      </c>
      <c r="H384">
        <v>11</v>
      </c>
      <c r="I384">
        <v>22</v>
      </c>
      <c r="J384" t="s">
        <v>28</v>
      </c>
      <c r="K384" t="s">
        <v>20</v>
      </c>
      <c r="L384" t="s">
        <v>240</v>
      </c>
      <c r="M384" t="s">
        <v>29</v>
      </c>
      <c r="N384" s="2">
        <v>23000</v>
      </c>
    </row>
    <row r="385" spans="1:14" x14ac:dyDescent="0.25">
      <c r="A385" t="s">
        <v>72</v>
      </c>
      <c r="B385" t="s">
        <v>73</v>
      </c>
      <c r="C385" t="s">
        <v>183</v>
      </c>
      <c r="D385" t="s">
        <v>32</v>
      </c>
      <c r="E385" t="s">
        <v>49</v>
      </c>
      <c r="F385" t="s">
        <v>39</v>
      </c>
      <c r="G385">
        <v>40</v>
      </c>
      <c r="H385">
        <v>6.95</v>
      </c>
      <c r="I385">
        <v>20</v>
      </c>
      <c r="J385" t="s">
        <v>44</v>
      </c>
      <c r="K385" t="s">
        <v>20</v>
      </c>
      <c r="L385" t="s">
        <v>45</v>
      </c>
      <c r="M385" t="s">
        <v>54</v>
      </c>
      <c r="N385" s="2">
        <v>24000</v>
      </c>
    </row>
    <row r="386" spans="1:14" x14ac:dyDescent="0.25">
      <c r="A386" t="s">
        <v>109</v>
      </c>
      <c r="B386" t="s">
        <v>110</v>
      </c>
      <c r="C386" t="s">
        <v>16</v>
      </c>
      <c r="D386" t="s">
        <v>140</v>
      </c>
      <c r="E386" t="s">
        <v>17</v>
      </c>
      <c r="F386" t="s">
        <v>18</v>
      </c>
      <c r="G386">
        <v>45</v>
      </c>
      <c r="H386">
        <v>15.5</v>
      </c>
      <c r="I386">
        <v>23</v>
      </c>
      <c r="J386" t="s">
        <v>19</v>
      </c>
      <c r="K386" t="s">
        <v>20</v>
      </c>
      <c r="L386" t="s">
        <v>147</v>
      </c>
      <c r="M386" t="s">
        <v>112</v>
      </c>
      <c r="N386" s="2">
        <v>11000</v>
      </c>
    </row>
    <row r="387" spans="1:14" x14ac:dyDescent="0.25">
      <c r="A387" t="s">
        <v>126</v>
      </c>
      <c r="B387" t="s">
        <v>127</v>
      </c>
      <c r="C387" t="s">
        <v>16</v>
      </c>
      <c r="D387" t="s">
        <v>32</v>
      </c>
      <c r="E387" t="s">
        <v>17</v>
      </c>
      <c r="F387" t="s">
        <v>78</v>
      </c>
      <c r="G387">
        <v>44</v>
      </c>
      <c r="H387">
        <v>14.45</v>
      </c>
      <c r="I387">
        <v>22</v>
      </c>
      <c r="J387" t="s">
        <v>19</v>
      </c>
      <c r="K387" t="s">
        <v>20</v>
      </c>
      <c r="L387" t="s">
        <v>148</v>
      </c>
      <c r="M387" t="s">
        <v>36</v>
      </c>
      <c r="N387" s="2">
        <v>6000</v>
      </c>
    </row>
    <row r="388" spans="1:14" x14ac:dyDescent="0.25">
      <c r="A388" t="s">
        <v>14</v>
      </c>
      <c r="B388" t="s">
        <v>103</v>
      </c>
      <c r="C388" t="s">
        <v>16</v>
      </c>
      <c r="D388" t="s">
        <v>16</v>
      </c>
      <c r="E388" t="s">
        <v>17</v>
      </c>
      <c r="F388" t="s">
        <v>33</v>
      </c>
      <c r="G388">
        <v>36</v>
      </c>
      <c r="H388">
        <v>12</v>
      </c>
      <c r="I388">
        <v>20</v>
      </c>
      <c r="J388" t="s">
        <v>44</v>
      </c>
      <c r="K388" t="s">
        <v>20</v>
      </c>
      <c r="L388" t="s">
        <v>21</v>
      </c>
      <c r="M388" t="s">
        <v>40</v>
      </c>
      <c r="N388" s="2">
        <v>7500</v>
      </c>
    </row>
    <row r="389" spans="1:14" x14ac:dyDescent="0.25">
      <c r="A389" t="s">
        <v>23</v>
      </c>
      <c r="B389" t="s">
        <v>82</v>
      </c>
      <c r="C389" t="s">
        <v>16</v>
      </c>
      <c r="D389" t="s">
        <v>16</v>
      </c>
      <c r="E389" t="s">
        <v>17</v>
      </c>
      <c r="F389" t="s">
        <v>78</v>
      </c>
      <c r="G389">
        <v>42</v>
      </c>
      <c r="H389">
        <v>13.7</v>
      </c>
      <c r="I389">
        <v>20</v>
      </c>
      <c r="J389" t="s">
        <v>19</v>
      </c>
      <c r="K389" t="s">
        <v>20</v>
      </c>
      <c r="L389" t="s">
        <v>83</v>
      </c>
      <c r="M389" t="s">
        <v>29</v>
      </c>
      <c r="N389" s="2">
        <v>6500</v>
      </c>
    </row>
    <row r="390" spans="1:14" x14ac:dyDescent="0.25">
      <c r="A390" t="s">
        <v>30</v>
      </c>
      <c r="B390" t="s">
        <v>201</v>
      </c>
      <c r="C390" t="s">
        <v>16</v>
      </c>
      <c r="D390" t="s">
        <v>16</v>
      </c>
      <c r="E390" t="s">
        <v>17</v>
      </c>
      <c r="F390" t="s">
        <v>18</v>
      </c>
      <c r="G390">
        <v>43</v>
      </c>
      <c r="H390">
        <v>13</v>
      </c>
      <c r="I390">
        <v>21</v>
      </c>
      <c r="J390" t="s">
        <v>28</v>
      </c>
      <c r="K390" t="s">
        <v>20</v>
      </c>
      <c r="L390" t="s">
        <v>21</v>
      </c>
      <c r="M390" t="s">
        <v>58</v>
      </c>
      <c r="N390" s="2">
        <v>3700</v>
      </c>
    </row>
    <row r="391" spans="1:14" x14ac:dyDescent="0.25">
      <c r="A391" t="s">
        <v>37</v>
      </c>
      <c r="B391" t="s">
        <v>84</v>
      </c>
      <c r="C391" t="s">
        <v>16</v>
      </c>
      <c r="D391" t="s">
        <v>26</v>
      </c>
      <c r="E391" t="s">
        <v>17</v>
      </c>
      <c r="F391" t="s">
        <v>53</v>
      </c>
      <c r="G391">
        <v>44</v>
      </c>
      <c r="H391">
        <v>14.2</v>
      </c>
      <c r="I391">
        <v>22</v>
      </c>
      <c r="J391" t="s">
        <v>19</v>
      </c>
      <c r="K391" t="s">
        <v>20</v>
      </c>
      <c r="L391" t="s">
        <v>21</v>
      </c>
      <c r="M391" t="s">
        <v>36</v>
      </c>
      <c r="N391" s="2">
        <v>4500</v>
      </c>
    </row>
    <row r="392" spans="1:14" x14ac:dyDescent="0.25">
      <c r="A392" t="s">
        <v>41</v>
      </c>
      <c r="B392" t="s">
        <v>186</v>
      </c>
      <c r="C392" t="s">
        <v>16</v>
      </c>
      <c r="D392" t="s">
        <v>16</v>
      </c>
      <c r="E392" t="s">
        <v>17</v>
      </c>
      <c r="F392" t="s">
        <v>39</v>
      </c>
      <c r="G392">
        <v>42</v>
      </c>
      <c r="H392">
        <v>13</v>
      </c>
      <c r="I392">
        <v>22</v>
      </c>
      <c r="J392" t="s">
        <v>44</v>
      </c>
      <c r="K392" t="s">
        <v>20</v>
      </c>
      <c r="L392" t="s">
        <v>21</v>
      </c>
      <c r="M392" t="s">
        <v>36</v>
      </c>
      <c r="N392" s="2">
        <v>7500</v>
      </c>
    </row>
    <row r="393" spans="1:14" x14ac:dyDescent="0.25">
      <c r="A393" t="s">
        <v>47</v>
      </c>
      <c r="B393" t="s">
        <v>160</v>
      </c>
      <c r="C393" t="s">
        <v>16</v>
      </c>
      <c r="D393" t="s">
        <v>32</v>
      </c>
      <c r="E393" t="s">
        <v>17</v>
      </c>
      <c r="F393" t="s">
        <v>78</v>
      </c>
      <c r="G393">
        <v>40</v>
      </c>
      <c r="H393">
        <v>8.8000000000000007</v>
      </c>
      <c r="I393">
        <v>20</v>
      </c>
      <c r="J393" t="s">
        <v>44</v>
      </c>
      <c r="K393" t="s">
        <v>20</v>
      </c>
      <c r="L393" t="s">
        <v>169</v>
      </c>
      <c r="M393" t="s">
        <v>40</v>
      </c>
      <c r="N393" s="2">
        <v>6000</v>
      </c>
    </row>
    <row r="394" spans="1:14" x14ac:dyDescent="0.25">
      <c r="A394" t="s">
        <v>14</v>
      </c>
      <c r="B394" t="s">
        <v>91</v>
      </c>
      <c r="C394" t="s">
        <v>16</v>
      </c>
      <c r="D394" t="s">
        <v>16</v>
      </c>
      <c r="E394" t="s">
        <v>17</v>
      </c>
      <c r="F394" t="s">
        <v>33</v>
      </c>
      <c r="G394">
        <v>40</v>
      </c>
      <c r="H394">
        <v>12.5</v>
      </c>
      <c r="I394">
        <v>20</v>
      </c>
      <c r="J394" t="s">
        <v>19</v>
      </c>
      <c r="K394" t="s">
        <v>20</v>
      </c>
      <c r="L394" t="s">
        <v>241</v>
      </c>
      <c r="M394" t="s">
        <v>40</v>
      </c>
      <c r="N394" s="2">
        <v>9500</v>
      </c>
    </row>
    <row r="395" spans="1:14" x14ac:dyDescent="0.25">
      <c r="A395" t="s">
        <v>23</v>
      </c>
      <c r="B395" t="s">
        <v>242</v>
      </c>
      <c r="C395" t="s">
        <v>16</v>
      </c>
      <c r="D395" t="s">
        <v>16</v>
      </c>
      <c r="E395" t="s">
        <v>17</v>
      </c>
      <c r="F395" t="s">
        <v>33</v>
      </c>
      <c r="G395">
        <v>39</v>
      </c>
      <c r="H395">
        <v>10.6</v>
      </c>
      <c r="I395">
        <v>20</v>
      </c>
      <c r="J395" t="s">
        <v>19</v>
      </c>
      <c r="K395" t="s">
        <v>20</v>
      </c>
      <c r="L395" t="s">
        <v>21</v>
      </c>
      <c r="M395" t="s">
        <v>54</v>
      </c>
      <c r="N395" s="2">
        <v>4800</v>
      </c>
    </row>
    <row r="396" spans="1:14" x14ac:dyDescent="0.25">
      <c r="A396" t="s">
        <v>30</v>
      </c>
      <c r="B396" t="s">
        <v>214</v>
      </c>
      <c r="C396" t="s">
        <v>16</v>
      </c>
      <c r="D396" t="s">
        <v>32</v>
      </c>
      <c r="E396" t="s">
        <v>17</v>
      </c>
      <c r="F396" t="s">
        <v>33</v>
      </c>
      <c r="G396">
        <v>39</v>
      </c>
      <c r="H396">
        <v>14.5</v>
      </c>
      <c r="I396">
        <v>22</v>
      </c>
      <c r="J396" t="s">
        <v>28</v>
      </c>
      <c r="K396" t="s">
        <v>20</v>
      </c>
      <c r="L396" t="s">
        <v>35</v>
      </c>
      <c r="M396" t="s">
        <v>75</v>
      </c>
      <c r="N396" s="2">
        <v>5200</v>
      </c>
    </row>
    <row r="397" spans="1:14" x14ac:dyDescent="0.25">
      <c r="A397" t="s">
        <v>37</v>
      </c>
      <c r="B397" t="s">
        <v>243</v>
      </c>
      <c r="C397" t="s">
        <v>16</v>
      </c>
      <c r="D397" t="s">
        <v>16</v>
      </c>
      <c r="E397" t="s">
        <v>17</v>
      </c>
      <c r="F397" t="s">
        <v>53</v>
      </c>
      <c r="G397">
        <v>44</v>
      </c>
      <c r="H397">
        <v>16.95</v>
      </c>
      <c r="I397">
        <v>22</v>
      </c>
      <c r="J397" t="s">
        <v>28</v>
      </c>
      <c r="K397" t="s">
        <v>20</v>
      </c>
      <c r="L397" t="s">
        <v>141</v>
      </c>
      <c r="M397" t="s">
        <v>40</v>
      </c>
      <c r="N397" s="2">
        <v>6900</v>
      </c>
    </row>
    <row r="398" spans="1:14" x14ac:dyDescent="0.25">
      <c r="A398" t="s">
        <v>41</v>
      </c>
      <c r="B398" t="s">
        <v>161</v>
      </c>
      <c r="C398" t="s">
        <v>16</v>
      </c>
      <c r="D398" t="s">
        <v>16</v>
      </c>
      <c r="E398" t="s">
        <v>17</v>
      </c>
      <c r="F398" t="s">
        <v>33</v>
      </c>
      <c r="G398">
        <v>35.1</v>
      </c>
      <c r="H398">
        <v>8.83</v>
      </c>
      <c r="I398">
        <v>18</v>
      </c>
      <c r="J398" t="s">
        <v>44</v>
      </c>
      <c r="K398" t="s">
        <v>20</v>
      </c>
      <c r="L398" t="s">
        <v>21</v>
      </c>
      <c r="M398" t="s">
        <v>36</v>
      </c>
      <c r="N398" s="2">
        <v>5500</v>
      </c>
    </row>
    <row r="399" spans="1:14" x14ac:dyDescent="0.25">
      <c r="A399" t="s">
        <v>14</v>
      </c>
      <c r="B399" t="s">
        <v>103</v>
      </c>
      <c r="C399" t="s">
        <v>16</v>
      </c>
      <c r="D399" t="s">
        <v>16</v>
      </c>
      <c r="E399" t="s">
        <v>17</v>
      </c>
      <c r="F399" t="s">
        <v>33</v>
      </c>
      <c r="G399">
        <v>41</v>
      </c>
      <c r="H399">
        <v>11.7</v>
      </c>
      <c r="I399">
        <v>20</v>
      </c>
      <c r="J399" t="s">
        <v>34</v>
      </c>
      <c r="K399" t="s">
        <v>20</v>
      </c>
      <c r="L399" t="s">
        <v>21</v>
      </c>
      <c r="M399" t="s">
        <v>40</v>
      </c>
      <c r="N399" s="2">
        <v>8000</v>
      </c>
    </row>
    <row r="400" spans="1:14" x14ac:dyDescent="0.25">
      <c r="A400" t="s">
        <v>135</v>
      </c>
      <c r="B400" t="s">
        <v>136</v>
      </c>
      <c r="C400" t="s">
        <v>16</v>
      </c>
      <c r="D400" t="s">
        <v>16</v>
      </c>
      <c r="E400" t="s">
        <v>17</v>
      </c>
      <c r="F400" t="s">
        <v>137</v>
      </c>
      <c r="G400">
        <v>40.5</v>
      </c>
      <c r="H400">
        <v>8.3000000000000007</v>
      </c>
      <c r="I400">
        <v>21</v>
      </c>
      <c r="J400" t="s">
        <v>28</v>
      </c>
      <c r="K400" t="s">
        <v>20</v>
      </c>
      <c r="L400" t="s">
        <v>21</v>
      </c>
      <c r="M400" t="s">
        <v>50</v>
      </c>
      <c r="N400" s="2">
        <v>40000</v>
      </c>
    </row>
    <row r="401" spans="1:14" x14ac:dyDescent="0.25">
      <c r="A401" t="s">
        <v>76</v>
      </c>
      <c r="B401" t="s">
        <v>77</v>
      </c>
      <c r="C401" t="s">
        <v>16</v>
      </c>
      <c r="D401" t="s">
        <v>16</v>
      </c>
      <c r="E401" t="s">
        <v>17</v>
      </c>
      <c r="F401" t="s">
        <v>78</v>
      </c>
      <c r="G401">
        <v>37</v>
      </c>
      <c r="H401">
        <v>9</v>
      </c>
      <c r="I401">
        <v>16</v>
      </c>
      <c r="J401" t="s">
        <v>28</v>
      </c>
      <c r="K401" t="s">
        <v>20</v>
      </c>
      <c r="L401" t="s">
        <v>21</v>
      </c>
      <c r="M401" t="s">
        <v>29</v>
      </c>
      <c r="N401" s="2">
        <v>18000</v>
      </c>
    </row>
    <row r="402" spans="1:14" x14ac:dyDescent="0.25">
      <c r="A402" t="s">
        <v>93</v>
      </c>
      <c r="B402" t="s">
        <v>107</v>
      </c>
      <c r="C402" t="s">
        <v>16</v>
      </c>
      <c r="D402" t="s">
        <v>32</v>
      </c>
      <c r="E402" t="s">
        <v>17</v>
      </c>
      <c r="F402" t="s">
        <v>39</v>
      </c>
      <c r="G402">
        <v>40.4</v>
      </c>
      <c r="H402">
        <v>12.3</v>
      </c>
      <c r="I402">
        <v>22</v>
      </c>
      <c r="J402" t="s">
        <v>34</v>
      </c>
      <c r="K402" t="s">
        <v>20</v>
      </c>
      <c r="L402" t="s">
        <v>21</v>
      </c>
      <c r="M402" t="s">
        <v>29</v>
      </c>
      <c r="N402" s="2">
        <v>7500</v>
      </c>
    </row>
    <row r="403" spans="1:14" x14ac:dyDescent="0.25">
      <c r="A403" t="s">
        <v>133</v>
      </c>
      <c r="B403" t="s">
        <v>174</v>
      </c>
      <c r="C403" t="s">
        <v>25</v>
      </c>
      <c r="D403" t="s">
        <v>26</v>
      </c>
      <c r="E403" t="s">
        <v>17</v>
      </c>
      <c r="F403" t="s">
        <v>33</v>
      </c>
      <c r="G403">
        <v>44</v>
      </c>
      <c r="H403">
        <v>14.5</v>
      </c>
      <c r="I403">
        <v>25</v>
      </c>
      <c r="J403" t="s">
        <v>19</v>
      </c>
      <c r="K403" t="s">
        <v>20</v>
      </c>
      <c r="L403" t="s">
        <v>35</v>
      </c>
      <c r="M403" t="s">
        <v>145</v>
      </c>
      <c r="N403" s="2">
        <v>14000</v>
      </c>
    </row>
    <row r="404" spans="1:14" x14ac:dyDescent="0.25">
      <c r="A404" t="s">
        <v>109</v>
      </c>
      <c r="B404" t="s">
        <v>110</v>
      </c>
      <c r="C404" t="s">
        <v>16</v>
      </c>
      <c r="D404" t="s">
        <v>111</v>
      </c>
      <c r="E404" t="s">
        <v>17</v>
      </c>
      <c r="F404" t="s">
        <v>18</v>
      </c>
      <c r="G404">
        <v>45</v>
      </c>
      <c r="H404">
        <v>15.4</v>
      </c>
      <c r="I404">
        <v>23</v>
      </c>
      <c r="J404" t="s">
        <v>19</v>
      </c>
      <c r="K404" t="s">
        <v>20</v>
      </c>
      <c r="L404" t="s">
        <v>21</v>
      </c>
      <c r="M404" t="s">
        <v>112</v>
      </c>
      <c r="N404" s="2">
        <v>14000</v>
      </c>
    </row>
    <row r="405" spans="1:14" x14ac:dyDescent="0.25">
      <c r="A405" t="s">
        <v>72</v>
      </c>
      <c r="B405" t="s">
        <v>73</v>
      </c>
      <c r="C405" t="s">
        <v>168</v>
      </c>
      <c r="D405" t="s">
        <v>32</v>
      </c>
      <c r="E405" t="s">
        <v>49</v>
      </c>
      <c r="F405" t="s">
        <v>39</v>
      </c>
      <c r="G405">
        <v>40</v>
      </c>
      <c r="H405">
        <v>6.8</v>
      </c>
      <c r="I405">
        <v>20</v>
      </c>
      <c r="J405" t="s">
        <v>44</v>
      </c>
      <c r="K405" t="s">
        <v>20</v>
      </c>
      <c r="L405" t="s">
        <v>45</v>
      </c>
      <c r="M405" t="s">
        <v>181</v>
      </c>
      <c r="N405" s="2">
        <v>25000</v>
      </c>
    </row>
    <row r="406" spans="1:14" x14ac:dyDescent="0.25">
      <c r="A406" t="s">
        <v>47</v>
      </c>
      <c r="B406" t="s">
        <v>96</v>
      </c>
      <c r="C406" t="s">
        <v>16</v>
      </c>
      <c r="D406" t="s">
        <v>32</v>
      </c>
      <c r="E406" t="s">
        <v>17</v>
      </c>
      <c r="F406" t="s">
        <v>78</v>
      </c>
      <c r="G406">
        <v>39</v>
      </c>
      <c r="H406">
        <v>7.8</v>
      </c>
      <c r="I406">
        <v>20</v>
      </c>
      <c r="J406" t="s">
        <v>44</v>
      </c>
      <c r="K406" t="s">
        <v>20</v>
      </c>
      <c r="L406" t="s">
        <v>45</v>
      </c>
      <c r="M406" t="s">
        <v>40</v>
      </c>
      <c r="N406" s="2">
        <v>6500</v>
      </c>
    </row>
    <row r="407" spans="1:14" x14ac:dyDescent="0.25">
      <c r="A407" t="s">
        <v>113</v>
      </c>
      <c r="B407" t="s">
        <v>114</v>
      </c>
      <c r="C407" t="s">
        <v>16</v>
      </c>
      <c r="D407" t="s">
        <v>16</v>
      </c>
      <c r="E407" t="s">
        <v>17</v>
      </c>
      <c r="F407" t="s">
        <v>33</v>
      </c>
      <c r="G407">
        <v>42</v>
      </c>
      <c r="H407">
        <v>12.75</v>
      </c>
      <c r="I407">
        <v>20</v>
      </c>
      <c r="J407" t="s">
        <v>28</v>
      </c>
      <c r="K407" t="s">
        <v>20</v>
      </c>
      <c r="L407" t="s">
        <v>35</v>
      </c>
      <c r="M407" t="s">
        <v>54</v>
      </c>
      <c r="N407" s="2">
        <v>7000</v>
      </c>
    </row>
    <row r="408" spans="1:14" x14ac:dyDescent="0.25">
      <c r="A408" t="s">
        <v>124</v>
      </c>
      <c r="B408" t="s">
        <v>125</v>
      </c>
      <c r="C408" t="s">
        <v>25</v>
      </c>
      <c r="D408" t="s">
        <v>25</v>
      </c>
      <c r="E408" t="s">
        <v>17</v>
      </c>
      <c r="F408" t="s">
        <v>39</v>
      </c>
      <c r="G408">
        <v>40</v>
      </c>
      <c r="H408">
        <v>5.15</v>
      </c>
      <c r="I408">
        <v>28</v>
      </c>
      <c r="J408" t="s">
        <v>19</v>
      </c>
      <c r="K408" t="s">
        <v>20</v>
      </c>
      <c r="L408" t="s">
        <v>45</v>
      </c>
      <c r="M408" t="s">
        <v>181</v>
      </c>
      <c r="N408" s="2">
        <v>10000</v>
      </c>
    </row>
    <row r="409" spans="1:14" x14ac:dyDescent="0.25">
      <c r="A409" t="s">
        <v>128</v>
      </c>
      <c r="B409" t="s">
        <v>129</v>
      </c>
      <c r="C409" t="s">
        <v>16</v>
      </c>
      <c r="D409" t="s">
        <v>16</v>
      </c>
      <c r="E409" t="s">
        <v>17</v>
      </c>
      <c r="F409" t="s">
        <v>33</v>
      </c>
      <c r="G409">
        <v>42</v>
      </c>
      <c r="H409">
        <v>10.88</v>
      </c>
      <c r="I409">
        <v>22</v>
      </c>
      <c r="J409" t="s">
        <v>28</v>
      </c>
      <c r="K409" t="s">
        <v>20</v>
      </c>
      <c r="L409" t="s">
        <v>21</v>
      </c>
      <c r="M409" t="s">
        <v>130</v>
      </c>
      <c r="N409" s="2">
        <v>9000</v>
      </c>
    </row>
    <row r="410" spans="1:14" x14ac:dyDescent="0.25">
      <c r="A410" t="s">
        <v>14</v>
      </c>
      <c r="B410" t="s">
        <v>91</v>
      </c>
      <c r="C410" t="s">
        <v>16</v>
      </c>
      <c r="D410" t="s">
        <v>16</v>
      </c>
      <c r="E410" t="s">
        <v>17</v>
      </c>
      <c r="F410" t="s">
        <v>33</v>
      </c>
      <c r="G410">
        <v>40</v>
      </c>
      <c r="H410">
        <v>12.1</v>
      </c>
      <c r="I410">
        <v>20</v>
      </c>
      <c r="J410" t="s">
        <v>19</v>
      </c>
      <c r="K410" t="s">
        <v>20</v>
      </c>
      <c r="L410" t="s">
        <v>185</v>
      </c>
      <c r="M410" t="s">
        <v>40</v>
      </c>
      <c r="N410" s="2">
        <v>9450</v>
      </c>
    </row>
    <row r="411" spans="1:14" x14ac:dyDescent="0.25">
      <c r="A411" t="s">
        <v>135</v>
      </c>
      <c r="B411" t="s">
        <v>136</v>
      </c>
      <c r="C411" t="s">
        <v>16</v>
      </c>
      <c r="D411" t="s">
        <v>16</v>
      </c>
      <c r="E411" t="s">
        <v>17</v>
      </c>
      <c r="F411" t="s">
        <v>137</v>
      </c>
      <c r="G411">
        <v>40.799999999999997</v>
      </c>
      <c r="H411">
        <v>8.3000000000000007</v>
      </c>
      <c r="I411">
        <v>21</v>
      </c>
      <c r="J411" t="s">
        <v>28</v>
      </c>
      <c r="K411" t="s">
        <v>20</v>
      </c>
      <c r="L411" t="s">
        <v>21</v>
      </c>
      <c r="M411" t="s">
        <v>181</v>
      </c>
      <c r="N411" s="2">
        <v>29800</v>
      </c>
    </row>
    <row r="412" spans="1:14" x14ac:dyDescent="0.25">
      <c r="A412" t="s">
        <v>76</v>
      </c>
      <c r="B412" t="s">
        <v>77</v>
      </c>
      <c r="C412" t="s">
        <v>16</v>
      </c>
      <c r="D412" t="s">
        <v>16</v>
      </c>
      <c r="E412" t="s">
        <v>17</v>
      </c>
      <c r="F412" t="s">
        <v>78</v>
      </c>
      <c r="G412">
        <v>41</v>
      </c>
      <c r="H412">
        <v>9.8000000000000007</v>
      </c>
      <c r="I412">
        <v>20</v>
      </c>
      <c r="J412" t="s">
        <v>28</v>
      </c>
      <c r="K412" t="s">
        <v>20</v>
      </c>
      <c r="L412" t="s">
        <v>148</v>
      </c>
      <c r="M412" t="s">
        <v>54</v>
      </c>
      <c r="N412" s="2">
        <v>22300</v>
      </c>
    </row>
    <row r="413" spans="1:14" x14ac:dyDescent="0.25">
      <c r="A413" t="s">
        <v>133</v>
      </c>
      <c r="B413" t="s">
        <v>134</v>
      </c>
      <c r="C413" t="s">
        <v>25</v>
      </c>
      <c r="D413" t="s">
        <v>26</v>
      </c>
      <c r="E413" t="s">
        <v>17</v>
      </c>
      <c r="F413" t="s">
        <v>78</v>
      </c>
      <c r="G413">
        <v>42</v>
      </c>
      <c r="H413">
        <v>10.6</v>
      </c>
      <c r="I413">
        <v>22</v>
      </c>
      <c r="J413" t="s">
        <v>19</v>
      </c>
      <c r="K413" t="s">
        <v>20</v>
      </c>
      <c r="L413" t="s">
        <v>21</v>
      </c>
      <c r="M413" t="s">
        <v>36</v>
      </c>
      <c r="N413" s="2">
        <v>8100</v>
      </c>
    </row>
    <row r="414" spans="1:14" x14ac:dyDescent="0.25">
      <c r="A414" t="s">
        <v>93</v>
      </c>
      <c r="B414" t="s">
        <v>208</v>
      </c>
      <c r="C414" t="s">
        <v>16</v>
      </c>
      <c r="D414" t="s">
        <v>32</v>
      </c>
      <c r="E414" t="s">
        <v>17</v>
      </c>
      <c r="F414" t="s">
        <v>95</v>
      </c>
      <c r="G414">
        <v>40</v>
      </c>
      <c r="H414">
        <v>10.8</v>
      </c>
      <c r="I414">
        <v>20</v>
      </c>
      <c r="J414" t="s">
        <v>19</v>
      </c>
      <c r="K414" t="s">
        <v>20</v>
      </c>
      <c r="L414" t="s">
        <v>21</v>
      </c>
      <c r="M414" t="s">
        <v>36</v>
      </c>
      <c r="N414" s="2">
        <v>3900</v>
      </c>
    </row>
    <row r="415" spans="1:14" x14ac:dyDescent="0.25">
      <c r="A415" t="s">
        <v>244</v>
      </c>
      <c r="B415" t="s">
        <v>171</v>
      </c>
      <c r="C415" t="s">
        <v>168</v>
      </c>
      <c r="D415" t="s">
        <v>32</v>
      </c>
      <c r="E415" t="s">
        <v>49</v>
      </c>
      <c r="F415" t="s">
        <v>39</v>
      </c>
      <c r="G415">
        <v>38.5</v>
      </c>
      <c r="H415">
        <v>7.8</v>
      </c>
      <c r="I415">
        <v>18</v>
      </c>
      <c r="J415" t="s">
        <v>44</v>
      </c>
      <c r="K415" t="s">
        <v>20</v>
      </c>
      <c r="L415" t="s">
        <v>45</v>
      </c>
      <c r="M415" t="s">
        <v>145</v>
      </c>
      <c r="N415" s="2">
        <v>23300</v>
      </c>
    </row>
    <row r="416" spans="1:14" x14ac:dyDescent="0.25">
      <c r="A416" t="s">
        <v>72</v>
      </c>
      <c r="B416" t="s">
        <v>73</v>
      </c>
      <c r="C416" t="s">
        <v>168</v>
      </c>
      <c r="D416" t="s">
        <v>32</v>
      </c>
      <c r="E416" t="s">
        <v>17</v>
      </c>
      <c r="F416" t="s">
        <v>39</v>
      </c>
      <c r="G416">
        <v>39</v>
      </c>
      <c r="H416">
        <v>8.65</v>
      </c>
      <c r="I416">
        <v>20</v>
      </c>
      <c r="J416" t="s">
        <v>44</v>
      </c>
      <c r="K416" t="s">
        <v>20</v>
      </c>
      <c r="L416" t="s">
        <v>21</v>
      </c>
      <c r="M416" t="s">
        <v>173</v>
      </c>
      <c r="N416" s="2">
        <v>23200</v>
      </c>
    </row>
    <row r="417" spans="1:14" x14ac:dyDescent="0.25">
      <c r="A417" t="s">
        <v>126</v>
      </c>
      <c r="B417" t="s">
        <v>127</v>
      </c>
      <c r="C417" t="s">
        <v>16</v>
      </c>
      <c r="D417" t="s">
        <v>32</v>
      </c>
      <c r="E417" t="s">
        <v>17</v>
      </c>
      <c r="F417" t="s">
        <v>78</v>
      </c>
      <c r="G417">
        <v>44</v>
      </c>
      <c r="H417">
        <v>14.4</v>
      </c>
      <c r="I417">
        <v>22</v>
      </c>
      <c r="J417" t="s">
        <v>19</v>
      </c>
      <c r="K417" t="s">
        <v>20</v>
      </c>
      <c r="L417" t="s">
        <v>245</v>
      </c>
      <c r="M417" t="s">
        <v>36</v>
      </c>
      <c r="N417" s="2">
        <v>6300</v>
      </c>
    </row>
    <row r="418" spans="1:14" x14ac:dyDescent="0.25">
      <c r="A418" t="s">
        <v>113</v>
      </c>
      <c r="B418" t="s">
        <v>114</v>
      </c>
      <c r="C418" t="s">
        <v>16</v>
      </c>
      <c r="D418" t="s">
        <v>32</v>
      </c>
      <c r="E418" t="s">
        <v>17</v>
      </c>
      <c r="F418" t="s">
        <v>33</v>
      </c>
      <c r="G418">
        <v>38</v>
      </c>
      <c r="H418">
        <v>12.45</v>
      </c>
      <c r="I418">
        <v>20</v>
      </c>
      <c r="J418" t="s">
        <v>34</v>
      </c>
      <c r="K418" t="s">
        <v>20</v>
      </c>
      <c r="L418" t="s">
        <v>148</v>
      </c>
      <c r="M418" t="s">
        <v>54</v>
      </c>
      <c r="N418" s="2">
        <v>5600</v>
      </c>
    </row>
    <row r="419" spans="1:14" x14ac:dyDescent="0.25">
      <c r="A419" t="s">
        <v>86</v>
      </c>
      <c r="B419" t="s">
        <v>150</v>
      </c>
      <c r="C419" t="s">
        <v>25</v>
      </c>
      <c r="D419" t="s">
        <v>32</v>
      </c>
      <c r="E419" t="s">
        <v>49</v>
      </c>
      <c r="F419" t="s">
        <v>33</v>
      </c>
      <c r="G419">
        <v>44</v>
      </c>
      <c r="H419">
        <v>13.05</v>
      </c>
      <c r="I419">
        <v>24</v>
      </c>
      <c r="J419" t="s">
        <v>19</v>
      </c>
      <c r="K419" t="s">
        <v>20</v>
      </c>
      <c r="L419" t="s">
        <v>45</v>
      </c>
      <c r="M419" t="s">
        <v>88</v>
      </c>
      <c r="N419" s="2">
        <v>6900</v>
      </c>
    </row>
    <row r="420" spans="1:14" x14ac:dyDescent="0.25">
      <c r="A420" t="s">
        <v>14</v>
      </c>
      <c r="B420" t="s">
        <v>217</v>
      </c>
      <c r="C420" t="s">
        <v>16</v>
      </c>
      <c r="D420" t="s">
        <v>16</v>
      </c>
      <c r="E420" t="s">
        <v>17</v>
      </c>
      <c r="F420" t="s">
        <v>33</v>
      </c>
      <c r="G420">
        <v>40</v>
      </c>
      <c r="H420">
        <v>12.4</v>
      </c>
      <c r="I420">
        <v>20</v>
      </c>
      <c r="J420" t="s">
        <v>34</v>
      </c>
      <c r="K420" t="s">
        <v>20</v>
      </c>
      <c r="L420" t="s">
        <v>35</v>
      </c>
      <c r="M420" t="s">
        <v>145</v>
      </c>
      <c r="N420" s="2">
        <v>13500</v>
      </c>
    </row>
    <row r="421" spans="1:14" x14ac:dyDescent="0.25">
      <c r="A421" t="s">
        <v>23</v>
      </c>
      <c r="B421" t="s">
        <v>82</v>
      </c>
      <c r="C421" t="s">
        <v>16</v>
      </c>
      <c r="D421" t="s">
        <v>16</v>
      </c>
      <c r="E421" t="s">
        <v>49</v>
      </c>
      <c r="F421" t="s">
        <v>78</v>
      </c>
      <c r="G421">
        <v>42</v>
      </c>
      <c r="H421">
        <v>14.3</v>
      </c>
      <c r="I421">
        <v>20</v>
      </c>
      <c r="J421" t="s">
        <v>19</v>
      </c>
      <c r="K421" t="s">
        <v>106</v>
      </c>
      <c r="L421" t="s">
        <v>35</v>
      </c>
      <c r="M421" t="s">
        <v>22</v>
      </c>
      <c r="N421" s="2">
        <v>4500</v>
      </c>
    </row>
    <row r="422" spans="1:14" x14ac:dyDescent="0.25">
      <c r="A422" t="s">
        <v>41</v>
      </c>
      <c r="B422" t="s">
        <v>161</v>
      </c>
      <c r="C422" t="s">
        <v>16</v>
      </c>
      <c r="D422" t="s">
        <v>32</v>
      </c>
      <c r="E422" t="s">
        <v>17</v>
      </c>
      <c r="F422" t="s">
        <v>33</v>
      </c>
      <c r="G422">
        <v>39.799999999999997</v>
      </c>
      <c r="H422">
        <v>9.08</v>
      </c>
      <c r="I422">
        <v>20</v>
      </c>
      <c r="J422" t="s">
        <v>44</v>
      </c>
      <c r="K422" t="s">
        <v>20</v>
      </c>
      <c r="L422" t="s">
        <v>21</v>
      </c>
      <c r="M422" t="s">
        <v>36</v>
      </c>
      <c r="N422" s="2">
        <v>6600</v>
      </c>
    </row>
    <row r="423" spans="1:14" x14ac:dyDescent="0.25">
      <c r="A423" t="s">
        <v>37</v>
      </c>
      <c r="B423" t="s">
        <v>159</v>
      </c>
      <c r="C423" t="s">
        <v>16</v>
      </c>
      <c r="D423" t="s">
        <v>32</v>
      </c>
      <c r="E423" t="s">
        <v>17</v>
      </c>
      <c r="F423" t="s">
        <v>53</v>
      </c>
      <c r="G423">
        <v>42</v>
      </c>
      <c r="H423">
        <v>14.35</v>
      </c>
      <c r="I423">
        <v>20</v>
      </c>
      <c r="J423" t="s">
        <v>19</v>
      </c>
      <c r="K423" t="s">
        <v>20</v>
      </c>
      <c r="L423" t="s">
        <v>21</v>
      </c>
      <c r="M423" t="s">
        <v>58</v>
      </c>
      <c r="N423" s="2">
        <v>4400</v>
      </c>
    </row>
    <row r="424" spans="1:14" x14ac:dyDescent="0.25">
      <c r="A424" t="s">
        <v>30</v>
      </c>
      <c r="B424" t="s">
        <v>201</v>
      </c>
      <c r="C424" t="s">
        <v>16</v>
      </c>
      <c r="D424" t="s">
        <v>16</v>
      </c>
      <c r="E424" t="s">
        <v>17</v>
      </c>
      <c r="F424" t="s">
        <v>18</v>
      </c>
      <c r="G424">
        <v>41</v>
      </c>
      <c r="H424">
        <v>12</v>
      </c>
      <c r="I424">
        <v>20</v>
      </c>
      <c r="J424" t="s">
        <v>28</v>
      </c>
      <c r="K424" t="s">
        <v>20</v>
      </c>
      <c r="L424" t="s">
        <v>21</v>
      </c>
      <c r="M424" t="s">
        <v>58</v>
      </c>
      <c r="N424" s="2">
        <v>2800</v>
      </c>
    </row>
    <row r="425" spans="1:14" x14ac:dyDescent="0.25">
      <c r="A425" t="s">
        <v>47</v>
      </c>
      <c r="B425" t="s">
        <v>96</v>
      </c>
      <c r="C425" t="s">
        <v>16</v>
      </c>
      <c r="D425" t="s">
        <v>32</v>
      </c>
      <c r="E425" t="s">
        <v>17</v>
      </c>
      <c r="F425" t="s">
        <v>78</v>
      </c>
      <c r="G425">
        <v>40</v>
      </c>
      <c r="H425">
        <v>7.45</v>
      </c>
      <c r="I425">
        <v>20</v>
      </c>
      <c r="J425" t="s">
        <v>44</v>
      </c>
      <c r="K425" t="s">
        <v>20</v>
      </c>
      <c r="L425" t="s">
        <v>45</v>
      </c>
      <c r="M425" t="s">
        <v>176</v>
      </c>
      <c r="N425" s="2">
        <v>6300</v>
      </c>
    </row>
    <row r="426" spans="1:14" x14ac:dyDescent="0.25">
      <c r="A426" t="s">
        <v>135</v>
      </c>
      <c r="B426" t="s">
        <v>187</v>
      </c>
      <c r="C426" t="s">
        <v>189</v>
      </c>
      <c r="D426" t="s">
        <v>32</v>
      </c>
      <c r="E426" t="s">
        <v>49</v>
      </c>
      <c r="F426" t="s">
        <v>39</v>
      </c>
      <c r="G426">
        <v>38</v>
      </c>
      <c r="H426">
        <v>7.68</v>
      </c>
      <c r="I426">
        <v>19</v>
      </c>
      <c r="J426" t="s">
        <v>34</v>
      </c>
      <c r="K426" t="s">
        <v>20</v>
      </c>
      <c r="L426" t="s">
        <v>45</v>
      </c>
      <c r="M426" t="s">
        <v>149</v>
      </c>
      <c r="N426" s="2">
        <v>22900</v>
      </c>
    </row>
    <row r="427" spans="1:14" x14ac:dyDescent="0.25">
      <c r="A427" t="s">
        <v>76</v>
      </c>
      <c r="B427" t="s">
        <v>77</v>
      </c>
      <c r="C427" t="s">
        <v>16</v>
      </c>
      <c r="D427" t="s">
        <v>16</v>
      </c>
      <c r="E427" t="s">
        <v>17</v>
      </c>
      <c r="F427" t="s">
        <v>78</v>
      </c>
      <c r="G427">
        <v>41</v>
      </c>
      <c r="H427">
        <v>9.8000000000000007</v>
      </c>
      <c r="I427">
        <v>20</v>
      </c>
      <c r="J427" t="s">
        <v>19</v>
      </c>
      <c r="K427" t="s">
        <v>20</v>
      </c>
      <c r="L427" t="s">
        <v>21</v>
      </c>
      <c r="M427" t="s">
        <v>29</v>
      </c>
      <c r="N427" s="2">
        <v>22500</v>
      </c>
    </row>
    <row r="428" spans="1:14" x14ac:dyDescent="0.25">
      <c r="A428" t="s">
        <v>113</v>
      </c>
      <c r="B428" t="s">
        <v>114</v>
      </c>
      <c r="C428" t="s">
        <v>16</v>
      </c>
      <c r="D428" t="s">
        <v>16</v>
      </c>
      <c r="E428" t="s">
        <v>17</v>
      </c>
      <c r="F428" t="s">
        <v>33</v>
      </c>
      <c r="G428">
        <v>42</v>
      </c>
      <c r="H428">
        <v>12.75</v>
      </c>
      <c r="I428">
        <v>20</v>
      </c>
      <c r="J428" t="s">
        <v>28</v>
      </c>
      <c r="K428" t="s">
        <v>20</v>
      </c>
      <c r="L428" t="s">
        <v>35</v>
      </c>
      <c r="M428" t="s">
        <v>54</v>
      </c>
      <c r="N428" s="2">
        <v>6900</v>
      </c>
    </row>
    <row r="429" spans="1:14" x14ac:dyDescent="0.25">
      <c r="A429" t="s">
        <v>79</v>
      </c>
      <c r="B429" t="s">
        <v>80</v>
      </c>
      <c r="C429" t="s">
        <v>16</v>
      </c>
      <c r="D429" t="s">
        <v>16</v>
      </c>
      <c r="E429" t="s">
        <v>17</v>
      </c>
      <c r="F429" t="s">
        <v>81</v>
      </c>
      <c r="G429">
        <v>41</v>
      </c>
      <c r="H429">
        <v>11</v>
      </c>
      <c r="I429">
        <v>20</v>
      </c>
      <c r="J429" t="s">
        <v>19</v>
      </c>
      <c r="K429" t="s">
        <v>20</v>
      </c>
      <c r="L429" t="s">
        <v>240</v>
      </c>
      <c r="M429" t="s">
        <v>29</v>
      </c>
      <c r="N429" s="2">
        <v>20200</v>
      </c>
    </row>
    <row r="430" spans="1:14" x14ac:dyDescent="0.25">
      <c r="A430" t="s">
        <v>93</v>
      </c>
      <c r="B430" t="s">
        <v>107</v>
      </c>
      <c r="C430" t="s">
        <v>16</v>
      </c>
      <c r="D430" t="s">
        <v>32</v>
      </c>
      <c r="E430" t="s">
        <v>17</v>
      </c>
      <c r="F430" t="s">
        <v>39</v>
      </c>
      <c r="G430">
        <v>40.4</v>
      </c>
      <c r="H430">
        <v>12.6</v>
      </c>
      <c r="I430">
        <v>20</v>
      </c>
      <c r="J430" t="s">
        <v>44</v>
      </c>
      <c r="K430" t="s">
        <v>20</v>
      </c>
      <c r="L430" t="s">
        <v>45</v>
      </c>
      <c r="M430" t="s">
        <v>149</v>
      </c>
      <c r="N430" s="2">
        <v>7600</v>
      </c>
    </row>
    <row r="431" spans="1:14" x14ac:dyDescent="0.25">
      <c r="A431" t="s">
        <v>86</v>
      </c>
      <c r="B431" t="s">
        <v>143</v>
      </c>
      <c r="C431" t="s">
        <v>16</v>
      </c>
      <c r="D431" t="s">
        <v>32</v>
      </c>
      <c r="E431" t="s">
        <v>17</v>
      </c>
      <c r="F431" t="s">
        <v>18</v>
      </c>
      <c r="G431">
        <v>44</v>
      </c>
      <c r="H431">
        <v>15.65</v>
      </c>
      <c r="I431">
        <v>24</v>
      </c>
      <c r="J431" t="s">
        <v>19</v>
      </c>
      <c r="K431" t="s">
        <v>20</v>
      </c>
      <c r="L431" t="s">
        <v>21</v>
      </c>
      <c r="M431" t="s">
        <v>145</v>
      </c>
      <c r="N431" s="2">
        <v>6500</v>
      </c>
    </row>
    <row r="432" spans="1:14" x14ac:dyDescent="0.25">
      <c r="A432" t="s">
        <v>135</v>
      </c>
      <c r="B432" t="s">
        <v>136</v>
      </c>
      <c r="C432" t="s">
        <v>16</v>
      </c>
      <c r="D432" t="s">
        <v>16</v>
      </c>
      <c r="E432" t="s">
        <v>17</v>
      </c>
      <c r="F432" t="s">
        <v>137</v>
      </c>
      <c r="G432">
        <v>40.5</v>
      </c>
      <c r="H432">
        <v>8.3000000000000007</v>
      </c>
      <c r="I432">
        <v>21</v>
      </c>
      <c r="J432" t="s">
        <v>28</v>
      </c>
      <c r="K432" t="s">
        <v>20</v>
      </c>
      <c r="L432" t="s">
        <v>21</v>
      </c>
      <c r="M432" t="s">
        <v>50</v>
      </c>
      <c r="N432" s="2">
        <v>34000</v>
      </c>
    </row>
    <row r="433" spans="1:14" x14ac:dyDescent="0.25">
      <c r="A433" t="s">
        <v>76</v>
      </c>
      <c r="B433" t="s">
        <v>77</v>
      </c>
      <c r="C433" t="s">
        <v>16</v>
      </c>
      <c r="D433" t="s">
        <v>16</v>
      </c>
      <c r="E433" t="s">
        <v>17</v>
      </c>
      <c r="F433" t="s">
        <v>78</v>
      </c>
      <c r="G433">
        <v>41</v>
      </c>
      <c r="H433">
        <v>9.8000000000000007</v>
      </c>
      <c r="I433">
        <v>20</v>
      </c>
      <c r="J433" t="s">
        <v>19</v>
      </c>
      <c r="K433" t="s">
        <v>20</v>
      </c>
      <c r="L433" t="s">
        <v>21</v>
      </c>
      <c r="M433" t="s">
        <v>29</v>
      </c>
      <c r="N433" s="2">
        <v>22000</v>
      </c>
    </row>
    <row r="434" spans="1:14" x14ac:dyDescent="0.25">
      <c r="A434" t="s">
        <v>93</v>
      </c>
      <c r="B434" t="s">
        <v>107</v>
      </c>
      <c r="C434" t="s">
        <v>16</v>
      </c>
      <c r="D434" t="s">
        <v>32</v>
      </c>
      <c r="E434" t="s">
        <v>17</v>
      </c>
      <c r="F434" t="s">
        <v>39</v>
      </c>
      <c r="G434">
        <v>41</v>
      </c>
      <c r="H434">
        <v>12.3</v>
      </c>
      <c r="I434">
        <v>22</v>
      </c>
      <c r="J434" t="s">
        <v>34</v>
      </c>
      <c r="K434" t="s">
        <v>20</v>
      </c>
      <c r="L434" t="s">
        <v>21</v>
      </c>
      <c r="M434" t="s">
        <v>246</v>
      </c>
      <c r="N434" s="2">
        <v>9500</v>
      </c>
    </row>
    <row r="435" spans="1:14" x14ac:dyDescent="0.25">
      <c r="A435" t="s">
        <v>133</v>
      </c>
      <c r="B435" t="s">
        <v>174</v>
      </c>
      <c r="C435" t="s">
        <v>98</v>
      </c>
      <c r="D435" t="s">
        <v>26</v>
      </c>
      <c r="E435" t="s">
        <v>17</v>
      </c>
      <c r="F435" t="s">
        <v>33</v>
      </c>
      <c r="G435">
        <v>41</v>
      </c>
      <c r="H435">
        <v>14.6</v>
      </c>
      <c r="I435">
        <v>20</v>
      </c>
      <c r="J435" t="s">
        <v>19</v>
      </c>
      <c r="K435" t="s">
        <v>20</v>
      </c>
      <c r="L435" t="s">
        <v>35</v>
      </c>
      <c r="M435" t="s">
        <v>36</v>
      </c>
      <c r="N435" s="2">
        <v>14000</v>
      </c>
    </row>
    <row r="436" spans="1:14" x14ac:dyDescent="0.25">
      <c r="A436" t="s">
        <v>72</v>
      </c>
      <c r="B436" t="s">
        <v>73</v>
      </c>
      <c r="C436" t="s">
        <v>189</v>
      </c>
      <c r="D436" t="s">
        <v>32</v>
      </c>
      <c r="E436" t="s">
        <v>49</v>
      </c>
      <c r="F436" t="s">
        <v>39</v>
      </c>
      <c r="G436">
        <v>39</v>
      </c>
      <c r="H436">
        <v>10.199999999999999</v>
      </c>
      <c r="I436">
        <v>22</v>
      </c>
      <c r="J436" t="s">
        <v>44</v>
      </c>
      <c r="K436" t="s">
        <v>20</v>
      </c>
      <c r="L436" t="s">
        <v>45</v>
      </c>
      <c r="M436" t="s">
        <v>75</v>
      </c>
      <c r="N436" s="2">
        <v>26000</v>
      </c>
    </row>
    <row r="437" spans="1:14" x14ac:dyDescent="0.25">
      <c r="A437" t="s">
        <v>113</v>
      </c>
      <c r="B437" t="s">
        <v>114</v>
      </c>
      <c r="C437" t="s">
        <v>16</v>
      </c>
      <c r="D437" t="s">
        <v>32</v>
      </c>
      <c r="E437" t="s">
        <v>17</v>
      </c>
      <c r="F437" t="s">
        <v>33</v>
      </c>
      <c r="G437">
        <v>38</v>
      </c>
      <c r="H437">
        <v>12.5</v>
      </c>
      <c r="I437">
        <v>20</v>
      </c>
      <c r="J437" t="s">
        <v>44</v>
      </c>
      <c r="K437" t="s">
        <v>20</v>
      </c>
      <c r="L437" t="s">
        <v>35</v>
      </c>
      <c r="M437" t="s">
        <v>54</v>
      </c>
      <c r="N437" s="2">
        <v>7000</v>
      </c>
    </row>
    <row r="438" spans="1:14" x14ac:dyDescent="0.25">
      <c r="A438" t="s">
        <v>109</v>
      </c>
      <c r="B438" t="s">
        <v>110</v>
      </c>
      <c r="C438" t="s">
        <v>16</v>
      </c>
      <c r="D438" t="s">
        <v>247</v>
      </c>
      <c r="E438" t="s">
        <v>17</v>
      </c>
      <c r="F438" t="s">
        <v>18</v>
      </c>
      <c r="G438">
        <v>45</v>
      </c>
      <c r="H438">
        <v>15.4</v>
      </c>
      <c r="I438">
        <v>23</v>
      </c>
      <c r="J438" t="s">
        <v>19</v>
      </c>
      <c r="K438" t="s">
        <v>20</v>
      </c>
      <c r="L438" t="s">
        <v>45</v>
      </c>
      <c r="M438" t="s">
        <v>112</v>
      </c>
      <c r="N438" s="2">
        <v>10000</v>
      </c>
    </row>
    <row r="439" spans="1:14" x14ac:dyDescent="0.25">
      <c r="A439" t="s">
        <v>128</v>
      </c>
      <c r="B439" t="s">
        <v>129</v>
      </c>
      <c r="C439" t="s">
        <v>16</v>
      </c>
      <c r="D439" t="s">
        <v>16</v>
      </c>
      <c r="E439" t="s">
        <v>17</v>
      </c>
      <c r="F439" t="s">
        <v>33</v>
      </c>
      <c r="G439">
        <v>42</v>
      </c>
      <c r="H439">
        <v>10.88</v>
      </c>
      <c r="I439">
        <v>22</v>
      </c>
      <c r="J439" t="s">
        <v>28</v>
      </c>
      <c r="K439" t="s">
        <v>20</v>
      </c>
      <c r="L439" t="s">
        <v>21</v>
      </c>
      <c r="M439" t="s">
        <v>130</v>
      </c>
      <c r="N439" s="2">
        <v>11500</v>
      </c>
    </row>
    <row r="440" spans="1:14" x14ac:dyDescent="0.25">
      <c r="A440" t="s">
        <v>118</v>
      </c>
      <c r="B440" t="s">
        <v>119</v>
      </c>
      <c r="C440" t="s">
        <v>16</v>
      </c>
      <c r="D440" t="s">
        <v>32</v>
      </c>
      <c r="E440" t="s">
        <v>17</v>
      </c>
      <c r="F440" t="s">
        <v>33</v>
      </c>
      <c r="G440">
        <v>42.2</v>
      </c>
      <c r="H440">
        <v>12.6</v>
      </c>
      <c r="I440">
        <v>20</v>
      </c>
      <c r="J440" t="s">
        <v>28</v>
      </c>
      <c r="K440" t="s">
        <v>20</v>
      </c>
      <c r="L440" t="s">
        <v>21</v>
      </c>
      <c r="M440" t="s">
        <v>29</v>
      </c>
      <c r="N440" s="2">
        <v>7500</v>
      </c>
    </row>
    <row r="441" spans="1:14" x14ac:dyDescent="0.25">
      <c r="A441" t="s">
        <v>79</v>
      </c>
      <c r="B441" t="s">
        <v>80</v>
      </c>
      <c r="C441" t="s">
        <v>16</v>
      </c>
      <c r="D441" t="s">
        <v>16</v>
      </c>
      <c r="E441" t="s">
        <v>17</v>
      </c>
      <c r="F441" t="s">
        <v>81</v>
      </c>
      <c r="G441">
        <v>41.5</v>
      </c>
      <c r="H441">
        <v>11</v>
      </c>
      <c r="I441">
        <v>22</v>
      </c>
      <c r="J441" t="s">
        <v>44</v>
      </c>
      <c r="K441" t="s">
        <v>20</v>
      </c>
      <c r="L441" t="s">
        <v>21</v>
      </c>
      <c r="M441" t="s">
        <v>29</v>
      </c>
      <c r="N441" s="2">
        <v>20000</v>
      </c>
    </row>
    <row r="442" spans="1:14" x14ac:dyDescent="0.25">
      <c r="A442" t="s">
        <v>135</v>
      </c>
      <c r="B442" t="s">
        <v>136</v>
      </c>
      <c r="C442" t="s">
        <v>16</v>
      </c>
      <c r="D442" t="s">
        <v>16</v>
      </c>
      <c r="E442" t="s">
        <v>17</v>
      </c>
      <c r="F442" t="s">
        <v>137</v>
      </c>
      <c r="G442">
        <v>40</v>
      </c>
      <c r="H442">
        <v>8.3000000000000007</v>
      </c>
      <c r="I442">
        <v>20</v>
      </c>
      <c r="J442" t="s">
        <v>28</v>
      </c>
      <c r="K442" t="s">
        <v>20</v>
      </c>
      <c r="L442" t="s">
        <v>21</v>
      </c>
      <c r="M442" t="s">
        <v>50</v>
      </c>
      <c r="N442" s="2">
        <v>26000</v>
      </c>
    </row>
    <row r="443" spans="1:14" x14ac:dyDescent="0.25">
      <c r="A443" t="s">
        <v>76</v>
      </c>
      <c r="B443" t="s">
        <v>77</v>
      </c>
      <c r="C443" t="s">
        <v>16</v>
      </c>
      <c r="D443" t="s">
        <v>16</v>
      </c>
      <c r="E443" t="s">
        <v>17</v>
      </c>
      <c r="F443" t="s">
        <v>78</v>
      </c>
      <c r="G443">
        <v>41</v>
      </c>
      <c r="H443">
        <v>10.4</v>
      </c>
      <c r="I443">
        <v>20</v>
      </c>
      <c r="J443" t="s">
        <v>248</v>
      </c>
      <c r="K443" t="s">
        <v>20</v>
      </c>
      <c r="L443" t="s">
        <v>21</v>
      </c>
      <c r="M443" t="s">
        <v>29</v>
      </c>
      <c r="N443" s="2">
        <v>17000</v>
      </c>
    </row>
    <row r="444" spans="1:14" x14ac:dyDescent="0.25">
      <c r="A444" t="s">
        <v>93</v>
      </c>
      <c r="B444" t="s">
        <v>107</v>
      </c>
      <c r="C444" t="s">
        <v>16</v>
      </c>
      <c r="D444" t="s">
        <v>32</v>
      </c>
      <c r="E444" t="s">
        <v>17</v>
      </c>
      <c r="F444" t="s">
        <v>39</v>
      </c>
      <c r="G444">
        <v>42.3</v>
      </c>
      <c r="H444">
        <v>14.2</v>
      </c>
      <c r="I444">
        <v>22</v>
      </c>
      <c r="J444" t="s">
        <v>34</v>
      </c>
      <c r="K444" t="s">
        <v>20</v>
      </c>
      <c r="L444" t="s">
        <v>35</v>
      </c>
      <c r="M444" t="s">
        <v>142</v>
      </c>
      <c r="N444" s="2">
        <v>7800</v>
      </c>
    </row>
    <row r="445" spans="1:14" x14ac:dyDescent="0.25">
      <c r="A445" t="s">
        <v>244</v>
      </c>
      <c r="B445" t="s">
        <v>171</v>
      </c>
      <c r="C445" t="s">
        <v>189</v>
      </c>
      <c r="D445" t="s">
        <v>32</v>
      </c>
      <c r="E445" t="s">
        <v>49</v>
      </c>
      <c r="F445" t="s">
        <v>39</v>
      </c>
      <c r="G445">
        <v>37</v>
      </c>
      <c r="H445">
        <v>7.5</v>
      </c>
      <c r="I445">
        <v>18</v>
      </c>
      <c r="J445" t="s">
        <v>44</v>
      </c>
      <c r="K445" t="s">
        <v>20</v>
      </c>
      <c r="L445" t="s">
        <v>45</v>
      </c>
      <c r="M445" t="s">
        <v>50</v>
      </c>
      <c r="N445" s="2">
        <v>17500</v>
      </c>
    </row>
    <row r="446" spans="1:14" x14ac:dyDescent="0.25">
      <c r="A446" t="s">
        <v>79</v>
      </c>
      <c r="B446" t="s">
        <v>80</v>
      </c>
      <c r="C446" t="s">
        <v>16</v>
      </c>
      <c r="D446" t="s">
        <v>26</v>
      </c>
      <c r="E446" t="s">
        <v>17</v>
      </c>
      <c r="F446" t="s">
        <v>81</v>
      </c>
      <c r="G446">
        <v>42.5</v>
      </c>
      <c r="H446">
        <v>13.7</v>
      </c>
      <c r="I446">
        <v>22</v>
      </c>
      <c r="J446" t="s">
        <v>28</v>
      </c>
      <c r="K446" t="s">
        <v>20</v>
      </c>
      <c r="L446" t="s">
        <v>21</v>
      </c>
      <c r="M446" t="s">
        <v>75</v>
      </c>
      <c r="N446" s="2">
        <v>20000</v>
      </c>
    </row>
    <row r="447" spans="1:14" x14ac:dyDescent="0.25">
      <c r="A447" t="s">
        <v>128</v>
      </c>
      <c r="B447" t="s">
        <v>129</v>
      </c>
      <c r="C447" t="s">
        <v>16</v>
      </c>
      <c r="D447" t="s">
        <v>16</v>
      </c>
      <c r="E447" t="s">
        <v>17</v>
      </c>
      <c r="F447" t="s">
        <v>33</v>
      </c>
      <c r="G447">
        <v>41</v>
      </c>
      <c r="H447">
        <v>10.88</v>
      </c>
      <c r="I447">
        <v>26</v>
      </c>
      <c r="J447" t="s">
        <v>19</v>
      </c>
      <c r="K447" t="s">
        <v>20</v>
      </c>
      <c r="L447" t="s">
        <v>35</v>
      </c>
      <c r="M447" t="s">
        <v>142</v>
      </c>
      <c r="N447" s="2">
        <v>12000</v>
      </c>
    </row>
    <row r="448" spans="1:14" x14ac:dyDescent="0.25">
      <c r="A448" t="s">
        <v>113</v>
      </c>
      <c r="B448" t="s">
        <v>114</v>
      </c>
      <c r="C448" t="s">
        <v>16</v>
      </c>
      <c r="D448" t="s">
        <v>32</v>
      </c>
      <c r="E448" t="s">
        <v>17</v>
      </c>
      <c r="F448" t="s">
        <v>33</v>
      </c>
      <c r="G448">
        <v>42</v>
      </c>
      <c r="H448">
        <v>12.75</v>
      </c>
      <c r="I448">
        <v>22</v>
      </c>
      <c r="J448" t="s">
        <v>44</v>
      </c>
      <c r="K448" t="s">
        <v>20</v>
      </c>
      <c r="L448" t="s">
        <v>35</v>
      </c>
      <c r="M448" t="s">
        <v>54</v>
      </c>
      <c r="N448" s="2">
        <v>7500</v>
      </c>
    </row>
    <row r="449" spans="1:14" x14ac:dyDescent="0.25">
      <c r="A449" t="s">
        <v>109</v>
      </c>
      <c r="B449" t="s">
        <v>110</v>
      </c>
      <c r="C449" t="s">
        <v>16</v>
      </c>
      <c r="D449" t="s">
        <v>26</v>
      </c>
      <c r="E449" t="s">
        <v>17</v>
      </c>
      <c r="F449" t="s">
        <v>18</v>
      </c>
      <c r="G449">
        <v>45</v>
      </c>
      <c r="H449">
        <v>15.5</v>
      </c>
      <c r="I449">
        <v>23</v>
      </c>
      <c r="J449" t="s">
        <v>19</v>
      </c>
      <c r="K449" t="s">
        <v>20</v>
      </c>
      <c r="L449" t="s">
        <v>21</v>
      </c>
      <c r="M449" t="s">
        <v>112</v>
      </c>
      <c r="N449" s="2">
        <v>14000</v>
      </c>
    </row>
    <row r="450" spans="1:14" x14ac:dyDescent="0.25">
      <c r="A450" t="s">
        <v>133</v>
      </c>
      <c r="B450" t="s">
        <v>134</v>
      </c>
      <c r="C450" t="s">
        <v>25</v>
      </c>
      <c r="D450" t="s">
        <v>26</v>
      </c>
      <c r="E450" t="s">
        <v>17</v>
      </c>
      <c r="F450" t="s">
        <v>78</v>
      </c>
      <c r="G450">
        <v>45</v>
      </c>
      <c r="H450">
        <v>10.95</v>
      </c>
      <c r="I450">
        <v>22</v>
      </c>
      <c r="J450" t="s">
        <v>28</v>
      </c>
      <c r="K450" t="s">
        <v>20</v>
      </c>
      <c r="L450" t="s">
        <v>45</v>
      </c>
      <c r="M450" t="s">
        <v>36</v>
      </c>
      <c r="N450" s="2">
        <v>9500</v>
      </c>
    </row>
    <row r="451" spans="1:14" x14ac:dyDescent="0.25">
      <c r="A451" t="s">
        <v>72</v>
      </c>
      <c r="B451" t="s">
        <v>73</v>
      </c>
      <c r="C451" t="s">
        <v>74</v>
      </c>
      <c r="D451" t="s">
        <v>32</v>
      </c>
      <c r="E451" t="s">
        <v>49</v>
      </c>
      <c r="F451" t="s">
        <v>39</v>
      </c>
      <c r="G451">
        <v>38</v>
      </c>
      <c r="H451">
        <v>8.25</v>
      </c>
      <c r="I451">
        <v>20</v>
      </c>
      <c r="J451" t="s">
        <v>44</v>
      </c>
      <c r="K451" t="s">
        <v>20</v>
      </c>
      <c r="L451" t="s">
        <v>45</v>
      </c>
      <c r="M451" t="s">
        <v>75</v>
      </c>
      <c r="N451" s="2">
        <v>22000</v>
      </c>
    </row>
    <row r="452" spans="1:14" x14ac:dyDescent="0.25">
      <c r="A452" t="s">
        <v>116</v>
      </c>
      <c r="B452" t="s">
        <v>249</v>
      </c>
      <c r="C452" t="s">
        <v>16</v>
      </c>
      <c r="D452" t="s">
        <v>16</v>
      </c>
      <c r="E452" t="s">
        <v>17</v>
      </c>
      <c r="F452" t="s">
        <v>33</v>
      </c>
      <c r="G452">
        <v>42</v>
      </c>
      <c r="H452">
        <v>9.4</v>
      </c>
      <c r="I452">
        <v>22</v>
      </c>
      <c r="J452" t="s">
        <v>28</v>
      </c>
      <c r="K452" t="s">
        <v>20</v>
      </c>
      <c r="L452" t="s">
        <v>21</v>
      </c>
      <c r="M452" t="s">
        <v>149</v>
      </c>
      <c r="N452" s="2">
        <v>10500</v>
      </c>
    </row>
    <row r="453" spans="1:14" x14ac:dyDescent="0.25">
      <c r="A453" t="s">
        <v>135</v>
      </c>
      <c r="B453" t="s">
        <v>136</v>
      </c>
      <c r="C453" t="s">
        <v>16</v>
      </c>
      <c r="D453" t="s">
        <v>16</v>
      </c>
      <c r="E453" t="s">
        <v>17</v>
      </c>
      <c r="F453" t="s">
        <v>137</v>
      </c>
      <c r="G453">
        <v>40.5</v>
      </c>
      <c r="H453">
        <v>8.3000000000000007</v>
      </c>
      <c r="I453">
        <v>22</v>
      </c>
      <c r="J453" t="s">
        <v>28</v>
      </c>
      <c r="K453" t="s">
        <v>20</v>
      </c>
      <c r="L453" t="s">
        <v>21</v>
      </c>
      <c r="M453" t="s">
        <v>50</v>
      </c>
      <c r="N453" s="2">
        <v>29000</v>
      </c>
    </row>
    <row r="454" spans="1:14" x14ac:dyDescent="0.25">
      <c r="A454" t="s">
        <v>76</v>
      </c>
      <c r="B454" t="s">
        <v>77</v>
      </c>
      <c r="C454" t="s">
        <v>168</v>
      </c>
      <c r="D454" t="s">
        <v>32</v>
      </c>
      <c r="E454" t="s">
        <v>17</v>
      </c>
      <c r="F454" t="s">
        <v>78</v>
      </c>
      <c r="G454">
        <v>37</v>
      </c>
      <c r="H454">
        <v>9.8000000000000007</v>
      </c>
      <c r="I454">
        <v>20</v>
      </c>
      <c r="J454" t="s">
        <v>19</v>
      </c>
      <c r="K454" t="s">
        <v>20</v>
      </c>
      <c r="L454" t="s">
        <v>21</v>
      </c>
      <c r="M454" t="s">
        <v>29</v>
      </c>
      <c r="N454" s="2">
        <v>38500</v>
      </c>
    </row>
    <row r="455" spans="1:14" x14ac:dyDescent="0.25">
      <c r="A455" t="s">
        <v>133</v>
      </c>
      <c r="B455" t="s">
        <v>134</v>
      </c>
      <c r="C455" t="s">
        <v>25</v>
      </c>
      <c r="D455" t="s">
        <v>26</v>
      </c>
      <c r="E455" t="s">
        <v>17</v>
      </c>
      <c r="F455" t="s">
        <v>78</v>
      </c>
      <c r="G455">
        <v>42</v>
      </c>
      <c r="H455">
        <v>9.85</v>
      </c>
      <c r="I455">
        <v>22</v>
      </c>
      <c r="J455" t="s">
        <v>28</v>
      </c>
      <c r="K455" t="s">
        <v>20</v>
      </c>
      <c r="L455" t="s">
        <v>45</v>
      </c>
      <c r="M455" t="s">
        <v>36</v>
      </c>
      <c r="N455" s="2">
        <v>7500</v>
      </c>
    </row>
    <row r="456" spans="1:14" x14ac:dyDescent="0.25">
      <c r="A456" t="s">
        <v>72</v>
      </c>
      <c r="B456" t="s">
        <v>73</v>
      </c>
      <c r="C456" t="s">
        <v>168</v>
      </c>
      <c r="D456" t="s">
        <v>32</v>
      </c>
      <c r="E456" t="s">
        <v>17</v>
      </c>
      <c r="F456" t="s">
        <v>39</v>
      </c>
      <c r="G456">
        <v>39</v>
      </c>
      <c r="H456">
        <v>10.199999999999999</v>
      </c>
      <c r="I456">
        <v>20</v>
      </c>
      <c r="J456" t="s">
        <v>44</v>
      </c>
      <c r="K456" t="s">
        <v>20</v>
      </c>
      <c r="L456" t="s">
        <v>45</v>
      </c>
      <c r="M456" t="s">
        <v>173</v>
      </c>
      <c r="N456" s="2">
        <v>25000</v>
      </c>
    </row>
    <row r="457" spans="1:14" x14ac:dyDescent="0.25">
      <c r="A457" t="s">
        <v>93</v>
      </c>
      <c r="B457" t="s">
        <v>94</v>
      </c>
      <c r="C457" t="s">
        <v>16</v>
      </c>
      <c r="D457" t="s">
        <v>32</v>
      </c>
      <c r="E457" t="s">
        <v>17</v>
      </c>
      <c r="F457" t="s">
        <v>95</v>
      </c>
      <c r="G457">
        <v>41</v>
      </c>
      <c r="H457">
        <v>15.3</v>
      </c>
      <c r="I457">
        <v>20</v>
      </c>
      <c r="J457" t="s">
        <v>19</v>
      </c>
      <c r="K457" t="s">
        <v>20</v>
      </c>
      <c r="L457" t="s">
        <v>21</v>
      </c>
      <c r="M457" t="s">
        <v>36</v>
      </c>
      <c r="N457" s="2">
        <v>5900</v>
      </c>
    </row>
    <row r="458" spans="1:14" x14ac:dyDescent="0.25">
      <c r="A458" t="s">
        <v>109</v>
      </c>
      <c r="B458" t="s">
        <v>110</v>
      </c>
      <c r="C458" t="s">
        <v>16</v>
      </c>
      <c r="D458" t="s">
        <v>205</v>
      </c>
      <c r="E458" t="s">
        <v>17</v>
      </c>
      <c r="F458" t="s">
        <v>18</v>
      </c>
      <c r="G458">
        <v>45</v>
      </c>
      <c r="H458">
        <v>15.5</v>
      </c>
      <c r="I458">
        <v>23</v>
      </c>
      <c r="J458" t="s">
        <v>19</v>
      </c>
      <c r="K458" t="s">
        <v>20</v>
      </c>
      <c r="L458" t="s">
        <v>21</v>
      </c>
      <c r="M458" t="s">
        <v>112</v>
      </c>
      <c r="N458" s="2">
        <v>12000</v>
      </c>
    </row>
    <row r="459" spans="1:14" x14ac:dyDescent="0.25">
      <c r="A459" t="s">
        <v>113</v>
      </c>
      <c r="B459" t="s">
        <v>114</v>
      </c>
      <c r="C459" t="s">
        <v>16</v>
      </c>
      <c r="D459" t="s">
        <v>32</v>
      </c>
      <c r="E459" t="s">
        <v>17</v>
      </c>
      <c r="F459" t="s">
        <v>33</v>
      </c>
      <c r="G459">
        <v>38</v>
      </c>
      <c r="H459">
        <v>12.45</v>
      </c>
      <c r="I459">
        <v>20</v>
      </c>
      <c r="J459" t="s">
        <v>44</v>
      </c>
      <c r="K459" t="s">
        <v>20</v>
      </c>
      <c r="L459" t="s">
        <v>35</v>
      </c>
      <c r="M459" t="s">
        <v>54</v>
      </c>
      <c r="N459" s="2">
        <v>6200</v>
      </c>
    </row>
    <row r="460" spans="1:14" x14ac:dyDescent="0.25">
      <c r="A460" t="s">
        <v>126</v>
      </c>
      <c r="B460" t="s">
        <v>127</v>
      </c>
      <c r="C460" t="s">
        <v>16</v>
      </c>
      <c r="D460" t="s">
        <v>26</v>
      </c>
      <c r="E460" t="s">
        <v>17</v>
      </c>
      <c r="F460" t="s">
        <v>78</v>
      </c>
      <c r="G460">
        <v>42</v>
      </c>
      <c r="H460">
        <v>13.07</v>
      </c>
      <c r="I460">
        <v>20</v>
      </c>
      <c r="J460" t="s">
        <v>19</v>
      </c>
      <c r="K460" t="s">
        <v>20</v>
      </c>
      <c r="L460" t="s">
        <v>35</v>
      </c>
      <c r="M460" t="s">
        <v>22</v>
      </c>
      <c r="N460" s="2">
        <v>6800</v>
      </c>
    </row>
    <row r="461" spans="1:14" x14ac:dyDescent="0.25">
      <c r="A461" t="s">
        <v>79</v>
      </c>
      <c r="B461" t="s">
        <v>182</v>
      </c>
      <c r="C461" t="s">
        <v>172</v>
      </c>
      <c r="D461" t="s">
        <v>32</v>
      </c>
      <c r="E461" t="s">
        <v>49</v>
      </c>
      <c r="F461" t="s">
        <v>39</v>
      </c>
      <c r="G461">
        <v>40</v>
      </c>
      <c r="H461">
        <v>6.79</v>
      </c>
      <c r="I461">
        <v>20</v>
      </c>
      <c r="J461" t="s">
        <v>44</v>
      </c>
      <c r="K461" t="s">
        <v>20</v>
      </c>
      <c r="L461" t="s">
        <v>45</v>
      </c>
      <c r="M461" t="s">
        <v>173</v>
      </c>
      <c r="N461" s="2">
        <v>28000</v>
      </c>
    </row>
    <row r="462" spans="1:14" x14ac:dyDescent="0.25">
      <c r="A462" t="s">
        <v>86</v>
      </c>
      <c r="B462" t="s">
        <v>150</v>
      </c>
      <c r="C462" t="s">
        <v>25</v>
      </c>
      <c r="D462" t="s">
        <v>32</v>
      </c>
      <c r="E462" t="s">
        <v>17</v>
      </c>
      <c r="F462" t="s">
        <v>18</v>
      </c>
      <c r="G462">
        <v>44</v>
      </c>
      <c r="H462">
        <v>16.149999999999999</v>
      </c>
      <c r="I462">
        <v>24</v>
      </c>
      <c r="J462" t="s">
        <v>19</v>
      </c>
      <c r="K462" t="s">
        <v>20</v>
      </c>
      <c r="L462" t="s">
        <v>45</v>
      </c>
      <c r="M462" t="s">
        <v>145</v>
      </c>
      <c r="N462" s="2">
        <v>9500</v>
      </c>
    </row>
    <row r="463" spans="1:14" x14ac:dyDescent="0.25">
      <c r="A463" t="s">
        <v>89</v>
      </c>
      <c r="B463" t="s">
        <v>90</v>
      </c>
      <c r="C463" t="s">
        <v>16</v>
      </c>
      <c r="D463" t="s">
        <v>205</v>
      </c>
      <c r="E463" t="s">
        <v>17</v>
      </c>
      <c r="F463" t="s">
        <v>53</v>
      </c>
      <c r="G463">
        <v>41</v>
      </c>
      <c r="H463">
        <v>11.9</v>
      </c>
      <c r="I463">
        <v>22</v>
      </c>
      <c r="J463" t="s">
        <v>19</v>
      </c>
      <c r="K463" t="s">
        <v>20</v>
      </c>
      <c r="L463" t="s">
        <v>45</v>
      </c>
      <c r="M463" t="s">
        <v>40</v>
      </c>
      <c r="N463" s="2">
        <v>3500</v>
      </c>
    </row>
    <row r="464" spans="1:14" x14ac:dyDescent="0.25">
      <c r="A464" t="s">
        <v>86</v>
      </c>
      <c r="B464" t="s">
        <v>143</v>
      </c>
      <c r="C464" t="s">
        <v>16</v>
      </c>
      <c r="D464" t="s">
        <v>32</v>
      </c>
      <c r="E464" t="s">
        <v>17</v>
      </c>
      <c r="F464" t="s">
        <v>18</v>
      </c>
      <c r="G464">
        <v>42</v>
      </c>
      <c r="H464">
        <v>14.5</v>
      </c>
      <c r="I464">
        <v>22</v>
      </c>
      <c r="J464" t="s">
        <v>19</v>
      </c>
      <c r="K464" t="s">
        <v>20</v>
      </c>
      <c r="L464" t="s">
        <v>21</v>
      </c>
      <c r="M464" t="s">
        <v>54</v>
      </c>
      <c r="N464" s="2">
        <v>7200</v>
      </c>
    </row>
    <row r="465" spans="1:14" x14ac:dyDescent="0.25">
      <c r="A465" t="s">
        <v>93</v>
      </c>
      <c r="B465" t="s">
        <v>107</v>
      </c>
      <c r="C465" t="s">
        <v>16</v>
      </c>
      <c r="D465" t="s">
        <v>32</v>
      </c>
      <c r="E465" t="s">
        <v>17</v>
      </c>
      <c r="F465" t="s">
        <v>39</v>
      </c>
      <c r="G465">
        <v>41</v>
      </c>
      <c r="H465">
        <v>12.3</v>
      </c>
      <c r="I465">
        <v>22</v>
      </c>
      <c r="J465" t="s">
        <v>28</v>
      </c>
      <c r="K465" t="s">
        <v>20</v>
      </c>
      <c r="L465" t="s">
        <v>45</v>
      </c>
      <c r="M465" t="s">
        <v>29</v>
      </c>
      <c r="N465" s="2">
        <v>7900</v>
      </c>
    </row>
    <row r="466" spans="1:14" x14ac:dyDescent="0.25">
      <c r="A466" t="s">
        <v>135</v>
      </c>
      <c r="B466" t="s">
        <v>136</v>
      </c>
      <c r="C466" t="s">
        <v>16</v>
      </c>
      <c r="D466" t="s">
        <v>16</v>
      </c>
      <c r="E466" t="s">
        <v>17</v>
      </c>
      <c r="F466" t="s">
        <v>137</v>
      </c>
      <c r="G466">
        <v>40</v>
      </c>
      <c r="H466">
        <v>8.3000000000000007</v>
      </c>
      <c r="I466">
        <v>22</v>
      </c>
      <c r="J466" t="s">
        <v>28</v>
      </c>
      <c r="K466" t="s">
        <v>20</v>
      </c>
      <c r="L466" t="s">
        <v>21</v>
      </c>
      <c r="M466" t="s">
        <v>50</v>
      </c>
      <c r="N466" s="2">
        <v>36000</v>
      </c>
    </row>
    <row r="467" spans="1:14" x14ac:dyDescent="0.25">
      <c r="A467" t="s">
        <v>76</v>
      </c>
      <c r="B467" t="s">
        <v>77</v>
      </c>
      <c r="C467" t="s">
        <v>16</v>
      </c>
      <c r="D467" t="s">
        <v>16</v>
      </c>
      <c r="E467" t="s">
        <v>17</v>
      </c>
      <c r="F467" t="s">
        <v>78</v>
      </c>
      <c r="G467">
        <v>41</v>
      </c>
      <c r="H467">
        <v>10.4</v>
      </c>
      <c r="I467">
        <v>20</v>
      </c>
      <c r="J467" t="s">
        <v>28</v>
      </c>
      <c r="K467" t="s">
        <v>20</v>
      </c>
      <c r="L467" t="s">
        <v>21</v>
      </c>
      <c r="M467" t="s">
        <v>29</v>
      </c>
      <c r="N467" s="2">
        <v>28500</v>
      </c>
    </row>
    <row r="468" spans="1:14" x14ac:dyDescent="0.25">
      <c r="A468" t="s">
        <v>109</v>
      </c>
      <c r="B468" t="s">
        <v>110</v>
      </c>
      <c r="C468" t="s">
        <v>16</v>
      </c>
      <c r="D468" t="s">
        <v>111</v>
      </c>
      <c r="E468" t="s">
        <v>17</v>
      </c>
      <c r="F468" t="s">
        <v>18</v>
      </c>
      <c r="G468">
        <v>45</v>
      </c>
      <c r="H468">
        <v>15.4</v>
      </c>
      <c r="I468">
        <v>23</v>
      </c>
      <c r="J468" t="s">
        <v>19</v>
      </c>
      <c r="K468" t="s">
        <v>20</v>
      </c>
      <c r="L468" t="s">
        <v>21</v>
      </c>
      <c r="M468" t="s">
        <v>112</v>
      </c>
      <c r="N468" s="2">
        <v>15000</v>
      </c>
    </row>
    <row r="469" spans="1:14" x14ac:dyDescent="0.25">
      <c r="A469" t="s">
        <v>72</v>
      </c>
      <c r="B469" t="s">
        <v>73</v>
      </c>
      <c r="C469" t="s">
        <v>235</v>
      </c>
      <c r="D469" t="s">
        <v>32</v>
      </c>
      <c r="E469" t="s">
        <v>17</v>
      </c>
      <c r="F469" t="s">
        <v>39</v>
      </c>
      <c r="G469">
        <v>39</v>
      </c>
      <c r="H469">
        <v>10.199999999999999</v>
      </c>
      <c r="I469">
        <v>20</v>
      </c>
      <c r="J469" t="s">
        <v>44</v>
      </c>
      <c r="K469" t="s">
        <v>20</v>
      </c>
      <c r="L469" t="s">
        <v>21</v>
      </c>
      <c r="M469" t="s">
        <v>58</v>
      </c>
      <c r="N469" s="2">
        <v>26000</v>
      </c>
    </row>
    <row r="470" spans="1:14" x14ac:dyDescent="0.25">
      <c r="A470" t="s">
        <v>113</v>
      </c>
      <c r="B470" t="s">
        <v>138</v>
      </c>
      <c r="C470" t="s">
        <v>16</v>
      </c>
      <c r="D470" t="s">
        <v>32</v>
      </c>
      <c r="E470" t="s">
        <v>17</v>
      </c>
      <c r="F470" t="s">
        <v>78</v>
      </c>
      <c r="G470">
        <v>42</v>
      </c>
      <c r="H470">
        <v>13.5</v>
      </c>
      <c r="I470">
        <v>22</v>
      </c>
      <c r="J470" t="s">
        <v>28</v>
      </c>
      <c r="K470" t="s">
        <v>20</v>
      </c>
      <c r="L470" t="s">
        <v>35</v>
      </c>
      <c r="M470" t="s">
        <v>54</v>
      </c>
      <c r="N470" s="2">
        <v>6500</v>
      </c>
    </row>
    <row r="471" spans="1:14" x14ac:dyDescent="0.25">
      <c r="A471" t="s">
        <v>128</v>
      </c>
      <c r="B471" t="s">
        <v>129</v>
      </c>
      <c r="C471" t="s">
        <v>16</v>
      </c>
      <c r="D471" t="s">
        <v>16</v>
      </c>
      <c r="E471" t="s">
        <v>17</v>
      </c>
      <c r="F471" t="s">
        <v>33</v>
      </c>
      <c r="G471">
        <v>38</v>
      </c>
      <c r="H471">
        <v>10.88</v>
      </c>
      <c r="I471">
        <v>20</v>
      </c>
      <c r="J471" t="s">
        <v>28</v>
      </c>
      <c r="K471" t="s">
        <v>20</v>
      </c>
      <c r="L471" t="s">
        <v>21</v>
      </c>
      <c r="M471" t="s">
        <v>130</v>
      </c>
      <c r="N471" s="2">
        <v>12000</v>
      </c>
    </row>
    <row r="472" spans="1:14" x14ac:dyDescent="0.25">
      <c r="A472" t="s">
        <v>133</v>
      </c>
      <c r="B472" t="s">
        <v>174</v>
      </c>
      <c r="C472" t="s">
        <v>25</v>
      </c>
      <c r="D472" t="s">
        <v>26</v>
      </c>
      <c r="E472" t="s">
        <v>17</v>
      </c>
      <c r="F472" t="s">
        <v>33</v>
      </c>
      <c r="G472">
        <v>44</v>
      </c>
      <c r="H472">
        <v>14.5</v>
      </c>
      <c r="I472">
        <v>24</v>
      </c>
      <c r="J472" t="s">
        <v>19</v>
      </c>
      <c r="K472" t="s">
        <v>20</v>
      </c>
      <c r="L472" t="s">
        <v>35</v>
      </c>
      <c r="M472" t="s">
        <v>145</v>
      </c>
      <c r="N472" s="2">
        <v>18500</v>
      </c>
    </row>
    <row r="473" spans="1:14" x14ac:dyDescent="0.25">
      <c r="A473" t="s">
        <v>120</v>
      </c>
      <c r="B473" t="s">
        <v>121</v>
      </c>
      <c r="C473" t="s">
        <v>16</v>
      </c>
      <c r="D473" t="s">
        <v>32</v>
      </c>
      <c r="E473" t="s">
        <v>17</v>
      </c>
      <c r="F473" t="s">
        <v>39</v>
      </c>
      <c r="G473">
        <v>43</v>
      </c>
      <c r="H473">
        <v>11.48</v>
      </c>
      <c r="I473">
        <v>23</v>
      </c>
      <c r="J473" t="s">
        <v>19</v>
      </c>
      <c r="K473" t="s">
        <v>20</v>
      </c>
      <c r="L473" t="s">
        <v>45</v>
      </c>
      <c r="M473" t="s">
        <v>122</v>
      </c>
      <c r="N473" s="2">
        <v>9500</v>
      </c>
    </row>
    <row r="474" spans="1:14" x14ac:dyDescent="0.25">
      <c r="A474" t="s">
        <v>99</v>
      </c>
      <c r="B474" t="s">
        <v>231</v>
      </c>
      <c r="C474" t="s">
        <v>16</v>
      </c>
      <c r="D474" t="s">
        <v>32</v>
      </c>
      <c r="E474" t="s">
        <v>17</v>
      </c>
      <c r="F474" t="s">
        <v>78</v>
      </c>
      <c r="G474">
        <v>39</v>
      </c>
      <c r="H474">
        <v>9.9</v>
      </c>
      <c r="I474">
        <v>19</v>
      </c>
      <c r="J474" t="s">
        <v>44</v>
      </c>
      <c r="K474" t="s">
        <v>20</v>
      </c>
      <c r="L474" t="s">
        <v>21</v>
      </c>
      <c r="M474" t="s">
        <v>36</v>
      </c>
      <c r="N474" s="2">
        <v>3500</v>
      </c>
    </row>
    <row r="475" spans="1:14" x14ac:dyDescent="0.25">
      <c r="A475" t="s">
        <v>14</v>
      </c>
      <c r="B475" t="s">
        <v>91</v>
      </c>
      <c r="C475" t="s">
        <v>16</v>
      </c>
      <c r="D475" t="s">
        <v>16</v>
      </c>
      <c r="E475" t="s">
        <v>17</v>
      </c>
      <c r="F475" t="s">
        <v>33</v>
      </c>
      <c r="G475">
        <v>40</v>
      </c>
      <c r="H475">
        <v>12.5</v>
      </c>
      <c r="I475">
        <v>20</v>
      </c>
      <c r="J475" t="s">
        <v>19</v>
      </c>
      <c r="K475" t="s">
        <v>20</v>
      </c>
      <c r="L475" t="s">
        <v>185</v>
      </c>
      <c r="M475" t="s">
        <v>40</v>
      </c>
      <c r="N475" s="2">
        <v>9900</v>
      </c>
    </row>
    <row r="476" spans="1:14" x14ac:dyDescent="0.25">
      <c r="A476" t="s">
        <v>23</v>
      </c>
      <c r="B476" t="s">
        <v>82</v>
      </c>
      <c r="C476" t="s">
        <v>16</v>
      </c>
      <c r="D476" t="s">
        <v>16</v>
      </c>
      <c r="E476" t="s">
        <v>49</v>
      </c>
      <c r="F476" t="s">
        <v>78</v>
      </c>
      <c r="G476">
        <v>42</v>
      </c>
      <c r="H476">
        <v>14.3</v>
      </c>
      <c r="I476">
        <v>20</v>
      </c>
      <c r="J476" t="s">
        <v>19</v>
      </c>
      <c r="K476" t="s">
        <v>106</v>
      </c>
      <c r="L476" t="s">
        <v>35</v>
      </c>
      <c r="M476" t="s">
        <v>22</v>
      </c>
      <c r="N476" s="2">
        <v>4300</v>
      </c>
    </row>
    <row r="477" spans="1:14" x14ac:dyDescent="0.25">
      <c r="A477" t="s">
        <v>93</v>
      </c>
      <c r="B477" t="s">
        <v>107</v>
      </c>
      <c r="C477" t="s">
        <v>16</v>
      </c>
      <c r="D477" t="s">
        <v>32</v>
      </c>
      <c r="E477" t="s">
        <v>17</v>
      </c>
      <c r="F477" t="s">
        <v>39</v>
      </c>
      <c r="G477">
        <v>40.4</v>
      </c>
      <c r="H477">
        <v>12.3</v>
      </c>
      <c r="I477">
        <v>20</v>
      </c>
      <c r="J477" t="s">
        <v>34</v>
      </c>
      <c r="K477" t="s">
        <v>20</v>
      </c>
      <c r="L477" t="s">
        <v>45</v>
      </c>
      <c r="M477" t="s">
        <v>29</v>
      </c>
      <c r="N477" s="2">
        <v>7500</v>
      </c>
    </row>
    <row r="478" spans="1:14" x14ac:dyDescent="0.25">
      <c r="A478" t="s">
        <v>133</v>
      </c>
      <c r="B478" t="s">
        <v>174</v>
      </c>
      <c r="C478" t="s">
        <v>98</v>
      </c>
      <c r="D478" t="s">
        <v>26</v>
      </c>
      <c r="E478" t="s">
        <v>17</v>
      </c>
      <c r="F478" t="s">
        <v>33</v>
      </c>
      <c r="G478">
        <v>44</v>
      </c>
      <c r="H478">
        <v>14.5</v>
      </c>
      <c r="I478">
        <v>24</v>
      </c>
      <c r="J478" t="s">
        <v>19</v>
      </c>
      <c r="K478" t="s">
        <v>20</v>
      </c>
      <c r="L478" t="s">
        <v>35</v>
      </c>
      <c r="M478" t="s">
        <v>145</v>
      </c>
      <c r="N478" s="2">
        <v>15500</v>
      </c>
    </row>
    <row r="479" spans="1:14" x14ac:dyDescent="0.25">
      <c r="A479" t="s">
        <v>86</v>
      </c>
      <c r="B479" t="s">
        <v>143</v>
      </c>
      <c r="C479" t="s">
        <v>16</v>
      </c>
      <c r="D479" t="s">
        <v>32</v>
      </c>
      <c r="E479" t="s">
        <v>49</v>
      </c>
      <c r="F479" t="s">
        <v>18</v>
      </c>
      <c r="G479">
        <v>44</v>
      </c>
      <c r="H479">
        <v>13.05</v>
      </c>
      <c r="I479">
        <v>24</v>
      </c>
      <c r="J479" t="s">
        <v>19</v>
      </c>
      <c r="K479" t="s">
        <v>20</v>
      </c>
      <c r="L479" t="s">
        <v>45</v>
      </c>
      <c r="M479" t="s">
        <v>88</v>
      </c>
      <c r="N479" s="2">
        <v>5200</v>
      </c>
    </row>
    <row r="480" spans="1:14" x14ac:dyDescent="0.25">
      <c r="A480" t="s">
        <v>135</v>
      </c>
      <c r="B480" t="s">
        <v>187</v>
      </c>
      <c r="C480" t="s">
        <v>172</v>
      </c>
      <c r="D480" t="s">
        <v>32</v>
      </c>
      <c r="E480" t="s">
        <v>17</v>
      </c>
      <c r="F480" t="s">
        <v>39</v>
      </c>
      <c r="G480">
        <v>37</v>
      </c>
      <c r="H480">
        <v>8.5</v>
      </c>
      <c r="I480">
        <v>18</v>
      </c>
      <c r="J480" t="s">
        <v>34</v>
      </c>
      <c r="K480" t="s">
        <v>20</v>
      </c>
      <c r="L480" t="s">
        <v>21</v>
      </c>
      <c r="M480" t="s">
        <v>50</v>
      </c>
      <c r="N480" s="2">
        <v>25000</v>
      </c>
    </row>
    <row r="481" spans="1:14" x14ac:dyDescent="0.25">
      <c r="A481" t="s">
        <v>76</v>
      </c>
      <c r="B481" t="s">
        <v>77</v>
      </c>
      <c r="C481" t="s">
        <v>16</v>
      </c>
      <c r="D481" t="s">
        <v>16</v>
      </c>
      <c r="E481" t="s">
        <v>17</v>
      </c>
      <c r="F481" t="s">
        <v>78</v>
      </c>
      <c r="G481">
        <v>41</v>
      </c>
      <c r="H481">
        <v>10.4</v>
      </c>
      <c r="I481">
        <v>20</v>
      </c>
      <c r="J481" t="s">
        <v>28</v>
      </c>
      <c r="K481" t="s">
        <v>20</v>
      </c>
      <c r="L481" t="s">
        <v>21</v>
      </c>
      <c r="M481" t="s">
        <v>29</v>
      </c>
      <c r="N481" s="2">
        <v>19500</v>
      </c>
    </row>
    <row r="482" spans="1:14" x14ac:dyDescent="0.25">
      <c r="A482" t="s">
        <v>79</v>
      </c>
      <c r="B482" t="s">
        <v>182</v>
      </c>
      <c r="C482" t="s">
        <v>168</v>
      </c>
      <c r="D482" t="s">
        <v>32</v>
      </c>
      <c r="E482" t="s">
        <v>17</v>
      </c>
      <c r="F482" t="s">
        <v>39</v>
      </c>
      <c r="G482">
        <v>40</v>
      </c>
      <c r="H482">
        <v>6.79</v>
      </c>
      <c r="I482">
        <v>20</v>
      </c>
      <c r="J482" t="s">
        <v>34</v>
      </c>
      <c r="K482" t="s">
        <v>20</v>
      </c>
      <c r="L482" t="s">
        <v>45</v>
      </c>
      <c r="M482" t="s">
        <v>75</v>
      </c>
      <c r="N482" s="2">
        <v>15000</v>
      </c>
    </row>
    <row r="483" spans="1:14" x14ac:dyDescent="0.25">
      <c r="A483" t="s">
        <v>109</v>
      </c>
      <c r="B483" t="s">
        <v>110</v>
      </c>
      <c r="C483" t="s">
        <v>25</v>
      </c>
      <c r="D483" t="s">
        <v>140</v>
      </c>
      <c r="E483" t="s">
        <v>17</v>
      </c>
      <c r="F483" t="s">
        <v>18</v>
      </c>
      <c r="G483">
        <v>45</v>
      </c>
      <c r="H483">
        <v>15.4</v>
      </c>
      <c r="I483">
        <v>23</v>
      </c>
      <c r="J483" t="s">
        <v>19</v>
      </c>
      <c r="K483" t="s">
        <v>20</v>
      </c>
      <c r="L483" t="s">
        <v>45</v>
      </c>
      <c r="M483" t="s">
        <v>112</v>
      </c>
      <c r="N483" s="2">
        <v>14000</v>
      </c>
    </row>
    <row r="484" spans="1:14" x14ac:dyDescent="0.25">
      <c r="A484" t="s">
        <v>128</v>
      </c>
      <c r="B484" t="s">
        <v>129</v>
      </c>
      <c r="C484" t="s">
        <v>16</v>
      </c>
      <c r="D484" t="s">
        <v>16</v>
      </c>
      <c r="E484" t="s">
        <v>17</v>
      </c>
      <c r="F484" t="s">
        <v>33</v>
      </c>
      <c r="G484">
        <v>42</v>
      </c>
      <c r="H484">
        <v>10.88</v>
      </c>
      <c r="I484">
        <v>25</v>
      </c>
      <c r="J484" t="s">
        <v>28</v>
      </c>
      <c r="K484" t="s">
        <v>20</v>
      </c>
      <c r="L484" t="s">
        <v>45</v>
      </c>
      <c r="M484" t="s">
        <v>130</v>
      </c>
      <c r="N484" s="2">
        <v>7500</v>
      </c>
    </row>
    <row r="485" spans="1:14" x14ac:dyDescent="0.25">
      <c r="A485" t="s">
        <v>120</v>
      </c>
      <c r="B485" t="s">
        <v>121</v>
      </c>
      <c r="C485" t="s">
        <v>16</v>
      </c>
      <c r="D485" t="s">
        <v>32</v>
      </c>
      <c r="E485" t="s">
        <v>17</v>
      </c>
      <c r="F485" t="s">
        <v>39</v>
      </c>
      <c r="G485">
        <v>43</v>
      </c>
      <c r="H485">
        <v>11.48</v>
      </c>
      <c r="I485">
        <v>22</v>
      </c>
      <c r="J485" t="s">
        <v>34</v>
      </c>
      <c r="K485" t="s">
        <v>20</v>
      </c>
      <c r="L485" t="s">
        <v>45</v>
      </c>
      <c r="M485" t="s">
        <v>122</v>
      </c>
      <c r="N485" s="2">
        <v>8500</v>
      </c>
    </row>
    <row r="486" spans="1:14" x14ac:dyDescent="0.25">
      <c r="A486" t="s">
        <v>14</v>
      </c>
      <c r="B486" t="s">
        <v>103</v>
      </c>
      <c r="C486" t="s">
        <v>16</v>
      </c>
      <c r="D486" t="s">
        <v>209</v>
      </c>
      <c r="E486" t="s">
        <v>17</v>
      </c>
      <c r="F486" t="s">
        <v>33</v>
      </c>
      <c r="G486">
        <v>36</v>
      </c>
      <c r="H486">
        <v>12</v>
      </c>
      <c r="I486">
        <v>20</v>
      </c>
      <c r="J486" t="s">
        <v>28</v>
      </c>
      <c r="K486" t="s">
        <v>20</v>
      </c>
      <c r="L486" t="s">
        <v>21</v>
      </c>
      <c r="M486" t="s">
        <v>40</v>
      </c>
      <c r="N486" s="2">
        <v>7650</v>
      </c>
    </row>
    <row r="487" spans="1:14" x14ac:dyDescent="0.25">
      <c r="A487" t="s">
        <v>23</v>
      </c>
      <c r="B487" t="s">
        <v>82</v>
      </c>
      <c r="C487" t="s">
        <v>16</v>
      </c>
      <c r="D487" t="s">
        <v>16</v>
      </c>
      <c r="E487" t="s">
        <v>49</v>
      </c>
      <c r="F487" t="s">
        <v>78</v>
      </c>
      <c r="G487">
        <v>42</v>
      </c>
      <c r="H487">
        <v>14.3</v>
      </c>
      <c r="I487">
        <v>20</v>
      </c>
      <c r="J487" t="s">
        <v>19</v>
      </c>
      <c r="K487" t="s">
        <v>106</v>
      </c>
      <c r="L487" t="s">
        <v>35</v>
      </c>
      <c r="M487" t="s">
        <v>22</v>
      </c>
      <c r="N487" s="2">
        <v>5200</v>
      </c>
    </row>
    <row r="488" spans="1:14" x14ac:dyDescent="0.25">
      <c r="A488" t="s">
        <v>135</v>
      </c>
      <c r="B488" t="s">
        <v>136</v>
      </c>
      <c r="C488" t="s">
        <v>16</v>
      </c>
      <c r="D488" t="s">
        <v>16</v>
      </c>
      <c r="E488" t="s">
        <v>17</v>
      </c>
      <c r="F488" t="s">
        <v>137</v>
      </c>
      <c r="G488">
        <v>40.5</v>
      </c>
      <c r="H488">
        <v>8.3000000000000007</v>
      </c>
      <c r="I488">
        <v>20</v>
      </c>
      <c r="J488" t="s">
        <v>28</v>
      </c>
      <c r="K488" t="s">
        <v>20</v>
      </c>
      <c r="L488" t="s">
        <v>148</v>
      </c>
      <c r="M488" t="s">
        <v>181</v>
      </c>
      <c r="N488" s="2">
        <v>67000</v>
      </c>
    </row>
    <row r="489" spans="1:14" x14ac:dyDescent="0.25">
      <c r="A489" t="s">
        <v>76</v>
      </c>
      <c r="B489" t="s">
        <v>77</v>
      </c>
      <c r="C489" t="s">
        <v>16</v>
      </c>
      <c r="D489" t="s">
        <v>16</v>
      </c>
      <c r="E489" t="s">
        <v>17</v>
      </c>
      <c r="F489" t="s">
        <v>78</v>
      </c>
      <c r="G489">
        <v>41</v>
      </c>
      <c r="H489">
        <v>9.8000000000000007</v>
      </c>
      <c r="I489">
        <v>20</v>
      </c>
      <c r="J489" t="s">
        <v>28</v>
      </c>
      <c r="K489" t="s">
        <v>20</v>
      </c>
      <c r="L489" t="s">
        <v>169</v>
      </c>
      <c r="M489" t="s">
        <v>29</v>
      </c>
      <c r="N489" s="2">
        <v>25000</v>
      </c>
    </row>
    <row r="490" spans="1:14" x14ac:dyDescent="0.25">
      <c r="A490" t="s">
        <v>41</v>
      </c>
      <c r="B490" t="s">
        <v>186</v>
      </c>
      <c r="C490" t="s">
        <v>16</v>
      </c>
      <c r="D490" t="s">
        <v>16</v>
      </c>
      <c r="E490" t="s">
        <v>17</v>
      </c>
      <c r="F490" t="s">
        <v>39</v>
      </c>
      <c r="G490">
        <v>36.6</v>
      </c>
      <c r="H490">
        <v>12.05</v>
      </c>
      <c r="I490">
        <v>18</v>
      </c>
      <c r="J490" t="s">
        <v>44</v>
      </c>
      <c r="K490" t="s">
        <v>20</v>
      </c>
      <c r="L490" t="s">
        <v>21</v>
      </c>
      <c r="M490" t="s">
        <v>36</v>
      </c>
      <c r="N490" s="2">
        <v>4700</v>
      </c>
    </row>
    <row r="491" spans="1:14" x14ac:dyDescent="0.25">
      <c r="A491" t="s">
        <v>93</v>
      </c>
      <c r="B491" t="s">
        <v>107</v>
      </c>
      <c r="C491" t="s">
        <v>16</v>
      </c>
      <c r="D491" t="s">
        <v>32</v>
      </c>
      <c r="E491" t="s">
        <v>17</v>
      </c>
      <c r="F491" t="s">
        <v>39</v>
      </c>
      <c r="G491">
        <v>42.3</v>
      </c>
      <c r="H491">
        <v>14.2</v>
      </c>
      <c r="I491">
        <v>22</v>
      </c>
      <c r="J491" t="s">
        <v>28</v>
      </c>
      <c r="K491" t="s">
        <v>20</v>
      </c>
      <c r="L491" t="s">
        <v>45</v>
      </c>
      <c r="M491" t="s">
        <v>29</v>
      </c>
      <c r="N491" s="2">
        <v>9100</v>
      </c>
    </row>
    <row r="492" spans="1:14" x14ac:dyDescent="0.25">
      <c r="A492" t="s">
        <v>47</v>
      </c>
      <c r="B492" t="s">
        <v>160</v>
      </c>
      <c r="C492" t="s">
        <v>16</v>
      </c>
      <c r="D492" t="s">
        <v>32</v>
      </c>
      <c r="E492" t="s">
        <v>17</v>
      </c>
      <c r="F492" t="s">
        <v>78</v>
      </c>
      <c r="G492">
        <v>39</v>
      </c>
      <c r="H492">
        <v>8.5</v>
      </c>
      <c r="I492">
        <v>20</v>
      </c>
      <c r="J492" t="s">
        <v>44</v>
      </c>
      <c r="K492" t="s">
        <v>20</v>
      </c>
      <c r="L492" t="s">
        <v>232</v>
      </c>
      <c r="M492" t="s">
        <v>40</v>
      </c>
      <c r="N492" s="2">
        <v>8200</v>
      </c>
    </row>
    <row r="493" spans="1:14" x14ac:dyDescent="0.25">
      <c r="A493" t="s">
        <v>109</v>
      </c>
      <c r="B493" t="s">
        <v>110</v>
      </c>
      <c r="C493" t="s">
        <v>16</v>
      </c>
      <c r="D493" t="s">
        <v>111</v>
      </c>
      <c r="E493" t="s">
        <v>17</v>
      </c>
      <c r="F493" t="s">
        <v>18</v>
      </c>
      <c r="G493">
        <v>45</v>
      </c>
      <c r="H493">
        <v>15.5</v>
      </c>
      <c r="I493">
        <v>23</v>
      </c>
      <c r="J493" t="s">
        <v>19</v>
      </c>
      <c r="K493" t="s">
        <v>20</v>
      </c>
      <c r="L493" t="s">
        <v>21</v>
      </c>
      <c r="M493" t="s">
        <v>112</v>
      </c>
      <c r="N493" s="2">
        <v>12500</v>
      </c>
    </row>
    <row r="494" spans="1:14" x14ac:dyDescent="0.25">
      <c r="A494" t="s">
        <v>72</v>
      </c>
      <c r="B494" t="s">
        <v>73</v>
      </c>
      <c r="C494" t="s">
        <v>115</v>
      </c>
      <c r="D494" t="s">
        <v>32</v>
      </c>
      <c r="E494" t="s">
        <v>17</v>
      </c>
      <c r="F494" t="s">
        <v>39</v>
      </c>
      <c r="G494">
        <v>39</v>
      </c>
      <c r="H494">
        <v>9.9</v>
      </c>
      <c r="I494">
        <v>22</v>
      </c>
      <c r="J494" t="s">
        <v>34</v>
      </c>
      <c r="K494" t="s">
        <v>20</v>
      </c>
      <c r="L494" t="s">
        <v>232</v>
      </c>
      <c r="M494" t="s">
        <v>173</v>
      </c>
      <c r="N494" s="2">
        <v>27900</v>
      </c>
    </row>
    <row r="495" spans="1:14" x14ac:dyDescent="0.25">
      <c r="A495" t="s">
        <v>126</v>
      </c>
      <c r="B495" t="s">
        <v>127</v>
      </c>
      <c r="C495" t="s">
        <v>16</v>
      </c>
      <c r="D495" t="s">
        <v>26</v>
      </c>
      <c r="E495" t="s">
        <v>17</v>
      </c>
      <c r="F495" t="s">
        <v>78</v>
      </c>
      <c r="G495">
        <v>42</v>
      </c>
      <c r="H495">
        <v>12.67</v>
      </c>
      <c r="I495">
        <v>20</v>
      </c>
      <c r="J495" t="s">
        <v>19</v>
      </c>
      <c r="K495" t="s">
        <v>20</v>
      </c>
      <c r="L495" t="s">
        <v>141</v>
      </c>
      <c r="M495" t="s">
        <v>36</v>
      </c>
      <c r="N495" s="2">
        <v>6500</v>
      </c>
    </row>
    <row r="496" spans="1:14" x14ac:dyDescent="0.25">
      <c r="A496" t="s">
        <v>51</v>
      </c>
      <c r="B496" t="s">
        <v>52</v>
      </c>
      <c r="C496" t="s">
        <v>16</v>
      </c>
      <c r="D496" t="s">
        <v>154</v>
      </c>
      <c r="E496" t="s">
        <v>17</v>
      </c>
      <c r="F496" t="s">
        <v>53</v>
      </c>
      <c r="G496">
        <v>44.3</v>
      </c>
      <c r="H496">
        <v>13.1</v>
      </c>
      <c r="I496">
        <v>22</v>
      </c>
      <c r="J496" t="s">
        <v>19</v>
      </c>
      <c r="K496" t="s">
        <v>155</v>
      </c>
      <c r="L496" t="s">
        <v>68</v>
      </c>
      <c r="M496" t="s">
        <v>54</v>
      </c>
      <c r="N496" s="2">
        <v>1200</v>
      </c>
    </row>
    <row r="497" spans="1:14" x14ac:dyDescent="0.25">
      <c r="A497" t="s">
        <v>89</v>
      </c>
      <c r="B497" t="s">
        <v>90</v>
      </c>
      <c r="C497" t="s">
        <v>16</v>
      </c>
      <c r="D497" t="s">
        <v>32</v>
      </c>
      <c r="E497" t="s">
        <v>17</v>
      </c>
      <c r="F497" t="s">
        <v>53</v>
      </c>
      <c r="G497">
        <v>41</v>
      </c>
      <c r="H497">
        <v>14.75</v>
      </c>
      <c r="I497">
        <v>22</v>
      </c>
      <c r="J497" t="s">
        <v>19</v>
      </c>
      <c r="K497" t="s">
        <v>20</v>
      </c>
      <c r="L497" t="s">
        <v>45</v>
      </c>
      <c r="M497" t="s">
        <v>40</v>
      </c>
      <c r="N497" s="2">
        <v>3800</v>
      </c>
    </row>
    <row r="498" spans="1:14" x14ac:dyDescent="0.25">
      <c r="A498" t="s">
        <v>93</v>
      </c>
      <c r="B498" t="s">
        <v>94</v>
      </c>
      <c r="C498" t="s">
        <v>16</v>
      </c>
      <c r="D498" t="s">
        <v>32</v>
      </c>
      <c r="E498" t="s">
        <v>17</v>
      </c>
      <c r="F498" t="s">
        <v>95</v>
      </c>
      <c r="G498">
        <v>39</v>
      </c>
      <c r="H498">
        <v>10.86</v>
      </c>
      <c r="I498">
        <v>20</v>
      </c>
      <c r="J498" t="s">
        <v>19</v>
      </c>
      <c r="K498" t="s">
        <v>20</v>
      </c>
      <c r="L498" t="s">
        <v>21</v>
      </c>
      <c r="M498" t="s">
        <v>36</v>
      </c>
      <c r="N498" s="2">
        <v>4500</v>
      </c>
    </row>
    <row r="499" spans="1:14" x14ac:dyDescent="0.25">
      <c r="A499" t="s">
        <v>86</v>
      </c>
      <c r="B499" t="s">
        <v>143</v>
      </c>
      <c r="C499" t="s">
        <v>25</v>
      </c>
      <c r="D499" t="s">
        <v>26</v>
      </c>
      <c r="E499" t="s">
        <v>17</v>
      </c>
      <c r="F499" t="s">
        <v>18</v>
      </c>
      <c r="G499">
        <v>44</v>
      </c>
      <c r="H499">
        <v>15.65</v>
      </c>
      <c r="I499">
        <v>24</v>
      </c>
      <c r="J499" t="s">
        <v>19</v>
      </c>
      <c r="K499" t="s">
        <v>20</v>
      </c>
      <c r="L499" t="s">
        <v>45</v>
      </c>
      <c r="M499" t="s">
        <v>145</v>
      </c>
      <c r="N499" s="2">
        <v>9500</v>
      </c>
    </row>
    <row r="500" spans="1:14" x14ac:dyDescent="0.25">
      <c r="A500" t="s">
        <v>135</v>
      </c>
      <c r="B500" t="s">
        <v>136</v>
      </c>
      <c r="C500" t="s">
        <v>16</v>
      </c>
      <c r="D500" t="s">
        <v>16</v>
      </c>
      <c r="E500" t="s">
        <v>17</v>
      </c>
      <c r="F500" t="s">
        <v>137</v>
      </c>
      <c r="G500">
        <v>40.5</v>
      </c>
      <c r="H500">
        <v>8.3000000000000007</v>
      </c>
      <c r="I500">
        <v>20</v>
      </c>
      <c r="J500" t="s">
        <v>28</v>
      </c>
      <c r="K500" t="s">
        <v>20</v>
      </c>
      <c r="L500" t="s">
        <v>21</v>
      </c>
      <c r="M500" t="s">
        <v>50</v>
      </c>
      <c r="N500" s="2">
        <v>35000</v>
      </c>
    </row>
    <row r="501" spans="1:14" x14ac:dyDescent="0.25">
      <c r="A501" t="s">
        <v>76</v>
      </c>
      <c r="B501" t="s">
        <v>77</v>
      </c>
      <c r="C501" t="s">
        <v>16</v>
      </c>
      <c r="D501" t="s">
        <v>16</v>
      </c>
      <c r="E501" t="s">
        <v>17</v>
      </c>
      <c r="F501" t="s">
        <v>78</v>
      </c>
      <c r="G501">
        <v>41</v>
      </c>
      <c r="H501">
        <v>10.4</v>
      </c>
      <c r="I501">
        <v>20</v>
      </c>
      <c r="J501" t="s">
        <v>19</v>
      </c>
      <c r="K501" t="s">
        <v>20</v>
      </c>
      <c r="L501" t="s">
        <v>21</v>
      </c>
      <c r="M501" t="s">
        <v>29</v>
      </c>
      <c r="N501" s="2">
        <v>24000</v>
      </c>
    </row>
    <row r="502" spans="1:14" x14ac:dyDescent="0.25">
      <c r="A502" t="s">
        <v>72</v>
      </c>
      <c r="B502" t="s">
        <v>73</v>
      </c>
      <c r="C502" t="s">
        <v>189</v>
      </c>
      <c r="D502" t="s">
        <v>32</v>
      </c>
      <c r="E502" t="s">
        <v>17</v>
      </c>
      <c r="F502" t="s">
        <v>39</v>
      </c>
      <c r="G502">
        <v>38.5</v>
      </c>
      <c r="H502">
        <v>8.25</v>
      </c>
      <c r="I502">
        <v>20</v>
      </c>
      <c r="J502" t="s">
        <v>34</v>
      </c>
      <c r="K502" t="s">
        <v>20</v>
      </c>
      <c r="L502" t="s">
        <v>21</v>
      </c>
      <c r="M502" t="s">
        <v>58</v>
      </c>
      <c r="N502" s="2">
        <v>21500</v>
      </c>
    </row>
    <row r="503" spans="1:14" x14ac:dyDescent="0.25">
      <c r="A503" t="s">
        <v>109</v>
      </c>
      <c r="B503" t="s">
        <v>110</v>
      </c>
      <c r="C503" t="s">
        <v>16</v>
      </c>
      <c r="D503" t="s">
        <v>140</v>
      </c>
      <c r="E503" t="s">
        <v>17</v>
      </c>
      <c r="F503" t="s">
        <v>18</v>
      </c>
      <c r="G503">
        <v>45</v>
      </c>
      <c r="H503">
        <v>15.5</v>
      </c>
      <c r="I503">
        <v>23</v>
      </c>
      <c r="J503" t="s">
        <v>19</v>
      </c>
      <c r="K503" t="s">
        <v>20</v>
      </c>
      <c r="L503" t="s">
        <v>21</v>
      </c>
      <c r="M503" t="s">
        <v>112</v>
      </c>
      <c r="N503" s="2">
        <v>13500</v>
      </c>
    </row>
    <row r="504" spans="1:14" x14ac:dyDescent="0.25">
      <c r="A504" t="s">
        <v>62</v>
      </c>
      <c r="B504" t="s">
        <v>63</v>
      </c>
      <c r="C504" t="s">
        <v>16</v>
      </c>
      <c r="D504" t="s">
        <v>32</v>
      </c>
      <c r="E504" t="s">
        <v>17</v>
      </c>
      <c r="F504" t="s">
        <v>39</v>
      </c>
      <c r="G504">
        <v>38.5</v>
      </c>
      <c r="H504">
        <v>9.6999999999999993</v>
      </c>
      <c r="I504">
        <v>20</v>
      </c>
      <c r="J504" t="s">
        <v>28</v>
      </c>
      <c r="K504" t="s">
        <v>20</v>
      </c>
      <c r="L504" t="s">
        <v>21</v>
      </c>
      <c r="M504" t="s">
        <v>64</v>
      </c>
      <c r="N504" s="2">
        <v>1800</v>
      </c>
    </row>
    <row r="505" spans="1:14" x14ac:dyDescent="0.25">
      <c r="A505" t="s">
        <v>79</v>
      </c>
      <c r="B505" t="s">
        <v>80</v>
      </c>
      <c r="C505" t="s">
        <v>16</v>
      </c>
      <c r="D505" t="s">
        <v>16</v>
      </c>
      <c r="E505" t="s">
        <v>17</v>
      </c>
      <c r="F505" t="s">
        <v>81</v>
      </c>
      <c r="G505">
        <v>41.5</v>
      </c>
      <c r="H505">
        <v>11</v>
      </c>
      <c r="I505">
        <v>22</v>
      </c>
      <c r="J505" t="s">
        <v>28</v>
      </c>
      <c r="K505" t="s">
        <v>20</v>
      </c>
      <c r="L505" t="s">
        <v>21</v>
      </c>
      <c r="M505" t="s">
        <v>75</v>
      </c>
      <c r="N505" s="2">
        <v>19000</v>
      </c>
    </row>
    <row r="506" spans="1:14" x14ac:dyDescent="0.25">
      <c r="A506" t="s">
        <v>196</v>
      </c>
      <c r="B506" t="s">
        <v>197</v>
      </c>
      <c r="C506" t="s">
        <v>16</v>
      </c>
      <c r="D506" t="s">
        <v>32</v>
      </c>
      <c r="E506" t="s">
        <v>17</v>
      </c>
      <c r="F506" t="s">
        <v>78</v>
      </c>
      <c r="G506">
        <v>40</v>
      </c>
      <c r="H506">
        <v>10.6</v>
      </c>
      <c r="I506">
        <v>20</v>
      </c>
      <c r="J506" t="s">
        <v>44</v>
      </c>
      <c r="K506" t="s">
        <v>20</v>
      </c>
      <c r="L506" t="s">
        <v>21</v>
      </c>
      <c r="M506" t="s">
        <v>58</v>
      </c>
      <c r="N506" s="2">
        <v>1200</v>
      </c>
    </row>
  </sheetData>
  <sortState xmlns:xlrd2="http://schemas.microsoft.com/office/spreadsheetml/2017/richdata2" ref="A2:M506">
    <sortCondition ref="A2:A506"/>
    <sortCondition descending="1" ref="M2:M506"/>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F7BDB-BE35-44E7-8599-B3DCBB4A072C}">
  <sheetPr codeName="Sheet2">
    <tabColor rgb="FFFF0000"/>
  </sheetPr>
  <dimension ref="A1:P506"/>
  <sheetViews>
    <sheetView topLeftCell="A121" workbookViewId="0">
      <selection activeCell="C122" sqref="C122"/>
    </sheetView>
  </sheetViews>
  <sheetFormatPr defaultRowHeight="15" x14ac:dyDescent="0.25"/>
  <cols>
    <col min="2" max="2" width="19.7109375" bestFit="1" customWidth="1"/>
    <col min="3" max="3" width="37.7109375" bestFit="1" customWidth="1"/>
    <col min="4" max="4" width="15.28515625" bestFit="1" customWidth="1"/>
    <col min="5" max="5" width="15.5703125" bestFit="1" customWidth="1"/>
    <col min="6" max="6" width="16.42578125" style="3" bestFit="1" customWidth="1"/>
    <col min="7" max="7" width="19.42578125" bestFit="1" customWidth="1"/>
    <col min="8" max="8" width="19.7109375" bestFit="1" customWidth="1"/>
    <col min="9" max="9" width="16.7109375" bestFit="1" customWidth="1"/>
    <col min="10" max="10" width="11.42578125" bestFit="1" customWidth="1"/>
    <col min="11" max="11" width="15" bestFit="1" customWidth="1"/>
    <col min="12" max="12" width="32" bestFit="1" customWidth="1"/>
    <col min="13" max="13" width="14.42578125" style="3" bestFit="1" customWidth="1"/>
    <col min="14" max="14" width="10.85546875" bestFit="1" customWidth="1"/>
    <col min="15" max="15" width="18.28515625" customWidth="1"/>
    <col min="16" max="16" width="12.5703125" bestFit="1" customWidth="1"/>
  </cols>
  <sheetData>
    <row r="1" spans="1:16" x14ac:dyDescent="0.25">
      <c r="A1" t="s">
        <v>434</v>
      </c>
      <c r="B1" t="s">
        <v>0</v>
      </c>
      <c r="C1" t="s">
        <v>1</v>
      </c>
      <c r="D1" t="s">
        <v>3</v>
      </c>
      <c r="E1" t="s">
        <v>4</v>
      </c>
      <c r="F1" s="3" t="s">
        <v>5</v>
      </c>
      <c r="G1" t="s">
        <v>6</v>
      </c>
      <c r="H1" t="s">
        <v>7</v>
      </c>
      <c r="I1" t="s">
        <v>8</v>
      </c>
      <c r="J1" t="s">
        <v>9</v>
      </c>
      <c r="K1" t="s">
        <v>10</v>
      </c>
      <c r="L1" t="s">
        <v>11</v>
      </c>
      <c r="M1" s="3" t="s">
        <v>12</v>
      </c>
      <c r="N1" s="2" t="s">
        <v>13</v>
      </c>
      <c r="O1" t="s">
        <v>438</v>
      </c>
      <c r="P1" t="s">
        <v>443</v>
      </c>
    </row>
    <row r="2" spans="1:16" x14ac:dyDescent="0.25">
      <c r="A2">
        <v>1</v>
      </c>
      <c r="B2" t="s">
        <v>244</v>
      </c>
      <c r="C2" t="s">
        <v>250</v>
      </c>
      <c r="D2" t="s">
        <v>32</v>
      </c>
      <c r="E2" t="s">
        <v>49</v>
      </c>
      <c r="F2" s="3">
        <v>30</v>
      </c>
      <c r="G2">
        <v>38.5</v>
      </c>
      <c r="H2">
        <v>7.8</v>
      </c>
      <c r="I2">
        <v>18</v>
      </c>
      <c r="J2" t="s">
        <v>44</v>
      </c>
      <c r="K2" t="s">
        <v>20</v>
      </c>
      <c r="L2" t="s">
        <v>45</v>
      </c>
      <c r="M2" s="3">
        <v>45</v>
      </c>
      <c r="N2" s="2">
        <v>23000</v>
      </c>
      <c r="O2" t="str">
        <f>IF($F2&lt;=100, "&lt;=100", IF($F2&lt;=200, "100-200", IF($F2&lt;=300, "200-300", IF($F2&lt;=500, "300-500", IF($F2&lt;1000, "500-1000", "1000+")))))</f>
        <v>&lt;=100</v>
      </c>
      <c r="P2" t="str">
        <f>IF(N2&lt;=1000, "&lt;= 1000$", IF(N2&lt;=2000, " &lt;=2000$", IF(N2&lt;=5000, "&lt;=5000$", IF(N2&lt;=10000, "&lt;= 10000$", IF(N2&lt;=20000, "&lt;= 20000$", IF(N2&lt;40000, "&lt;= 40000$", "40000$ +"))))))</f>
        <v>&lt;= 40000$</v>
      </c>
    </row>
    <row r="3" spans="1:16" x14ac:dyDescent="0.25">
      <c r="A3">
        <v>2</v>
      </c>
      <c r="B3" t="s">
        <v>244</v>
      </c>
      <c r="C3" t="s">
        <v>251</v>
      </c>
      <c r="D3" t="s">
        <v>32</v>
      </c>
      <c r="E3" t="s">
        <v>49</v>
      </c>
      <c r="F3" s="3">
        <v>30</v>
      </c>
      <c r="G3">
        <v>38.5</v>
      </c>
      <c r="H3">
        <v>7.8</v>
      </c>
      <c r="I3">
        <v>18</v>
      </c>
      <c r="J3" t="s">
        <v>44</v>
      </c>
      <c r="K3" t="s">
        <v>20</v>
      </c>
      <c r="L3" t="s">
        <v>45</v>
      </c>
      <c r="M3" s="3">
        <v>72</v>
      </c>
      <c r="N3" s="2">
        <v>23300</v>
      </c>
      <c r="O3" t="str">
        <f t="shared" ref="O3:O66" si="0">IF($F3&lt;=100, "&lt;=100", IF($F3&lt;=200, "100-200", IF($F3&lt;=300, "200-300", IF($F3&lt;=500, "300-500", IF($F3&lt;1000, "500-1000", "1000+")))))</f>
        <v>&lt;=100</v>
      </c>
      <c r="P3" t="str">
        <f t="shared" ref="P3:P66" si="1">IF(N3&lt;=1000, "&lt;= 1000$", IF(N3&lt;=2000, " &lt;=2000$", IF(N3&lt;=5000, "&lt;=5000$", IF(N3&lt;=10000, "&lt;= 10000$", IF(N3&lt;=20000, "&lt;= 20000$", IF(N3&lt;40000, "&lt;= 40000$", "40000$ +"))))))</f>
        <v>&lt;= 40000$</v>
      </c>
    </row>
    <row r="4" spans="1:16" x14ac:dyDescent="0.25">
      <c r="A4">
        <v>3</v>
      </c>
      <c r="B4" t="s">
        <v>244</v>
      </c>
      <c r="C4" t="s">
        <v>252</v>
      </c>
      <c r="D4" t="s">
        <v>32</v>
      </c>
      <c r="E4" t="s">
        <v>49</v>
      </c>
      <c r="F4" s="3">
        <v>30</v>
      </c>
      <c r="G4">
        <v>37</v>
      </c>
      <c r="H4">
        <v>7.5</v>
      </c>
      <c r="I4">
        <v>18</v>
      </c>
      <c r="J4" t="s">
        <v>44</v>
      </c>
      <c r="K4" t="s">
        <v>20</v>
      </c>
      <c r="L4" t="s">
        <v>45</v>
      </c>
      <c r="M4" s="3">
        <v>45</v>
      </c>
      <c r="N4" s="2">
        <v>17500</v>
      </c>
      <c r="O4" t="str">
        <f t="shared" si="0"/>
        <v>&lt;=100</v>
      </c>
      <c r="P4" t="str">
        <f t="shared" si="1"/>
        <v>&lt;= 20000$</v>
      </c>
    </row>
    <row r="5" spans="1:16" x14ac:dyDescent="0.25">
      <c r="A5">
        <v>4</v>
      </c>
      <c r="B5" t="s">
        <v>76</v>
      </c>
      <c r="C5" t="s">
        <v>253</v>
      </c>
      <c r="D5" t="s">
        <v>168</v>
      </c>
      <c r="E5" t="s">
        <v>17</v>
      </c>
      <c r="F5" s="3">
        <v>50</v>
      </c>
      <c r="G5">
        <v>41</v>
      </c>
      <c r="H5">
        <v>9.8000000000000007</v>
      </c>
      <c r="I5">
        <v>20</v>
      </c>
      <c r="J5" t="s">
        <v>28</v>
      </c>
      <c r="K5" t="s">
        <v>20</v>
      </c>
      <c r="L5" t="s">
        <v>21</v>
      </c>
      <c r="M5" s="3">
        <v>60</v>
      </c>
      <c r="N5" s="2">
        <v>55000</v>
      </c>
      <c r="O5" t="str">
        <f t="shared" si="0"/>
        <v>&lt;=100</v>
      </c>
      <c r="P5" t="str">
        <f t="shared" si="1"/>
        <v>40000$ +</v>
      </c>
    </row>
    <row r="6" spans="1:16" x14ac:dyDescent="0.25">
      <c r="A6">
        <v>5</v>
      </c>
      <c r="B6" t="s">
        <v>76</v>
      </c>
      <c r="C6" t="s">
        <v>254</v>
      </c>
      <c r="D6" t="s">
        <v>32</v>
      </c>
      <c r="E6" t="s">
        <v>17</v>
      </c>
      <c r="F6" s="3">
        <v>50</v>
      </c>
      <c r="G6">
        <v>37</v>
      </c>
      <c r="H6">
        <v>9.8000000000000007</v>
      </c>
      <c r="I6">
        <v>20</v>
      </c>
      <c r="J6" t="s">
        <v>19</v>
      </c>
      <c r="K6" t="s">
        <v>20</v>
      </c>
      <c r="L6" t="s">
        <v>21</v>
      </c>
      <c r="M6" s="3">
        <v>60</v>
      </c>
      <c r="N6" s="2">
        <v>38500</v>
      </c>
      <c r="O6" t="str">
        <f t="shared" si="0"/>
        <v>&lt;=100</v>
      </c>
      <c r="P6" t="str">
        <f t="shared" si="1"/>
        <v>&lt;= 40000$</v>
      </c>
    </row>
    <row r="7" spans="1:16" x14ac:dyDescent="0.25">
      <c r="A7">
        <v>6</v>
      </c>
      <c r="B7" t="s">
        <v>76</v>
      </c>
      <c r="C7" t="s">
        <v>254</v>
      </c>
      <c r="D7" t="s">
        <v>168</v>
      </c>
      <c r="E7" t="s">
        <v>17</v>
      </c>
      <c r="F7" s="3">
        <v>50</v>
      </c>
      <c r="G7">
        <v>37</v>
      </c>
      <c r="H7">
        <v>9.8000000000000007</v>
      </c>
      <c r="I7">
        <v>18</v>
      </c>
      <c r="J7" t="s">
        <v>28</v>
      </c>
      <c r="K7" t="s">
        <v>20</v>
      </c>
      <c r="L7" t="s">
        <v>45</v>
      </c>
      <c r="M7" s="3">
        <v>60</v>
      </c>
      <c r="N7" s="2">
        <v>36500</v>
      </c>
      <c r="O7" t="str">
        <f t="shared" si="0"/>
        <v>&lt;=100</v>
      </c>
      <c r="P7" t="str">
        <f t="shared" si="1"/>
        <v>&lt;= 40000$</v>
      </c>
    </row>
    <row r="8" spans="1:16" x14ac:dyDescent="0.25">
      <c r="A8">
        <v>7</v>
      </c>
      <c r="B8" t="s">
        <v>76</v>
      </c>
      <c r="C8" t="s">
        <v>255</v>
      </c>
      <c r="D8" t="s">
        <v>16</v>
      </c>
      <c r="E8" t="s">
        <v>17</v>
      </c>
      <c r="F8" s="3">
        <v>50</v>
      </c>
      <c r="G8">
        <v>41</v>
      </c>
      <c r="H8">
        <v>10.4</v>
      </c>
      <c r="I8">
        <v>20</v>
      </c>
      <c r="J8" t="s">
        <v>28</v>
      </c>
      <c r="K8" t="s">
        <v>20</v>
      </c>
      <c r="L8" t="s">
        <v>21</v>
      </c>
      <c r="M8" s="3">
        <v>60</v>
      </c>
      <c r="N8" s="2">
        <v>28500</v>
      </c>
      <c r="O8" t="str">
        <f t="shared" si="0"/>
        <v>&lt;=100</v>
      </c>
      <c r="P8" t="str">
        <f t="shared" si="1"/>
        <v>&lt;= 40000$</v>
      </c>
    </row>
    <row r="9" spans="1:16" x14ac:dyDescent="0.25">
      <c r="A9">
        <v>8</v>
      </c>
      <c r="B9" t="s">
        <v>76</v>
      </c>
      <c r="C9" t="s">
        <v>255</v>
      </c>
      <c r="D9" t="s">
        <v>16</v>
      </c>
      <c r="E9" t="s">
        <v>17</v>
      </c>
      <c r="F9" s="3">
        <v>50</v>
      </c>
      <c r="G9">
        <v>41</v>
      </c>
      <c r="H9">
        <v>10.4</v>
      </c>
      <c r="I9">
        <v>20</v>
      </c>
      <c r="J9" t="s">
        <v>28</v>
      </c>
      <c r="K9" t="s">
        <v>20</v>
      </c>
      <c r="L9" t="s">
        <v>21</v>
      </c>
      <c r="M9" s="3">
        <v>60</v>
      </c>
      <c r="N9" s="2">
        <v>28500</v>
      </c>
      <c r="O9" t="str">
        <f t="shared" si="0"/>
        <v>&lt;=100</v>
      </c>
      <c r="P9" t="str">
        <f t="shared" si="1"/>
        <v>&lt;= 40000$</v>
      </c>
    </row>
    <row r="10" spans="1:16" x14ac:dyDescent="0.25">
      <c r="A10">
        <v>9</v>
      </c>
      <c r="B10" t="s">
        <v>76</v>
      </c>
      <c r="C10" t="s">
        <v>255</v>
      </c>
      <c r="D10" t="s">
        <v>16</v>
      </c>
      <c r="E10" t="s">
        <v>17</v>
      </c>
      <c r="F10" s="3">
        <v>50</v>
      </c>
      <c r="G10">
        <v>41</v>
      </c>
      <c r="H10">
        <v>10.4</v>
      </c>
      <c r="I10">
        <v>20</v>
      </c>
      <c r="J10" t="s">
        <v>28</v>
      </c>
      <c r="K10" t="s">
        <v>20</v>
      </c>
      <c r="L10" t="s">
        <v>21</v>
      </c>
      <c r="M10" s="3">
        <v>60</v>
      </c>
      <c r="N10" s="2">
        <v>27000</v>
      </c>
      <c r="O10" t="str">
        <f t="shared" si="0"/>
        <v>&lt;=100</v>
      </c>
      <c r="P10" t="str">
        <f t="shared" si="1"/>
        <v>&lt;= 40000$</v>
      </c>
    </row>
    <row r="11" spans="1:16" x14ac:dyDescent="0.25">
      <c r="A11">
        <v>10</v>
      </c>
      <c r="B11" t="s">
        <v>76</v>
      </c>
      <c r="C11" t="s">
        <v>255</v>
      </c>
      <c r="D11" t="s">
        <v>16</v>
      </c>
      <c r="E11" t="s">
        <v>17</v>
      </c>
      <c r="F11" s="3">
        <v>50</v>
      </c>
      <c r="G11">
        <v>41</v>
      </c>
      <c r="H11">
        <v>10.4</v>
      </c>
      <c r="I11">
        <v>20</v>
      </c>
      <c r="J11" t="s">
        <v>28</v>
      </c>
      <c r="K11" t="s">
        <v>20</v>
      </c>
      <c r="L11" t="s">
        <v>21</v>
      </c>
      <c r="M11" s="3">
        <v>60</v>
      </c>
      <c r="N11" s="2">
        <v>26000</v>
      </c>
      <c r="O11" t="str">
        <f t="shared" si="0"/>
        <v>&lt;=100</v>
      </c>
      <c r="P11" t="str">
        <f t="shared" si="1"/>
        <v>&lt;= 40000$</v>
      </c>
    </row>
    <row r="12" spans="1:16" x14ac:dyDescent="0.25">
      <c r="A12">
        <v>11</v>
      </c>
      <c r="B12" t="s">
        <v>76</v>
      </c>
      <c r="C12" t="s">
        <v>255</v>
      </c>
      <c r="D12" t="s">
        <v>16</v>
      </c>
      <c r="E12" t="s">
        <v>17</v>
      </c>
      <c r="F12" s="3">
        <v>50</v>
      </c>
      <c r="G12">
        <v>41</v>
      </c>
      <c r="H12">
        <v>9.8000000000000007</v>
      </c>
      <c r="I12">
        <v>20</v>
      </c>
      <c r="J12" t="s">
        <v>28</v>
      </c>
      <c r="K12" t="s">
        <v>20</v>
      </c>
      <c r="L12" t="s">
        <v>21</v>
      </c>
      <c r="M12" s="3">
        <v>60</v>
      </c>
      <c r="N12" s="2">
        <v>25000</v>
      </c>
      <c r="O12" t="str">
        <f t="shared" si="0"/>
        <v>&lt;=100</v>
      </c>
      <c r="P12" t="str">
        <f t="shared" si="1"/>
        <v>&lt;= 40000$</v>
      </c>
    </row>
    <row r="13" spans="1:16" x14ac:dyDescent="0.25">
      <c r="A13">
        <v>12</v>
      </c>
      <c r="B13" t="s">
        <v>76</v>
      </c>
      <c r="C13" t="s">
        <v>255</v>
      </c>
      <c r="D13" t="s">
        <v>16</v>
      </c>
      <c r="E13" t="s">
        <v>17</v>
      </c>
      <c r="F13" s="3">
        <v>50</v>
      </c>
      <c r="G13">
        <v>41</v>
      </c>
      <c r="H13">
        <v>10.4</v>
      </c>
      <c r="I13">
        <v>20</v>
      </c>
      <c r="J13" t="s">
        <v>28</v>
      </c>
      <c r="K13" t="s">
        <v>20</v>
      </c>
      <c r="L13" t="s">
        <v>222</v>
      </c>
      <c r="M13" s="3">
        <v>60</v>
      </c>
      <c r="N13" s="2">
        <v>25000</v>
      </c>
      <c r="O13" t="str">
        <f t="shared" si="0"/>
        <v>&lt;=100</v>
      </c>
      <c r="P13" t="str">
        <f t="shared" si="1"/>
        <v>&lt;= 40000$</v>
      </c>
    </row>
    <row r="14" spans="1:16" x14ac:dyDescent="0.25">
      <c r="A14">
        <v>13</v>
      </c>
      <c r="B14" t="s">
        <v>76</v>
      </c>
      <c r="C14" t="s">
        <v>255</v>
      </c>
      <c r="D14" t="s">
        <v>16</v>
      </c>
      <c r="E14" t="s">
        <v>17</v>
      </c>
      <c r="F14" s="3">
        <v>50</v>
      </c>
      <c r="G14">
        <v>41</v>
      </c>
      <c r="H14">
        <v>9.8000000000000007</v>
      </c>
      <c r="I14">
        <v>20</v>
      </c>
      <c r="J14" t="s">
        <v>28</v>
      </c>
      <c r="K14" t="s">
        <v>20</v>
      </c>
      <c r="L14" t="s">
        <v>169</v>
      </c>
      <c r="M14" s="3">
        <v>60</v>
      </c>
      <c r="N14" s="2">
        <v>25000</v>
      </c>
      <c r="O14" t="str">
        <f t="shared" si="0"/>
        <v>&lt;=100</v>
      </c>
      <c r="P14" t="str">
        <f t="shared" si="1"/>
        <v>&lt;= 40000$</v>
      </c>
    </row>
    <row r="15" spans="1:16" x14ac:dyDescent="0.25">
      <c r="A15">
        <v>14</v>
      </c>
      <c r="B15" t="s">
        <v>76</v>
      </c>
      <c r="C15" t="s">
        <v>255</v>
      </c>
      <c r="D15" t="s">
        <v>16</v>
      </c>
      <c r="E15" t="s">
        <v>17</v>
      </c>
      <c r="F15" s="3">
        <v>50</v>
      </c>
      <c r="G15">
        <v>41</v>
      </c>
      <c r="H15">
        <v>10.4</v>
      </c>
      <c r="I15">
        <v>20</v>
      </c>
      <c r="J15" t="s">
        <v>28</v>
      </c>
      <c r="K15" t="s">
        <v>20</v>
      </c>
      <c r="L15" t="s">
        <v>21</v>
      </c>
      <c r="M15" s="3">
        <v>60</v>
      </c>
      <c r="N15" s="2">
        <v>24800</v>
      </c>
      <c r="O15" t="str">
        <f t="shared" si="0"/>
        <v>&lt;=100</v>
      </c>
      <c r="P15" t="str">
        <f t="shared" si="1"/>
        <v>&lt;= 40000$</v>
      </c>
    </row>
    <row r="16" spans="1:16" x14ac:dyDescent="0.25">
      <c r="A16">
        <v>15</v>
      </c>
      <c r="B16" t="s">
        <v>76</v>
      </c>
      <c r="C16" t="s">
        <v>255</v>
      </c>
      <c r="D16" t="s">
        <v>16</v>
      </c>
      <c r="E16" t="s">
        <v>17</v>
      </c>
      <c r="F16" s="3">
        <v>50</v>
      </c>
      <c r="G16">
        <v>41</v>
      </c>
      <c r="H16">
        <v>9.8000000000000007</v>
      </c>
      <c r="I16">
        <v>20</v>
      </c>
      <c r="J16" t="s">
        <v>28</v>
      </c>
      <c r="K16" t="s">
        <v>20</v>
      </c>
      <c r="L16" t="s">
        <v>21</v>
      </c>
      <c r="M16" s="3">
        <v>60</v>
      </c>
      <c r="N16" s="2">
        <v>24500</v>
      </c>
      <c r="O16" t="str">
        <f t="shared" si="0"/>
        <v>&lt;=100</v>
      </c>
      <c r="P16" t="str">
        <f t="shared" si="1"/>
        <v>&lt;= 40000$</v>
      </c>
    </row>
    <row r="17" spans="1:16" x14ac:dyDescent="0.25">
      <c r="A17">
        <v>16</v>
      </c>
      <c r="B17" t="s">
        <v>76</v>
      </c>
      <c r="C17" t="s">
        <v>255</v>
      </c>
      <c r="D17" t="s">
        <v>16</v>
      </c>
      <c r="E17" t="s">
        <v>17</v>
      </c>
      <c r="F17" s="3">
        <v>50</v>
      </c>
      <c r="G17">
        <v>41</v>
      </c>
      <c r="H17">
        <v>9.8000000000000007</v>
      </c>
      <c r="I17">
        <v>20</v>
      </c>
      <c r="J17" t="s">
        <v>28</v>
      </c>
      <c r="K17" t="s">
        <v>20</v>
      </c>
      <c r="L17" t="s">
        <v>21</v>
      </c>
      <c r="M17" s="3">
        <v>60</v>
      </c>
      <c r="N17" s="2">
        <v>24500</v>
      </c>
      <c r="O17" t="str">
        <f t="shared" si="0"/>
        <v>&lt;=100</v>
      </c>
      <c r="P17" t="str">
        <f t="shared" si="1"/>
        <v>&lt;= 40000$</v>
      </c>
    </row>
    <row r="18" spans="1:16" x14ac:dyDescent="0.25">
      <c r="A18">
        <v>17</v>
      </c>
      <c r="B18" t="s">
        <v>76</v>
      </c>
      <c r="C18" t="s">
        <v>255</v>
      </c>
      <c r="D18" t="s">
        <v>16</v>
      </c>
      <c r="E18" t="s">
        <v>17</v>
      </c>
      <c r="F18" s="3">
        <v>50</v>
      </c>
      <c r="G18">
        <v>41</v>
      </c>
      <c r="H18">
        <v>10.4</v>
      </c>
      <c r="I18">
        <v>20</v>
      </c>
      <c r="J18" t="s">
        <v>19</v>
      </c>
      <c r="K18" t="s">
        <v>20</v>
      </c>
      <c r="L18" t="s">
        <v>21</v>
      </c>
      <c r="M18" s="3">
        <v>60</v>
      </c>
      <c r="N18" s="2">
        <v>24000</v>
      </c>
      <c r="O18" t="str">
        <f t="shared" si="0"/>
        <v>&lt;=100</v>
      </c>
      <c r="P18" t="str">
        <f t="shared" si="1"/>
        <v>&lt;= 40000$</v>
      </c>
    </row>
    <row r="19" spans="1:16" x14ac:dyDescent="0.25">
      <c r="A19">
        <v>18</v>
      </c>
      <c r="B19" t="s">
        <v>76</v>
      </c>
      <c r="C19" t="s">
        <v>255</v>
      </c>
      <c r="D19" t="s">
        <v>16</v>
      </c>
      <c r="E19" t="s">
        <v>17</v>
      </c>
      <c r="F19" s="3">
        <v>50</v>
      </c>
      <c r="G19">
        <v>41</v>
      </c>
      <c r="H19">
        <v>9.8000000000000007</v>
      </c>
      <c r="I19">
        <v>20</v>
      </c>
      <c r="J19" t="s">
        <v>19</v>
      </c>
      <c r="K19" t="s">
        <v>20</v>
      </c>
      <c r="L19" t="s">
        <v>21</v>
      </c>
      <c r="M19" s="3">
        <v>60</v>
      </c>
      <c r="N19" s="2">
        <v>23100</v>
      </c>
      <c r="O19" t="str">
        <f t="shared" si="0"/>
        <v>&lt;=100</v>
      </c>
      <c r="P19" t="str">
        <f t="shared" si="1"/>
        <v>&lt;= 40000$</v>
      </c>
    </row>
    <row r="20" spans="1:16" x14ac:dyDescent="0.25">
      <c r="A20">
        <v>19</v>
      </c>
      <c r="B20" t="s">
        <v>76</v>
      </c>
      <c r="C20" t="s">
        <v>255</v>
      </c>
      <c r="D20" t="s">
        <v>16</v>
      </c>
      <c r="E20" t="s">
        <v>17</v>
      </c>
      <c r="F20" s="3">
        <v>50</v>
      </c>
      <c r="G20">
        <v>41</v>
      </c>
      <c r="H20">
        <v>9.8000000000000007</v>
      </c>
      <c r="I20">
        <v>20</v>
      </c>
      <c r="J20" t="s">
        <v>19</v>
      </c>
      <c r="K20" t="s">
        <v>20</v>
      </c>
      <c r="L20" t="s">
        <v>21</v>
      </c>
      <c r="M20" s="3">
        <v>60</v>
      </c>
      <c r="N20" s="2">
        <v>22500</v>
      </c>
      <c r="O20" t="str">
        <f t="shared" si="0"/>
        <v>&lt;=100</v>
      </c>
      <c r="P20" t="str">
        <f t="shared" si="1"/>
        <v>&lt;= 40000$</v>
      </c>
    </row>
    <row r="21" spans="1:16" x14ac:dyDescent="0.25">
      <c r="A21">
        <v>20</v>
      </c>
      <c r="B21" t="s">
        <v>76</v>
      </c>
      <c r="C21" t="s">
        <v>255</v>
      </c>
      <c r="D21" t="s">
        <v>16</v>
      </c>
      <c r="E21" t="s">
        <v>17</v>
      </c>
      <c r="F21" s="3">
        <v>50</v>
      </c>
      <c r="G21">
        <v>41</v>
      </c>
      <c r="H21">
        <v>9.8000000000000007</v>
      </c>
      <c r="I21">
        <v>20</v>
      </c>
      <c r="J21" t="s">
        <v>28</v>
      </c>
      <c r="K21" t="s">
        <v>20</v>
      </c>
      <c r="L21" t="s">
        <v>148</v>
      </c>
      <c r="M21" s="3">
        <v>50</v>
      </c>
      <c r="N21" s="2">
        <v>22300</v>
      </c>
      <c r="O21" t="str">
        <f t="shared" si="0"/>
        <v>&lt;=100</v>
      </c>
      <c r="P21" t="str">
        <f t="shared" si="1"/>
        <v>&lt;= 40000$</v>
      </c>
    </row>
    <row r="22" spans="1:16" x14ac:dyDescent="0.25">
      <c r="A22">
        <v>21</v>
      </c>
      <c r="B22" t="s">
        <v>76</v>
      </c>
      <c r="C22" t="s">
        <v>255</v>
      </c>
      <c r="D22" t="s">
        <v>16</v>
      </c>
      <c r="E22" t="s">
        <v>17</v>
      </c>
      <c r="F22" s="3">
        <v>50</v>
      </c>
      <c r="G22">
        <v>41</v>
      </c>
      <c r="H22">
        <v>9.8000000000000007</v>
      </c>
      <c r="I22">
        <v>20</v>
      </c>
      <c r="J22" t="s">
        <v>44</v>
      </c>
      <c r="K22" t="s">
        <v>20</v>
      </c>
      <c r="L22" t="s">
        <v>21</v>
      </c>
      <c r="M22" s="3">
        <v>60</v>
      </c>
      <c r="N22" s="2">
        <v>22000</v>
      </c>
      <c r="O22" t="str">
        <f t="shared" si="0"/>
        <v>&lt;=100</v>
      </c>
      <c r="P22" t="str">
        <f t="shared" si="1"/>
        <v>&lt;= 40000$</v>
      </c>
    </row>
    <row r="23" spans="1:16" x14ac:dyDescent="0.25">
      <c r="A23">
        <v>22</v>
      </c>
      <c r="B23" t="s">
        <v>76</v>
      </c>
      <c r="C23" t="s">
        <v>255</v>
      </c>
      <c r="D23" t="s">
        <v>16</v>
      </c>
      <c r="E23" t="s">
        <v>17</v>
      </c>
      <c r="F23" s="3">
        <v>50</v>
      </c>
      <c r="G23">
        <v>41</v>
      </c>
      <c r="H23">
        <v>9.8000000000000007</v>
      </c>
      <c r="I23">
        <v>20</v>
      </c>
      <c r="J23" t="s">
        <v>28</v>
      </c>
      <c r="K23" t="s">
        <v>20</v>
      </c>
      <c r="L23" t="s">
        <v>21</v>
      </c>
      <c r="M23" s="3">
        <v>60</v>
      </c>
      <c r="N23" s="2">
        <v>22000</v>
      </c>
      <c r="O23" t="str">
        <f t="shared" si="0"/>
        <v>&lt;=100</v>
      </c>
      <c r="P23" t="str">
        <f t="shared" si="1"/>
        <v>&lt;= 40000$</v>
      </c>
    </row>
    <row r="24" spans="1:16" x14ac:dyDescent="0.25">
      <c r="A24">
        <v>23</v>
      </c>
      <c r="B24" t="s">
        <v>76</v>
      </c>
      <c r="C24" t="s">
        <v>255</v>
      </c>
      <c r="D24" t="s">
        <v>16</v>
      </c>
      <c r="E24" t="s">
        <v>17</v>
      </c>
      <c r="F24" s="3">
        <v>50</v>
      </c>
      <c r="G24">
        <v>41</v>
      </c>
      <c r="H24">
        <v>9.8000000000000007</v>
      </c>
      <c r="I24">
        <v>20</v>
      </c>
      <c r="J24" t="s">
        <v>19</v>
      </c>
      <c r="K24" t="s">
        <v>20</v>
      </c>
      <c r="L24" t="s">
        <v>21</v>
      </c>
      <c r="M24" s="3">
        <v>60</v>
      </c>
      <c r="N24" s="2">
        <v>22000</v>
      </c>
      <c r="O24" t="str">
        <f t="shared" si="0"/>
        <v>&lt;=100</v>
      </c>
      <c r="P24" t="str">
        <f t="shared" si="1"/>
        <v>&lt;= 40000$</v>
      </c>
    </row>
    <row r="25" spans="1:16" x14ac:dyDescent="0.25">
      <c r="A25">
        <v>24</v>
      </c>
      <c r="B25" t="s">
        <v>76</v>
      </c>
      <c r="C25" t="s">
        <v>255</v>
      </c>
      <c r="D25" t="s">
        <v>16</v>
      </c>
      <c r="E25" t="s">
        <v>17</v>
      </c>
      <c r="F25" s="3">
        <v>50</v>
      </c>
      <c r="G25">
        <v>41</v>
      </c>
      <c r="H25">
        <v>9.8000000000000007</v>
      </c>
      <c r="I25">
        <v>20</v>
      </c>
      <c r="J25" t="s">
        <v>28</v>
      </c>
      <c r="K25" t="s">
        <v>20</v>
      </c>
      <c r="L25" t="s">
        <v>21</v>
      </c>
      <c r="M25" s="3">
        <v>60</v>
      </c>
      <c r="N25" s="2">
        <v>22000</v>
      </c>
      <c r="O25" t="str">
        <f t="shared" si="0"/>
        <v>&lt;=100</v>
      </c>
      <c r="P25" t="str">
        <f t="shared" si="1"/>
        <v>&lt;= 40000$</v>
      </c>
    </row>
    <row r="26" spans="1:16" x14ac:dyDescent="0.25">
      <c r="A26">
        <v>25</v>
      </c>
      <c r="B26" t="s">
        <v>76</v>
      </c>
      <c r="C26" t="s">
        <v>255</v>
      </c>
      <c r="D26" t="s">
        <v>16</v>
      </c>
      <c r="E26" t="s">
        <v>17</v>
      </c>
      <c r="F26" s="3">
        <v>50</v>
      </c>
      <c r="G26">
        <v>41</v>
      </c>
      <c r="H26">
        <v>10.4</v>
      </c>
      <c r="I26">
        <v>20</v>
      </c>
      <c r="J26" t="s">
        <v>19</v>
      </c>
      <c r="K26" t="s">
        <v>20</v>
      </c>
      <c r="L26" t="s">
        <v>21</v>
      </c>
      <c r="M26" s="3">
        <v>60</v>
      </c>
      <c r="N26" s="2">
        <v>22000</v>
      </c>
      <c r="O26" t="str">
        <f t="shared" si="0"/>
        <v>&lt;=100</v>
      </c>
      <c r="P26" t="str">
        <f t="shared" si="1"/>
        <v>&lt;= 40000$</v>
      </c>
    </row>
    <row r="27" spans="1:16" x14ac:dyDescent="0.25">
      <c r="A27">
        <v>26</v>
      </c>
      <c r="B27" t="s">
        <v>76</v>
      </c>
      <c r="C27" t="s">
        <v>255</v>
      </c>
      <c r="D27" t="s">
        <v>16</v>
      </c>
      <c r="E27" t="s">
        <v>17</v>
      </c>
      <c r="F27" s="3">
        <v>50</v>
      </c>
      <c r="G27">
        <v>41</v>
      </c>
      <c r="H27">
        <v>9.8000000000000007</v>
      </c>
      <c r="I27">
        <v>20</v>
      </c>
      <c r="J27" t="s">
        <v>19</v>
      </c>
      <c r="K27" t="s">
        <v>20</v>
      </c>
      <c r="L27" t="s">
        <v>21</v>
      </c>
      <c r="M27" s="3">
        <v>60</v>
      </c>
      <c r="N27" s="2">
        <v>22000</v>
      </c>
      <c r="O27" t="str">
        <f t="shared" si="0"/>
        <v>&lt;=100</v>
      </c>
      <c r="P27" t="str">
        <f t="shared" si="1"/>
        <v>&lt;= 40000$</v>
      </c>
    </row>
    <row r="28" spans="1:16" x14ac:dyDescent="0.25">
      <c r="A28">
        <v>27</v>
      </c>
      <c r="B28" t="s">
        <v>76</v>
      </c>
      <c r="C28" t="s">
        <v>255</v>
      </c>
      <c r="D28" t="s">
        <v>16</v>
      </c>
      <c r="E28" t="s">
        <v>17</v>
      </c>
      <c r="F28" s="3">
        <v>50</v>
      </c>
      <c r="G28">
        <v>41</v>
      </c>
      <c r="H28">
        <v>10.4</v>
      </c>
      <c r="I28">
        <v>20</v>
      </c>
      <c r="J28" t="s">
        <v>19</v>
      </c>
      <c r="K28" t="s">
        <v>20</v>
      </c>
      <c r="L28" t="s">
        <v>21</v>
      </c>
      <c r="M28" s="3">
        <v>60</v>
      </c>
      <c r="N28" s="2">
        <v>21000</v>
      </c>
      <c r="O28" t="str">
        <f t="shared" si="0"/>
        <v>&lt;=100</v>
      </c>
      <c r="P28" t="str">
        <f t="shared" si="1"/>
        <v>&lt;= 40000$</v>
      </c>
    </row>
    <row r="29" spans="1:16" x14ac:dyDescent="0.25">
      <c r="A29">
        <v>28</v>
      </c>
      <c r="B29" t="s">
        <v>76</v>
      </c>
      <c r="C29" t="s">
        <v>255</v>
      </c>
      <c r="D29" t="s">
        <v>16</v>
      </c>
      <c r="E29" t="s">
        <v>17</v>
      </c>
      <c r="F29" s="3">
        <v>50</v>
      </c>
      <c r="G29">
        <v>41</v>
      </c>
      <c r="H29">
        <v>10.4</v>
      </c>
      <c r="I29">
        <v>20</v>
      </c>
      <c r="J29" t="s">
        <v>44</v>
      </c>
      <c r="K29" t="s">
        <v>20</v>
      </c>
      <c r="L29" t="s">
        <v>21</v>
      </c>
      <c r="M29" s="3">
        <v>60</v>
      </c>
      <c r="N29" s="2">
        <v>21000</v>
      </c>
      <c r="O29" t="str">
        <f t="shared" si="0"/>
        <v>&lt;=100</v>
      </c>
      <c r="P29" t="str">
        <f t="shared" si="1"/>
        <v>&lt;= 40000$</v>
      </c>
    </row>
    <row r="30" spans="1:16" x14ac:dyDescent="0.25">
      <c r="A30">
        <v>29</v>
      </c>
      <c r="B30" t="s">
        <v>76</v>
      </c>
      <c r="C30" t="s">
        <v>255</v>
      </c>
      <c r="D30" t="s">
        <v>16</v>
      </c>
      <c r="E30" t="s">
        <v>17</v>
      </c>
      <c r="F30" s="3">
        <v>50</v>
      </c>
      <c r="G30">
        <v>41</v>
      </c>
      <c r="H30">
        <v>10.4</v>
      </c>
      <c r="I30">
        <v>20</v>
      </c>
      <c r="J30" t="s">
        <v>28</v>
      </c>
      <c r="K30" t="s">
        <v>20</v>
      </c>
      <c r="L30" t="s">
        <v>21</v>
      </c>
      <c r="M30" s="3">
        <v>60</v>
      </c>
      <c r="N30" s="2">
        <v>20900</v>
      </c>
      <c r="O30" t="str">
        <f t="shared" si="0"/>
        <v>&lt;=100</v>
      </c>
      <c r="P30" t="str">
        <f t="shared" si="1"/>
        <v>&lt;= 40000$</v>
      </c>
    </row>
    <row r="31" spans="1:16" x14ac:dyDescent="0.25">
      <c r="A31">
        <v>30</v>
      </c>
      <c r="B31" t="s">
        <v>76</v>
      </c>
      <c r="C31" t="s">
        <v>255</v>
      </c>
      <c r="D31" t="s">
        <v>16</v>
      </c>
      <c r="E31" t="s">
        <v>17</v>
      </c>
      <c r="F31" s="3">
        <v>50</v>
      </c>
      <c r="G31">
        <v>41</v>
      </c>
      <c r="H31">
        <v>9.8000000000000007</v>
      </c>
      <c r="I31">
        <v>20</v>
      </c>
      <c r="J31" t="s">
        <v>28</v>
      </c>
      <c r="K31" t="s">
        <v>20</v>
      </c>
      <c r="L31" t="s">
        <v>21</v>
      </c>
      <c r="M31" s="3">
        <v>60</v>
      </c>
      <c r="N31" s="2">
        <v>20400</v>
      </c>
      <c r="O31" t="str">
        <f t="shared" si="0"/>
        <v>&lt;=100</v>
      </c>
      <c r="P31" t="str">
        <f t="shared" si="1"/>
        <v>&lt;= 40000$</v>
      </c>
    </row>
    <row r="32" spans="1:16" x14ac:dyDescent="0.25">
      <c r="A32">
        <v>31</v>
      </c>
      <c r="B32" t="s">
        <v>76</v>
      </c>
      <c r="C32" t="s">
        <v>255</v>
      </c>
      <c r="D32" t="s">
        <v>16</v>
      </c>
      <c r="E32" t="s">
        <v>17</v>
      </c>
      <c r="F32" s="3">
        <v>50</v>
      </c>
      <c r="G32">
        <v>41</v>
      </c>
      <c r="H32">
        <v>9.8000000000000007</v>
      </c>
      <c r="I32">
        <v>20</v>
      </c>
      <c r="J32" t="s">
        <v>28</v>
      </c>
      <c r="K32" t="s">
        <v>20</v>
      </c>
      <c r="L32" t="s">
        <v>21</v>
      </c>
      <c r="M32" s="3">
        <v>60</v>
      </c>
      <c r="N32" s="2">
        <v>20000</v>
      </c>
      <c r="O32" t="str">
        <f t="shared" si="0"/>
        <v>&lt;=100</v>
      </c>
      <c r="P32" t="str">
        <f t="shared" si="1"/>
        <v>&lt;= 20000$</v>
      </c>
    </row>
    <row r="33" spans="1:16" x14ac:dyDescent="0.25">
      <c r="A33">
        <v>32</v>
      </c>
      <c r="B33" t="s">
        <v>76</v>
      </c>
      <c r="C33" t="s">
        <v>255</v>
      </c>
      <c r="D33" t="s">
        <v>16</v>
      </c>
      <c r="E33" t="s">
        <v>17</v>
      </c>
      <c r="F33" s="3">
        <v>50</v>
      </c>
      <c r="G33">
        <v>41</v>
      </c>
      <c r="H33">
        <v>10.4</v>
      </c>
      <c r="I33">
        <v>20</v>
      </c>
      <c r="J33" t="s">
        <v>28</v>
      </c>
      <c r="K33" t="s">
        <v>20</v>
      </c>
      <c r="L33" t="s">
        <v>21</v>
      </c>
      <c r="M33" s="3">
        <v>60</v>
      </c>
      <c r="N33" s="2">
        <v>19900</v>
      </c>
      <c r="O33" t="str">
        <f t="shared" si="0"/>
        <v>&lt;=100</v>
      </c>
      <c r="P33" t="str">
        <f t="shared" si="1"/>
        <v>&lt;= 20000$</v>
      </c>
    </row>
    <row r="34" spans="1:16" x14ac:dyDescent="0.25">
      <c r="A34">
        <v>33</v>
      </c>
      <c r="B34" t="s">
        <v>76</v>
      </c>
      <c r="C34" t="s">
        <v>255</v>
      </c>
      <c r="D34" t="s">
        <v>16</v>
      </c>
      <c r="E34" t="s">
        <v>17</v>
      </c>
      <c r="F34" s="3">
        <v>50</v>
      </c>
      <c r="G34">
        <v>41</v>
      </c>
      <c r="H34">
        <v>9.5</v>
      </c>
      <c r="I34">
        <v>20</v>
      </c>
      <c r="J34" t="s">
        <v>19</v>
      </c>
      <c r="K34" t="s">
        <v>20</v>
      </c>
      <c r="L34" t="s">
        <v>21</v>
      </c>
      <c r="M34" s="3">
        <v>60</v>
      </c>
      <c r="N34" s="2">
        <v>19800</v>
      </c>
      <c r="O34" t="str">
        <f t="shared" si="0"/>
        <v>&lt;=100</v>
      </c>
      <c r="P34" t="str">
        <f t="shared" si="1"/>
        <v>&lt;= 20000$</v>
      </c>
    </row>
    <row r="35" spans="1:16" x14ac:dyDescent="0.25">
      <c r="A35">
        <v>34</v>
      </c>
      <c r="B35" t="s">
        <v>76</v>
      </c>
      <c r="C35" t="s">
        <v>256</v>
      </c>
      <c r="D35" t="s">
        <v>16</v>
      </c>
      <c r="E35" t="s">
        <v>17</v>
      </c>
      <c r="F35" s="3">
        <v>50</v>
      </c>
      <c r="G35">
        <v>37</v>
      </c>
      <c r="H35">
        <v>9.8000000000000007</v>
      </c>
      <c r="I35">
        <v>20</v>
      </c>
      <c r="J35" t="s">
        <v>28</v>
      </c>
      <c r="K35" t="s">
        <v>20</v>
      </c>
      <c r="L35" t="s">
        <v>21</v>
      </c>
      <c r="M35" s="3">
        <v>40</v>
      </c>
      <c r="N35" s="2">
        <v>19500</v>
      </c>
      <c r="O35" t="str">
        <f t="shared" si="0"/>
        <v>&lt;=100</v>
      </c>
      <c r="P35" t="str">
        <f t="shared" si="1"/>
        <v>&lt;= 20000$</v>
      </c>
    </row>
    <row r="36" spans="1:16" x14ac:dyDescent="0.25">
      <c r="A36">
        <v>35</v>
      </c>
      <c r="B36" t="s">
        <v>76</v>
      </c>
      <c r="C36" t="s">
        <v>255</v>
      </c>
      <c r="D36" t="s">
        <v>16</v>
      </c>
      <c r="E36" t="s">
        <v>17</v>
      </c>
      <c r="F36" s="3">
        <v>50</v>
      </c>
      <c r="G36">
        <v>41</v>
      </c>
      <c r="H36">
        <v>10.4</v>
      </c>
      <c r="I36">
        <v>20</v>
      </c>
      <c r="J36" t="s">
        <v>28</v>
      </c>
      <c r="K36" t="s">
        <v>20</v>
      </c>
      <c r="L36" t="s">
        <v>21</v>
      </c>
      <c r="M36" s="3">
        <v>60</v>
      </c>
      <c r="N36" s="2">
        <v>19500</v>
      </c>
      <c r="O36" t="str">
        <f t="shared" si="0"/>
        <v>&lt;=100</v>
      </c>
      <c r="P36" t="str">
        <f t="shared" si="1"/>
        <v>&lt;= 20000$</v>
      </c>
    </row>
    <row r="37" spans="1:16" x14ac:dyDescent="0.25">
      <c r="A37">
        <v>36</v>
      </c>
      <c r="B37" t="s">
        <v>76</v>
      </c>
      <c r="C37" t="s">
        <v>257</v>
      </c>
      <c r="D37" t="s">
        <v>16</v>
      </c>
      <c r="E37" t="s">
        <v>17</v>
      </c>
      <c r="F37" s="3">
        <v>50</v>
      </c>
      <c r="G37">
        <v>39</v>
      </c>
      <c r="H37">
        <v>9.4</v>
      </c>
      <c r="I37">
        <v>20</v>
      </c>
      <c r="J37" t="s">
        <v>28</v>
      </c>
      <c r="K37" t="s">
        <v>20</v>
      </c>
      <c r="L37" t="s">
        <v>147</v>
      </c>
      <c r="M37" s="3">
        <v>60</v>
      </c>
      <c r="N37" s="2">
        <v>18900</v>
      </c>
      <c r="O37" t="str">
        <f t="shared" si="0"/>
        <v>&lt;=100</v>
      </c>
      <c r="P37" t="str">
        <f t="shared" si="1"/>
        <v>&lt;= 20000$</v>
      </c>
    </row>
    <row r="38" spans="1:16" x14ac:dyDescent="0.25">
      <c r="A38">
        <v>37</v>
      </c>
      <c r="B38" t="s">
        <v>76</v>
      </c>
      <c r="C38" t="s">
        <v>255</v>
      </c>
      <c r="D38" t="s">
        <v>16</v>
      </c>
      <c r="E38" t="s">
        <v>17</v>
      </c>
      <c r="F38" s="3">
        <v>50</v>
      </c>
      <c r="G38">
        <v>41</v>
      </c>
      <c r="H38">
        <v>9.8000000000000007</v>
      </c>
      <c r="I38">
        <v>20</v>
      </c>
      <c r="J38" t="s">
        <v>28</v>
      </c>
      <c r="K38" t="s">
        <v>20</v>
      </c>
      <c r="L38" t="s">
        <v>21</v>
      </c>
      <c r="M38" s="3">
        <v>60</v>
      </c>
      <c r="N38" s="2">
        <v>18500</v>
      </c>
      <c r="O38" t="str">
        <f t="shared" si="0"/>
        <v>&lt;=100</v>
      </c>
      <c r="P38" t="str">
        <f t="shared" si="1"/>
        <v>&lt;= 20000$</v>
      </c>
    </row>
    <row r="39" spans="1:16" x14ac:dyDescent="0.25">
      <c r="A39">
        <v>38</v>
      </c>
      <c r="B39" t="s">
        <v>76</v>
      </c>
      <c r="C39" t="s">
        <v>256</v>
      </c>
      <c r="D39" t="s">
        <v>16</v>
      </c>
      <c r="E39" t="s">
        <v>17</v>
      </c>
      <c r="F39" s="3">
        <v>50</v>
      </c>
      <c r="G39">
        <v>37</v>
      </c>
      <c r="H39">
        <v>9</v>
      </c>
      <c r="I39">
        <v>16</v>
      </c>
      <c r="J39" t="s">
        <v>28</v>
      </c>
      <c r="K39" t="s">
        <v>20</v>
      </c>
      <c r="L39" t="s">
        <v>21</v>
      </c>
      <c r="M39" s="3">
        <v>60</v>
      </c>
      <c r="N39" s="2">
        <v>18000</v>
      </c>
      <c r="O39" t="str">
        <f t="shared" si="0"/>
        <v>&lt;=100</v>
      </c>
      <c r="P39" t="str">
        <f t="shared" si="1"/>
        <v>&lt;= 20000$</v>
      </c>
    </row>
    <row r="40" spans="1:16" x14ac:dyDescent="0.25">
      <c r="A40">
        <v>39</v>
      </c>
      <c r="B40" t="s">
        <v>76</v>
      </c>
      <c r="C40" t="s">
        <v>255</v>
      </c>
      <c r="D40" t="s">
        <v>16</v>
      </c>
      <c r="E40" t="s">
        <v>17</v>
      </c>
      <c r="F40" s="3">
        <v>50</v>
      </c>
      <c r="G40">
        <v>41</v>
      </c>
      <c r="H40">
        <v>10.4</v>
      </c>
      <c r="I40">
        <v>20</v>
      </c>
      <c r="J40" t="s">
        <v>19</v>
      </c>
      <c r="K40" t="s">
        <v>20</v>
      </c>
      <c r="L40" t="s">
        <v>21</v>
      </c>
      <c r="M40" s="3">
        <v>60</v>
      </c>
      <c r="N40" s="2">
        <v>17800</v>
      </c>
      <c r="O40" t="str">
        <f t="shared" si="0"/>
        <v>&lt;=100</v>
      </c>
      <c r="P40" t="str">
        <f t="shared" si="1"/>
        <v>&lt;= 20000$</v>
      </c>
    </row>
    <row r="41" spans="1:16" x14ac:dyDescent="0.25">
      <c r="A41">
        <v>40</v>
      </c>
      <c r="B41" t="s">
        <v>76</v>
      </c>
      <c r="C41" t="s">
        <v>255</v>
      </c>
      <c r="D41" t="s">
        <v>16</v>
      </c>
      <c r="E41" t="s">
        <v>17</v>
      </c>
      <c r="F41" s="3">
        <v>50</v>
      </c>
      <c r="G41">
        <v>41</v>
      </c>
      <c r="H41">
        <v>10.4</v>
      </c>
      <c r="I41">
        <v>20</v>
      </c>
      <c r="J41" t="s">
        <v>28</v>
      </c>
      <c r="K41" t="s">
        <v>20</v>
      </c>
      <c r="L41" t="s">
        <v>21</v>
      </c>
      <c r="M41" s="3">
        <v>60</v>
      </c>
      <c r="N41" s="2">
        <v>17000</v>
      </c>
      <c r="O41" t="str">
        <f t="shared" si="0"/>
        <v>&lt;=100</v>
      </c>
      <c r="P41" t="str">
        <f t="shared" si="1"/>
        <v>&lt;= 20000$</v>
      </c>
    </row>
    <row r="42" spans="1:16" x14ac:dyDescent="0.25">
      <c r="A42">
        <v>41</v>
      </c>
      <c r="B42" t="s">
        <v>76</v>
      </c>
      <c r="C42" t="s">
        <v>255</v>
      </c>
      <c r="D42" t="s">
        <v>16</v>
      </c>
      <c r="E42" t="s">
        <v>17</v>
      </c>
      <c r="F42" s="3">
        <v>50</v>
      </c>
      <c r="G42">
        <v>41</v>
      </c>
      <c r="H42">
        <v>10.4</v>
      </c>
      <c r="I42">
        <v>20</v>
      </c>
      <c r="J42" t="s">
        <v>248</v>
      </c>
      <c r="K42" t="s">
        <v>20</v>
      </c>
      <c r="L42" t="s">
        <v>21</v>
      </c>
      <c r="M42" s="3">
        <v>60</v>
      </c>
      <c r="N42" s="2">
        <v>17000</v>
      </c>
      <c r="O42" t="str">
        <f t="shared" si="0"/>
        <v>&lt;=100</v>
      </c>
      <c r="P42" t="str">
        <f t="shared" si="1"/>
        <v>&lt;= 20000$</v>
      </c>
    </row>
    <row r="43" spans="1:16" x14ac:dyDescent="0.25">
      <c r="A43">
        <v>42</v>
      </c>
      <c r="B43" t="s">
        <v>233</v>
      </c>
      <c r="C43" t="s">
        <v>258</v>
      </c>
      <c r="D43" t="s">
        <v>32</v>
      </c>
      <c r="E43" t="s">
        <v>17</v>
      </c>
      <c r="F43" s="3">
        <v>50</v>
      </c>
      <c r="G43">
        <v>40</v>
      </c>
      <c r="H43">
        <v>10.3</v>
      </c>
      <c r="I43">
        <v>20</v>
      </c>
      <c r="J43" t="s">
        <v>44</v>
      </c>
      <c r="K43" t="s">
        <v>20</v>
      </c>
      <c r="L43" t="s">
        <v>21</v>
      </c>
      <c r="M43" s="3">
        <v>120</v>
      </c>
      <c r="N43" s="2">
        <v>2750</v>
      </c>
      <c r="O43" t="str">
        <f t="shared" si="0"/>
        <v>&lt;=100</v>
      </c>
      <c r="P43" t="str">
        <f t="shared" si="1"/>
        <v>&lt;=5000$</v>
      </c>
    </row>
    <row r="44" spans="1:16" x14ac:dyDescent="0.25">
      <c r="A44">
        <v>43</v>
      </c>
      <c r="B44" t="s">
        <v>69</v>
      </c>
      <c r="C44" t="s">
        <v>259</v>
      </c>
      <c r="D44" t="s">
        <v>26</v>
      </c>
      <c r="E44" t="s">
        <v>17</v>
      </c>
      <c r="F44" s="3">
        <v>100</v>
      </c>
      <c r="G44">
        <v>42</v>
      </c>
      <c r="H44">
        <v>11.5</v>
      </c>
      <c r="I44">
        <v>24</v>
      </c>
      <c r="J44" t="s">
        <v>19</v>
      </c>
      <c r="K44" t="s">
        <v>20</v>
      </c>
      <c r="L44" t="s">
        <v>35</v>
      </c>
      <c r="M44" s="3">
        <v>42</v>
      </c>
      <c r="N44" s="2">
        <v>4500</v>
      </c>
      <c r="O44" t="str">
        <f t="shared" si="0"/>
        <v>&lt;=100</v>
      </c>
      <c r="P44" t="str">
        <f t="shared" si="1"/>
        <v>&lt;=5000$</v>
      </c>
    </row>
    <row r="45" spans="1:16" x14ac:dyDescent="0.25">
      <c r="A45">
        <v>44</v>
      </c>
      <c r="B45" t="s">
        <v>69</v>
      </c>
      <c r="C45" t="s">
        <v>260</v>
      </c>
      <c r="D45" t="s">
        <v>26</v>
      </c>
      <c r="E45" t="s">
        <v>17</v>
      </c>
      <c r="F45" s="3">
        <v>100</v>
      </c>
      <c r="G45">
        <v>42</v>
      </c>
      <c r="H45">
        <v>9.8000000000000007</v>
      </c>
      <c r="I45">
        <v>24</v>
      </c>
      <c r="J45" t="s">
        <v>19</v>
      </c>
      <c r="K45" t="s">
        <v>20</v>
      </c>
      <c r="L45" t="s">
        <v>45</v>
      </c>
      <c r="M45" s="3">
        <v>40</v>
      </c>
      <c r="N45" s="2">
        <v>3800</v>
      </c>
      <c r="O45" t="str">
        <f t="shared" si="0"/>
        <v>&lt;=100</v>
      </c>
      <c r="P45" t="str">
        <f t="shared" si="1"/>
        <v>&lt;=5000$</v>
      </c>
    </row>
    <row r="46" spans="1:16" x14ac:dyDescent="0.25">
      <c r="A46">
        <v>45</v>
      </c>
      <c r="B46" t="s">
        <v>69</v>
      </c>
      <c r="C46" t="s">
        <v>261</v>
      </c>
      <c r="D46" t="s">
        <v>26</v>
      </c>
      <c r="E46" t="s">
        <v>17</v>
      </c>
      <c r="F46" s="3">
        <v>100</v>
      </c>
      <c r="G46">
        <v>41</v>
      </c>
      <c r="H46">
        <v>9.6999999999999993</v>
      </c>
      <c r="I46">
        <v>22</v>
      </c>
      <c r="J46" t="s">
        <v>19</v>
      </c>
      <c r="K46" t="s">
        <v>20</v>
      </c>
      <c r="L46" t="s">
        <v>21</v>
      </c>
      <c r="M46" s="3">
        <v>40</v>
      </c>
      <c r="N46" s="2">
        <v>2500</v>
      </c>
      <c r="O46" t="str">
        <f t="shared" si="0"/>
        <v>&lt;=100</v>
      </c>
      <c r="P46" t="str">
        <f t="shared" si="1"/>
        <v>&lt;=5000$</v>
      </c>
    </row>
    <row r="47" spans="1:16" x14ac:dyDescent="0.25">
      <c r="A47">
        <v>46</v>
      </c>
      <c r="B47" t="s">
        <v>69</v>
      </c>
      <c r="C47" t="s">
        <v>260</v>
      </c>
      <c r="D47" t="s">
        <v>26</v>
      </c>
      <c r="E47" t="s">
        <v>17</v>
      </c>
      <c r="F47" s="3">
        <v>100</v>
      </c>
      <c r="G47">
        <v>42</v>
      </c>
      <c r="H47">
        <v>9.3000000000000007</v>
      </c>
      <c r="I47">
        <v>22</v>
      </c>
      <c r="J47" t="s">
        <v>19</v>
      </c>
      <c r="K47" t="s">
        <v>20</v>
      </c>
      <c r="L47" t="s">
        <v>45</v>
      </c>
      <c r="M47" s="3">
        <v>42</v>
      </c>
      <c r="N47" s="2">
        <v>2399</v>
      </c>
      <c r="O47" t="str">
        <f t="shared" si="0"/>
        <v>&lt;=100</v>
      </c>
      <c r="P47" t="str">
        <f t="shared" si="1"/>
        <v>&lt;=5000$</v>
      </c>
    </row>
    <row r="48" spans="1:16" x14ac:dyDescent="0.25">
      <c r="A48">
        <v>47</v>
      </c>
      <c r="B48" t="s">
        <v>109</v>
      </c>
      <c r="C48" t="s">
        <v>262</v>
      </c>
      <c r="D48" t="s">
        <v>26</v>
      </c>
      <c r="E48" t="s">
        <v>17</v>
      </c>
      <c r="F48" s="3">
        <v>300</v>
      </c>
      <c r="G48">
        <v>45</v>
      </c>
      <c r="H48">
        <v>15.5</v>
      </c>
      <c r="I48">
        <v>23</v>
      </c>
      <c r="J48" t="s">
        <v>19</v>
      </c>
      <c r="K48" t="s">
        <v>20</v>
      </c>
      <c r="L48" t="s">
        <v>45</v>
      </c>
      <c r="M48" s="3">
        <v>120</v>
      </c>
      <c r="N48" s="2">
        <v>16800</v>
      </c>
      <c r="O48" t="str">
        <f t="shared" si="0"/>
        <v>200-300</v>
      </c>
      <c r="P48" t="str">
        <f t="shared" si="1"/>
        <v>&lt;= 20000$</v>
      </c>
    </row>
    <row r="49" spans="1:16" x14ac:dyDescent="0.25">
      <c r="A49">
        <v>48</v>
      </c>
      <c r="B49" t="s">
        <v>109</v>
      </c>
      <c r="C49" t="s">
        <v>263</v>
      </c>
      <c r="D49" t="s">
        <v>111</v>
      </c>
      <c r="E49" t="s">
        <v>17</v>
      </c>
      <c r="F49" s="3">
        <v>300</v>
      </c>
      <c r="G49">
        <v>45</v>
      </c>
      <c r="H49">
        <v>15.4</v>
      </c>
      <c r="I49">
        <v>23</v>
      </c>
      <c r="J49" t="s">
        <v>19</v>
      </c>
      <c r="K49" t="s">
        <v>20</v>
      </c>
      <c r="L49" t="s">
        <v>21</v>
      </c>
      <c r="M49" s="3">
        <v>120</v>
      </c>
      <c r="N49" s="2">
        <v>15000</v>
      </c>
      <c r="O49" t="str">
        <f t="shared" si="0"/>
        <v>200-300</v>
      </c>
      <c r="P49" t="str">
        <f t="shared" si="1"/>
        <v>&lt;= 20000$</v>
      </c>
    </row>
    <row r="50" spans="1:16" x14ac:dyDescent="0.25">
      <c r="A50">
        <v>49</v>
      </c>
      <c r="B50" t="s">
        <v>109</v>
      </c>
      <c r="C50" t="s">
        <v>263</v>
      </c>
      <c r="D50" t="s">
        <v>111</v>
      </c>
      <c r="E50" t="s">
        <v>17</v>
      </c>
      <c r="F50" s="3">
        <v>300</v>
      </c>
      <c r="G50">
        <v>45</v>
      </c>
      <c r="H50">
        <v>15.5</v>
      </c>
      <c r="I50">
        <v>23</v>
      </c>
      <c r="J50" t="s">
        <v>19</v>
      </c>
      <c r="K50" t="s">
        <v>20</v>
      </c>
      <c r="L50" t="s">
        <v>21</v>
      </c>
      <c r="M50" s="3">
        <v>120</v>
      </c>
      <c r="N50" s="2">
        <v>14900</v>
      </c>
      <c r="O50" t="str">
        <f t="shared" si="0"/>
        <v>200-300</v>
      </c>
      <c r="P50" t="str">
        <f t="shared" si="1"/>
        <v>&lt;= 20000$</v>
      </c>
    </row>
    <row r="51" spans="1:16" x14ac:dyDescent="0.25">
      <c r="A51">
        <v>50</v>
      </c>
      <c r="B51" t="s">
        <v>109</v>
      </c>
      <c r="C51" t="s">
        <v>264</v>
      </c>
      <c r="D51" t="s">
        <v>26</v>
      </c>
      <c r="E51" t="s">
        <v>17</v>
      </c>
      <c r="F51" s="3">
        <v>300</v>
      </c>
      <c r="G51">
        <v>43</v>
      </c>
      <c r="H51">
        <v>13.4</v>
      </c>
      <c r="I51">
        <v>23</v>
      </c>
      <c r="J51" t="s">
        <v>19</v>
      </c>
      <c r="K51" t="s">
        <v>20</v>
      </c>
      <c r="L51" t="s">
        <v>21</v>
      </c>
      <c r="M51" s="3">
        <v>120</v>
      </c>
      <c r="N51" s="2">
        <v>14700</v>
      </c>
      <c r="O51" t="str">
        <f t="shared" si="0"/>
        <v>200-300</v>
      </c>
      <c r="P51" t="str">
        <f t="shared" si="1"/>
        <v>&lt;= 20000$</v>
      </c>
    </row>
    <row r="52" spans="1:16" x14ac:dyDescent="0.25">
      <c r="A52">
        <v>51</v>
      </c>
      <c r="B52" t="s">
        <v>109</v>
      </c>
      <c r="C52" t="s">
        <v>262</v>
      </c>
      <c r="D52" t="s">
        <v>140</v>
      </c>
      <c r="E52" t="s">
        <v>17</v>
      </c>
      <c r="F52" s="3">
        <v>300</v>
      </c>
      <c r="G52">
        <v>45</v>
      </c>
      <c r="H52">
        <v>15.4</v>
      </c>
      <c r="I52">
        <v>23</v>
      </c>
      <c r="J52" t="s">
        <v>19</v>
      </c>
      <c r="K52" t="s">
        <v>20</v>
      </c>
      <c r="L52" t="s">
        <v>21</v>
      </c>
      <c r="M52" s="3">
        <v>120</v>
      </c>
      <c r="N52" s="2">
        <v>14500</v>
      </c>
      <c r="O52" t="str">
        <f t="shared" si="0"/>
        <v>200-300</v>
      </c>
      <c r="P52" t="str">
        <f t="shared" si="1"/>
        <v>&lt;= 20000$</v>
      </c>
    </row>
    <row r="53" spans="1:16" x14ac:dyDescent="0.25">
      <c r="A53">
        <v>52</v>
      </c>
      <c r="B53" t="s">
        <v>109</v>
      </c>
      <c r="C53" t="s">
        <v>263</v>
      </c>
      <c r="D53" t="s">
        <v>111</v>
      </c>
      <c r="E53" t="s">
        <v>17</v>
      </c>
      <c r="F53" s="3">
        <v>300</v>
      </c>
      <c r="G53">
        <v>45</v>
      </c>
      <c r="H53">
        <v>15.5</v>
      </c>
      <c r="I53">
        <v>22</v>
      </c>
      <c r="J53" t="s">
        <v>19</v>
      </c>
      <c r="K53" t="s">
        <v>20</v>
      </c>
      <c r="L53" t="s">
        <v>21</v>
      </c>
      <c r="M53" s="3">
        <v>120</v>
      </c>
      <c r="N53" s="2">
        <v>14400</v>
      </c>
      <c r="O53" t="str">
        <f t="shared" si="0"/>
        <v>200-300</v>
      </c>
      <c r="P53" t="str">
        <f t="shared" si="1"/>
        <v>&lt;= 20000$</v>
      </c>
    </row>
    <row r="54" spans="1:16" x14ac:dyDescent="0.25">
      <c r="A54">
        <v>53</v>
      </c>
      <c r="B54" t="s">
        <v>109</v>
      </c>
      <c r="C54" t="s">
        <v>263</v>
      </c>
      <c r="D54" t="s">
        <v>140</v>
      </c>
      <c r="E54" t="s">
        <v>17</v>
      </c>
      <c r="F54" s="3">
        <v>300</v>
      </c>
      <c r="G54">
        <v>45</v>
      </c>
      <c r="H54">
        <v>15.5</v>
      </c>
      <c r="I54">
        <v>23</v>
      </c>
      <c r="J54" t="s">
        <v>19</v>
      </c>
      <c r="K54" t="s">
        <v>20</v>
      </c>
      <c r="L54" t="s">
        <v>21</v>
      </c>
      <c r="M54" s="3">
        <v>120</v>
      </c>
      <c r="N54" s="2">
        <v>14000</v>
      </c>
      <c r="O54" t="str">
        <f t="shared" si="0"/>
        <v>200-300</v>
      </c>
      <c r="P54" t="str">
        <f t="shared" si="1"/>
        <v>&lt;= 20000$</v>
      </c>
    </row>
    <row r="55" spans="1:16" x14ac:dyDescent="0.25">
      <c r="A55">
        <v>54</v>
      </c>
      <c r="B55" t="s">
        <v>109</v>
      </c>
      <c r="C55" t="s">
        <v>263</v>
      </c>
      <c r="D55" t="s">
        <v>111</v>
      </c>
      <c r="E55" t="s">
        <v>17</v>
      </c>
      <c r="F55" s="3">
        <v>300</v>
      </c>
      <c r="G55">
        <v>45</v>
      </c>
      <c r="H55">
        <v>15.4</v>
      </c>
      <c r="I55">
        <v>23</v>
      </c>
      <c r="J55" t="s">
        <v>19</v>
      </c>
      <c r="K55" t="s">
        <v>20</v>
      </c>
      <c r="L55" t="s">
        <v>21</v>
      </c>
      <c r="M55" s="3">
        <v>120</v>
      </c>
      <c r="N55" s="2">
        <v>14000</v>
      </c>
      <c r="O55" t="str">
        <f t="shared" si="0"/>
        <v>200-300</v>
      </c>
      <c r="P55" t="str">
        <f t="shared" si="1"/>
        <v>&lt;= 20000$</v>
      </c>
    </row>
    <row r="56" spans="1:16" x14ac:dyDescent="0.25">
      <c r="A56">
        <v>55</v>
      </c>
      <c r="B56" t="s">
        <v>109</v>
      </c>
      <c r="C56" t="s">
        <v>263</v>
      </c>
      <c r="D56" t="s">
        <v>26</v>
      </c>
      <c r="E56" t="s">
        <v>17</v>
      </c>
      <c r="F56" s="3">
        <v>300</v>
      </c>
      <c r="G56">
        <v>45</v>
      </c>
      <c r="H56">
        <v>15.5</v>
      </c>
      <c r="I56">
        <v>23</v>
      </c>
      <c r="J56" t="s">
        <v>19</v>
      </c>
      <c r="K56" t="s">
        <v>20</v>
      </c>
      <c r="L56" t="s">
        <v>21</v>
      </c>
      <c r="M56" s="3">
        <v>120</v>
      </c>
      <c r="N56" s="2">
        <v>14000</v>
      </c>
      <c r="O56" t="str">
        <f t="shared" si="0"/>
        <v>200-300</v>
      </c>
      <c r="P56" t="str">
        <f t="shared" si="1"/>
        <v>&lt;= 20000$</v>
      </c>
    </row>
    <row r="57" spans="1:16" x14ac:dyDescent="0.25">
      <c r="A57">
        <v>56</v>
      </c>
      <c r="B57" t="s">
        <v>109</v>
      </c>
      <c r="C57" t="s">
        <v>262</v>
      </c>
      <c r="D57" t="s">
        <v>140</v>
      </c>
      <c r="E57" t="s">
        <v>17</v>
      </c>
      <c r="F57" s="3">
        <v>300</v>
      </c>
      <c r="G57">
        <v>45</v>
      </c>
      <c r="H57">
        <v>15.4</v>
      </c>
      <c r="I57">
        <v>23</v>
      </c>
      <c r="J57" t="s">
        <v>19</v>
      </c>
      <c r="K57" t="s">
        <v>20</v>
      </c>
      <c r="L57" t="s">
        <v>45</v>
      </c>
      <c r="M57" s="3">
        <v>120</v>
      </c>
      <c r="N57" s="2">
        <v>14000</v>
      </c>
      <c r="O57" t="str">
        <f t="shared" si="0"/>
        <v>200-300</v>
      </c>
      <c r="P57" t="str">
        <f t="shared" si="1"/>
        <v>&lt;= 20000$</v>
      </c>
    </row>
    <row r="58" spans="1:16" x14ac:dyDescent="0.25">
      <c r="A58">
        <v>57</v>
      </c>
      <c r="B58" t="s">
        <v>109</v>
      </c>
      <c r="C58" t="s">
        <v>263</v>
      </c>
      <c r="D58" t="s">
        <v>140</v>
      </c>
      <c r="E58" t="s">
        <v>17</v>
      </c>
      <c r="F58" s="3">
        <v>300</v>
      </c>
      <c r="G58">
        <v>45</v>
      </c>
      <c r="H58">
        <v>15.4</v>
      </c>
      <c r="I58">
        <v>23</v>
      </c>
      <c r="J58" t="s">
        <v>19</v>
      </c>
      <c r="K58" t="s">
        <v>20</v>
      </c>
      <c r="L58" t="s">
        <v>21</v>
      </c>
      <c r="M58" s="3">
        <v>120</v>
      </c>
      <c r="N58" s="2">
        <v>13900</v>
      </c>
      <c r="O58" t="str">
        <f t="shared" si="0"/>
        <v>200-300</v>
      </c>
      <c r="P58" t="str">
        <f t="shared" si="1"/>
        <v>&lt;= 20000$</v>
      </c>
    </row>
    <row r="59" spans="1:16" x14ac:dyDescent="0.25">
      <c r="A59">
        <v>58</v>
      </c>
      <c r="B59" t="s">
        <v>109</v>
      </c>
      <c r="C59" t="s">
        <v>263</v>
      </c>
      <c r="D59" t="s">
        <v>111</v>
      </c>
      <c r="E59" t="s">
        <v>17</v>
      </c>
      <c r="F59" s="3">
        <v>300</v>
      </c>
      <c r="G59">
        <v>45</v>
      </c>
      <c r="H59">
        <v>15.4</v>
      </c>
      <c r="I59">
        <v>23</v>
      </c>
      <c r="J59" t="s">
        <v>19</v>
      </c>
      <c r="K59" t="s">
        <v>20</v>
      </c>
      <c r="L59" t="s">
        <v>188</v>
      </c>
      <c r="M59" s="3">
        <v>120</v>
      </c>
      <c r="N59" s="2">
        <v>13500</v>
      </c>
      <c r="O59" t="str">
        <f t="shared" si="0"/>
        <v>200-300</v>
      </c>
      <c r="P59" t="str">
        <f t="shared" si="1"/>
        <v>&lt;= 20000$</v>
      </c>
    </row>
    <row r="60" spans="1:16" x14ac:dyDescent="0.25">
      <c r="A60">
        <v>59</v>
      </c>
      <c r="B60" t="s">
        <v>109</v>
      </c>
      <c r="C60" t="s">
        <v>263</v>
      </c>
      <c r="D60" t="s">
        <v>26</v>
      </c>
      <c r="E60" t="s">
        <v>17</v>
      </c>
      <c r="F60" s="3">
        <v>300</v>
      </c>
      <c r="G60">
        <v>45</v>
      </c>
      <c r="H60">
        <v>15.4</v>
      </c>
      <c r="I60">
        <v>23</v>
      </c>
      <c r="J60" t="s">
        <v>19</v>
      </c>
      <c r="K60" t="s">
        <v>20</v>
      </c>
      <c r="L60" t="s">
        <v>21</v>
      </c>
      <c r="M60" s="3">
        <v>120</v>
      </c>
      <c r="N60" s="2">
        <v>13500</v>
      </c>
      <c r="O60" t="str">
        <f t="shared" si="0"/>
        <v>200-300</v>
      </c>
      <c r="P60" t="str">
        <f t="shared" si="1"/>
        <v>&lt;= 20000$</v>
      </c>
    </row>
    <row r="61" spans="1:16" x14ac:dyDescent="0.25">
      <c r="A61">
        <v>60</v>
      </c>
      <c r="B61" t="s">
        <v>109</v>
      </c>
      <c r="C61" t="s">
        <v>263</v>
      </c>
      <c r="D61" t="s">
        <v>26</v>
      </c>
      <c r="E61" t="s">
        <v>17</v>
      </c>
      <c r="F61" s="3">
        <v>300</v>
      </c>
      <c r="G61">
        <v>45</v>
      </c>
      <c r="H61">
        <v>15.5</v>
      </c>
      <c r="I61">
        <v>23</v>
      </c>
      <c r="J61" t="s">
        <v>19</v>
      </c>
      <c r="K61" t="s">
        <v>20</v>
      </c>
      <c r="L61" t="s">
        <v>21</v>
      </c>
      <c r="M61" s="3">
        <v>120</v>
      </c>
      <c r="N61" s="2">
        <v>13500</v>
      </c>
      <c r="O61" t="str">
        <f t="shared" si="0"/>
        <v>200-300</v>
      </c>
      <c r="P61" t="str">
        <f t="shared" si="1"/>
        <v>&lt;= 20000$</v>
      </c>
    </row>
    <row r="62" spans="1:16" x14ac:dyDescent="0.25">
      <c r="A62">
        <v>61</v>
      </c>
      <c r="B62" t="s">
        <v>109</v>
      </c>
      <c r="C62" t="s">
        <v>263</v>
      </c>
      <c r="D62" t="s">
        <v>140</v>
      </c>
      <c r="E62" t="s">
        <v>17</v>
      </c>
      <c r="F62" s="3">
        <v>300</v>
      </c>
      <c r="G62">
        <v>45</v>
      </c>
      <c r="H62">
        <v>15.5</v>
      </c>
      <c r="I62">
        <v>23</v>
      </c>
      <c r="J62" t="s">
        <v>19</v>
      </c>
      <c r="K62" t="s">
        <v>20</v>
      </c>
      <c r="L62" t="s">
        <v>21</v>
      </c>
      <c r="M62" s="3">
        <v>120</v>
      </c>
      <c r="N62" s="2">
        <v>13500</v>
      </c>
      <c r="O62" t="str">
        <f t="shared" si="0"/>
        <v>200-300</v>
      </c>
      <c r="P62" t="str">
        <f t="shared" si="1"/>
        <v>&lt;= 20000$</v>
      </c>
    </row>
    <row r="63" spans="1:16" x14ac:dyDescent="0.25">
      <c r="A63">
        <v>62</v>
      </c>
      <c r="B63" t="s">
        <v>109</v>
      </c>
      <c r="C63" t="s">
        <v>263</v>
      </c>
      <c r="D63" t="s">
        <v>140</v>
      </c>
      <c r="E63" t="s">
        <v>17</v>
      </c>
      <c r="F63" s="3">
        <v>300</v>
      </c>
      <c r="G63">
        <v>45</v>
      </c>
      <c r="H63">
        <v>15.5</v>
      </c>
      <c r="I63">
        <v>23</v>
      </c>
      <c r="J63" t="s">
        <v>19</v>
      </c>
      <c r="K63" t="s">
        <v>20</v>
      </c>
      <c r="L63" t="s">
        <v>21</v>
      </c>
      <c r="M63" s="3">
        <v>120</v>
      </c>
      <c r="N63" s="2">
        <v>13000</v>
      </c>
      <c r="O63" t="str">
        <f t="shared" si="0"/>
        <v>200-300</v>
      </c>
      <c r="P63" t="str">
        <f t="shared" si="1"/>
        <v>&lt;= 20000$</v>
      </c>
    </row>
    <row r="64" spans="1:16" x14ac:dyDescent="0.25">
      <c r="A64">
        <v>63</v>
      </c>
      <c r="B64" t="s">
        <v>109</v>
      </c>
      <c r="C64" t="s">
        <v>263</v>
      </c>
      <c r="D64" t="s">
        <v>26</v>
      </c>
      <c r="E64" t="s">
        <v>17</v>
      </c>
      <c r="F64" s="3">
        <v>300</v>
      </c>
      <c r="G64">
        <v>45</v>
      </c>
      <c r="H64">
        <v>15.5</v>
      </c>
      <c r="I64">
        <v>23</v>
      </c>
      <c r="J64" t="s">
        <v>19</v>
      </c>
      <c r="K64" t="s">
        <v>20</v>
      </c>
      <c r="L64" t="s">
        <v>21</v>
      </c>
      <c r="M64" s="3">
        <v>120</v>
      </c>
      <c r="N64" s="2">
        <v>12900</v>
      </c>
      <c r="O64" t="str">
        <f t="shared" si="0"/>
        <v>200-300</v>
      </c>
      <c r="P64" t="str">
        <f t="shared" si="1"/>
        <v>&lt;= 20000$</v>
      </c>
    </row>
    <row r="65" spans="1:16" x14ac:dyDescent="0.25">
      <c r="A65">
        <v>64</v>
      </c>
      <c r="B65" t="s">
        <v>109</v>
      </c>
      <c r="C65" t="s">
        <v>263</v>
      </c>
      <c r="D65" t="s">
        <v>111</v>
      </c>
      <c r="E65" t="s">
        <v>17</v>
      </c>
      <c r="F65" s="3">
        <v>300</v>
      </c>
      <c r="G65">
        <v>45</v>
      </c>
      <c r="H65">
        <v>15.5</v>
      </c>
      <c r="I65">
        <v>23</v>
      </c>
      <c r="J65" t="s">
        <v>19</v>
      </c>
      <c r="K65" t="s">
        <v>20</v>
      </c>
      <c r="L65" t="s">
        <v>21</v>
      </c>
      <c r="M65" s="3">
        <v>120</v>
      </c>
      <c r="N65" s="2">
        <v>12800</v>
      </c>
      <c r="O65" t="str">
        <f t="shared" si="0"/>
        <v>200-300</v>
      </c>
      <c r="P65" t="str">
        <f t="shared" si="1"/>
        <v>&lt;= 20000$</v>
      </c>
    </row>
    <row r="66" spans="1:16" x14ac:dyDescent="0.25">
      <c r="A66">
        <v>65</v>
      </c>
      <c r="B66" t="s">
        <v>109</v>
      </c>
      <c r="C66" t="s">
        <v>263</v>
      </c>
      <c r="D66" t="s">
        <v>205</v>
      </c>
      <c r="E66" t="s">
        <v>17</v>
      </c>
      <c r="F66" s="3">
        <v>300</v>
      </c>
      <c r="G66">
        <v>45</v>
      </c>
      <c r="H66">
        <v>15.5</v>
      </c>
      <c r="I66">
        <v>23</v>
      </c>
      <c r="J66" t="s">
        <v>19</v>
      </c>
      <c r="K66" t="s">
        <v>20</v>
      </c>
      <c r="L66" t="s">
        <v>45</v>
      </c>
      <c r="M66" s="3">
        <v>120</v>
      </c>
      <c r="N66" s="2">
        <v>12500</v>
      </c>
      <c r="O66" t="str">
        <f t="shared" si="0"/>
        <v>200-300</v>
      </c>
      <c r="P66" t="str">
        <f t="shared" si="1"/>
        <v>&lt;= 20000$</v>
      </c>
    </row>
    <row r="67" spans="1:16" x14ac:dyDescent="0.25">
      <c r="A67">
        <v>66</v>
      </c>
      <c r="B67" t="s">
        <v>109</v>
      </c>
      <c r="C67" t="s">
        <v>263</v>
      </c>
      <c r="D67" t="s">
        <v>26</v>
      </c>
      <c r="E67" t="s">
        <v>17</v>
      </c>
      <c r="F67" s="3">
        <v>300</v>
      </c>
      <c r="G67">
        <v>45</v>
      </c>
      <c r="H67">
        <v>15.4</v>
      </c>
      <c r="I67">
        <v>23</v>
      </c>
      <c r="J67" t="s">
        <v>19</v>
      </c>
      <c r="K67" t="s">
        <v>20</v>
      </c>
      <c r="L67" t="s">
        <v>21</v>
      </c>
      <c r="M67" s="3">
        <v>120</v>
      </c>
      <c r="N67" s="2">
        <v>12500</v>
      </c>
      <c r="O67" t="str">
        <f t="shared" ref="O67:O130" si="2">IF($F67&lt;=100, "&lt;=100", IF($F67&lt;=200, "100-200", IF($F67&lt;=300, "200-300", IF($F67&lt;=500, "300-500", IF($F67&lt;1000, "500-1000", "1000+")))))</f>
        <v>200-300</v>
      </c>
      <c r="P67" t="str">
        <f t="shared" ref="P67:P130" si="3">IF(N67&lt;=1000, "&lt;= 1000$", IF(N67&lt;=2000, " &lt;=2000$", IF(N67&lt;=5000, "&lt;=5000$", IF(N67&lt;=10000, "&lt;= 10000$", IF(N67&lt;=20000, "&lt;= 20000$", IF(N67&lt;40000, "&lt;= 40000$", "40000$ +"))))))</f>
        <v>&lt;= 20000$</v>
      </c>
    </row>
    <row r="68" spans="1:16" x14ac:dyDescent="0.25">
      <c r="A68">
        <v>67</v>
      </c>
      <c r="B68" t="s">
        <v>109</v>
      </c>
      <c r="C68" t="s">
        <v>263</v>
      </c>
      <c r="D68" t="s">
        <v>111</v>
      </c>
      <c r="E68" t="s">
        <v>17</v>
      </c>
      <c r="F68" s="3">
        <v>300</v>
      </c>
      <c r="G68">
        <v>45</v>
      </c>
      <c r="H68">
        <v>15.5</v>
      </c>
      <c r="I68">
        <v>23</v>
      </c>
      <c r="J68" t="s">
        <v>19</v>
      </c>
      <c r="K68" t="s">
        <v>20</v>
      </c>
      <c r="L68" t="s">
        <v>21</v>
      </c>
      <c r="M68" s="3">
        <v>120</v>
      </c>
      <c r="N68" s="2">
        <v>12500</v>
      </c>
      <c r="O68" t="str">
        <f t="shared" si="2"/>
        <v>200-300</v>
      </c>
      <c r="P68" t="str">
        <f t="shared" si="3"/>
        <v>&lt;= 20000$</v>
      </c>
    </row>
    <row r="69" spans="1:16" x14ac:dyDescent="0.25">
      <c r="A69">
        <v>68</v>
      </c>
      <c r="B69" t="s">
        <v>109</v>
      </c>
      <c r="C69" t="s">
        <v>265</v>
      </c>
      <c r="D69" t="s">
        <v>140</v>
      </c>
      <c r="E69" t="s">
        <v>17</v>
      </c>
      <c r="F69" s="3">
        <v>300</v>
      </c>
      <c r="G69">
        <v>43.6</v>
      </c>
      <c r="H69">
        <v>13.83</v>
      </c>
      <c r="I69">
        <v>23</v>
      </c>
      <c r="J69" t="s">
        <v>19</v>
      </c>
      <c r="K69" t="s">
        <v>20</v>
      </c>
      <c r="L69" t="s">
        <v>146</v>
      </c>
      <c r="M69" s="3">
        <v>120</v>
      </c>
      <c r="N69" s="2">
        <v>12000</v>
      </c>
      <c r="O69" t="str">
        <f t="shared" si="2"/>
        <v>200-300</v>
      </c>
      <c r="P69" t="str">
        <f t="shared" si="3"/>
        <v>&lt;= 20000$</v>
      </c>
    </row>
    <row r="70" spans="1:16" x14ac:dyDescent="0.25">
      <c r="A70">
        <v>69</v>
      </c>
      <c r="B70" t="s">
        <v>109</v>
      </c>
      <c r="C70" t="s">
        <v>262</v>
      </c>
      <c r="D70" t="s">
        <v>140</v>
      </c>
      <c r="E70" t="s">
        <v>17</v>
      </c>
      <c r="F70" s="3">
        <v>300</v>
      </c>
      <c r="G70">
        <v>45</v>
      </c>
      <c r="H70">
        <v>15.4</v>
      </c>
      <c r="I70">
        <v>23</v>
      </c>
      <c r="J70" t="s">
        <v>19</v>
      </c>
      <c r="K70" t="s">
        <v>20</v>
      </c>
      <c r="L70" t="s">
        <v>21</v>
      </c>
      <c r="M70" s="3">
        <v>120</v>
      </c>
      <c r="N70" s="2">
        <v>12000</v>
      </c>
      <c r="O70" t="str">
        <f t="shared" si="2"/>
        <v>200-300</v>
      </c>
      <c r="P70" t="str">
        <f t="shared" si="3"/>
        <v>&lt;= 20000$</v>
      </c>
    </row>
    <row r="71" spans="1:16" x14ac:dyDescent="0.25">
      <c r="A71">
        <v>70</v>
      </c>
      <c r="B71" t="s">
        <v>109</v>
      </c>
      <c r="C71" t="s">
        <v>263</v>
      </c>
      <c r="D71" t="s">
        <v>205</v>
      </c>
      <c r="E71" t="s">
        <v>17</v>
      </c>
      <c r="F71" s="3">
        <v>300</v>
      </c>
      <c r="G71">
        <v>45</v>
      </c>
      <c r="H71">
        <v>15.5</v>
      </c>
      <c r="I71">
        <v>23</v>
      </c>
      <c r="J71" t="s">
        <v>19</v>
      </c>
      <c r="K71" t="s">
        <v>20</v>
      </c>
      <c r="L71" t="s">
        <v>21</v>
      </c>
      <c r="M71" s="3">
        <v>120</v>
      </c>
      <c r="N71" s="2">
        <v>12000</v>
      </c>
      <c r="O71" t="str">
        <f t="shared" si="2"/>
        <v>200-300</v>
      </c>
      <c r="P71" t="str">
        <f t="shared" si="3"/>
        <v>&lt;= 20000$</v>
      </c>
    </row>
    <row r="72" spans="1:16" x14ac:dyDescent="0.25">
      <c r="A72">
        <v>71</v>
      </c>
      <c r="B72" t="s">
        <v>109</v>
      </c>
      <c r="C72" t="s">
        <v>263</v>
      </c>
      <c r="D72" t="s">
        <v>111</v>
      </c>
      <c r="E72" t="s">
        <v>17</v>
      </c>
      <c r="F72" s="3">
        <v>300</v>
      </c>
      <c r="G72">
        <v>45</v>
      </c>
      <c r="H72">
        <v>15.4</v>
      </c>
      <c r="I72">
        <v>23</v>
      </c>
      <c r="J72" t="s">
        <v>19</v>
      </c>
      <c r="K72" t="s">
        <v>20</v>
      </c>
      <c r="L72" t="s">
        <v>21</v>
      </c>
      <c r="M72" s="3">
        <v>120</v>
      </c>
      <c r="N72" s="2">
        <v>11500</v>
      </c>
      <c r="O72" t="str">
        <f t="shared" si="2"/>
        <v>200-300</v>
      </c>
      <c r="P72" t="str">
        <f t="shared" si="3"/>
        <v>&lt;= 20000$</v>
      </c>
    </row>
    <row r="73" spans="1:16" x14ac:dyDescent="0.25">
      <c r="A73">
        <v>72</v>
      </c>
      <c r="B73" t="s">
        <v>109</v>
      </c>
      <c r="C73" t="s">
        <v>263</v>
      </c>
      <c r="D73" t="s">
        <v>111</v>
      </c>
      <c r="E73" t="s">
        <v>17</v>
      </c>
      <c r="F73" s="3">
        <v>300</v>
      </c>
      <c r="G73">
        <v>45</v>
      </c>
      <c r="H73">
        <v>15.4</v>
      </c>
      <c r="I73">
        <v>23</v>
      </c>
      <c r="J73" t="s">
        <v>19</v>
      </c>
      <c r="K73" t="s">
        <v>20</v>
      </c>
      <c r="L73" t="s">
        <v>21</v>
      </c>
      <c r="M73" s="3">
        <v>120</v>
      </c>
      <c r="N73" s="2">
        <v>11500</v>
      </c>
      <c r="O73" t="str">
        <f t="shared" si="2"/>
        <v>200-300</v>
      </c>
      <c r="P73" t="str">
        <f t="shared" si="3"/>
        <v>&lt;= 20000$</v>
      </c>
    </row>
    <row r="74" spans="1:16" x14ac:dyDescent="0.25">
      <c r="A74">
        <v>73</v>
      </c>
      <c r="B74" t="s">
        <v>109</v>
      </c>
      <c r="C74" t="s">
        <v>263</v>
      </c>
      <c r="D74" t="s">
        <v>140</v>
      </c>
      <c r="E74" t="s">
        <v>17</v>
      </c>
      <c r="F74" s="3">
        <v>300</v>
      </c>
      <c r="G74">
        <v>45</v>
      </c>
      <c r="H74">
        <v>15.5</v>
      </c>
      <c r="I74">
        <v>23</v>
      </c>
      <c r="J74" t="s">
        <v>19</v>
      </c>
      <c r="K74" t="s">
        <v>20</v>
      </c>
      <c r="L74" t="s">
        <v>147</v>
      </c>
      <c r="M74" s="3">
        <v>120</v>
      </c>
      <c r="N74" s="2">
        <v>11000</v>
      </c>
      <c r="O74" t="str">
        <f t="shared" si="2"/>
        <v>200-300</v>
      </c>
      <c r="P74" t="str">
        <f t="shared" si="3"/>
        <v>&lt;= 20000$</v>
      </c>
    </row>
    <row r="75" spans="1:16" x14ac:dyDescent="0.25">
      <c r="A75">
        <v>74</v>
      </c>
      <c r="B75" t="s">
        <v>109</v>
      </c>
      <c r="C75" t="s">
        <v>263</v>
      </c>
      <c r="D75" t="s">
        <v>111</v>
      </c>
      <c r="E75" t="s">
        <v>17</v>
      </c>
      <c r="F75" s="3">
        <v>300</v>
      </c>
      <c r="G75">
        <v>45</v>
      </c>
      <c r="H75">
        <v>15.5</v>
      </c>
      <c r="I75">
        <v>23</v>
      </c>
      <c r="J75" t="s">
        <v>19</v>
      </c>
      <c r="K75" t="s">
        <v>20</v>
      </c>
      <c r="L75" t="s">
        <v>45</v>
      </c>
      <c r="M75" s="3">
        <v>120</v>
      </c>
      <c r="N75" s="2">
        <v>10500</v>
      </c>
      <c r="O75" t="str">
        <f t="shared" si="2"/>
        <v>200-300</v>
      </c>
      <c r="P75" t="str">
        <f t="shared" si="3"/>
        <v>&lt;= 20000$</v>
      </c>
    </row>
    <row r="76" spans="1:16" x14ac:dyDescent="0.25">
      <c r="A76">
        <v>75</v>
      </c>
      <c r="B76" t="s">
        <v>109</v>
      </c>
      <c r="C76" t="s">
        <v>263</v>
      </c>
      <c r="D76" t="s">
        <v>247</v>
      </c>
      <c r="E76" t="s">
        <v>17</v>
      </c>
      <c r="F76" s="3">
        <v>300</v>
      </c>
      <c r="G76">
        <v>45</v>
      </c>
      <c r="H76">
        <v>15.4</v>
      </c>
      <c r="I76">
        <v>23</v>
      </c>
      <c r="J76" t="s">
        <v>19</v>
      </c>
      <c r="K76" t="s">
        <v>20</v>
      </c>
      <c r="L76" t="s">
        <v>45</v>
      </c>
      <c r="M76" s="3">
        <v>120</v>
      </c>
      <c r="N76" s="2">
        <v>10000</v>
      </c>
      <c r="O76" t="str">
        <f t="shared" si="2"/>
        <v>200-300</v>
      </c>
      <c r="P76" t="str">
        <f t="shared" si="3"/>
        <v>&lt;= 10000$</v>
      </c>
    </row>
    <row r="77" spans="1:16" x14ac:dyDescent="0.25">
      <c r="A77">
        <v>76</v>
      </c>
      <c r="B77" t="s">
        <v>72</v>
      </c>
      <c r="C77" t="s">
        <v>266</v>
      </c>
      <c r="D77" t="s">
        <v>32</v>
      </c>
      <c r="E77" t="s">
        <v>17</v>
      </c>
      <c r="F77" s="3">
        <v>30</v>
      </c>
      <c r="G77">
        <v>39</v>
      </c>
      <c r="H77">
        <v>9.9</v>
      </c>
      <c r="I77">
        <v>22</v>
      </c>
      <c r="J77" t="s">
        <v>34</v>
      </c>
      <c r="K77" t="s">
        <v>20</v>
      </c>
      <c r="L77" t="s">
        <v>232</v>
      </c>
      <c r="M77" s="3">
        <v>65</v>
      </c>
      <c r="N77" s="2">
        <v>27900</v>
      </c>
      <c r="O77" t="str">
        <f t="shared" si="2"/>
        <v>&lt;=100</v>
      </c>
      <c r="P77" t="str">
        <f t="shared" si="3"/>
        <v>&lt;= 40000$</v>
      </c>
    </row>
    <row r="78" spans="1:16" x14ac:dyDescent="0.25">
      <c r="A78">
        <v>77</v>
      </c>
      <c r="B78" t="s">
        <v>72</v>
      </c>
      <c r="C78" t="s">
        <v>267</v>
      </c>
      <c r="D78" t="s">
        <v>32</v>
      </c>
      <c r="E78" t="s">
        <v>49</v>
      </c>
      <c r="F78" s="3">
        <v>30</v>
      </c>
      <c r="G78">
        <v>39</v>
      </c>
      <c r="H78">
        <v>10.199999999999999</v>
      </c>
      <c r="I78">
        <v>22</v>
      </c>
      <c r="J78" t="s">
        <v>44</v>
      </c>
      <c r="K78" t="s">
        <v>20</v>
      </c>
      <c r="L78" t="s">
        <v>45</v>
      </c>
      <c r="M78" s="3">
        <v>40</v>
      </c>
      <c r="N78" s="2">
        <v>26000</v>
      </c>
      <c r="O78" t="str">
        <f t="shared" si="2"/>
        <v>&lt;=100</v>
      </c>
      <c r="P78" t="str">
        <f t="shared" si="3"/>
        <v>&lt;= 40000$</v>
      </c>
    </row>
    <row r="79" spans="1:16" x14ac:dyDescent="0.25">
      <c r="A79">
        <v>78</v>
      </c>
      <c r="B79" t="s">
        <v>72</v>
      </c>
      <c r="C79" t="s">
        <v>268</v>
      </c>
      <c r="D79" t="s">
        <v>32</v>
      </c>
      <c r="E79" t="s">
        <v>17</v>
      </c>
      <c r="F79" s="3">
        <v>30</v>
      </c>
      <c r="G79">
        <v>39</v>
      </c>
      <c r="H79">
        <v>10.199999999999999</v>
      </c>
      <c r="I79">
        <v>20</v>
      </c>
      <c r="J79" t="s">
        <v>44</v>
      </c>
      <c r="K79" t="s">
        <v>20</v>
      </c>
      <c r="L79" t="s">
        <v>21</v>
      </c>
      <c r="M79" s="3">
        <v>38</v>
      </c>
      <c r="N79" s="2">
        <v>26000</v>
      </c>
      <c r="O79" t="str">
        <f t="shared" si="2"/>
        <v>&lt;=100</v>
      </c>
      <c r="P79" t="str">
        <f t="shared" si="3"/>
        <v>&lt;= 40000$</v>
      </c>
    </row>
    <row r="80" spans="1:16" x14ac:dyDescent="0.25">
      <c r="A80">
        <v>79</v>
      </c>
      <c r="B80" t="s">
        <v>72</v>
      </c>
      <c r="C80" t="s">
        <v>269</v>
      </c>
      <c r="D80" t="s">
        <v>32</v>
      </c>
      <c r="E80" t="s">
        <v>49</v>
      </c>
      <c r="F80" s="3">
        <v>30</v>
      </c>
      <c r="G80">
        <v>40</v>
      </c>
      <c r="H80">
        <v>6.8</v>
      </c>
      <c r="I80">
        <v>20</v>
      </c>
      <c r="J80" t="s">
        <v>44</v>
      </c>
      <c r="K80" t="s">
        <v>20</v>
      </c>
      <c r="L80" t="s">
        <v>45</v>
      </c>
      <c r="M80" s="3">
        <v>55</v>
      </c>
      <c r="N80" s="2">
        <v>25000</v>
      </c>
      <c r="O80" t="str">
        <f t="shared" si="2"/>
        <v>&lt;=100</v>
      </c>
      <c r="P80" t="str">
        <f t="shared" si="3"/>
        <v>&lt;= 40000$</v>
      </c>
    </row>
    <row r="81" spans="1:16" x14ac:dyDescent="0.25">
      <c r="A81">
        <v>80</v>
      </c>
      <c r="B81" t="s">
        <v>72</v>
      </c>
      <c r="C81" t="s">
        <v>270</v>
      </c>
      <c r="D81" t="s">
        <v>32</v>
      </c>
      <c r="E81" t="s">
        <v>17</v>
      </c>
      <c r="F81" s="3">
        <v>30</v>
      </c>
      <c r="G81">
        <v>39</v>
      </c>
      <c r="H81">
        <v>10.199999999999999</v>
      </c>
      <c r="I81">
        <v>20</v>
      </c>
      <c r="J81" t="s">
        <v>44</v>
      </c>
      <c r="K81" t="s">
        <v>20</v>
      </c>
      <c r="L81" t="s">
        <v>45</v>
      </c>
      <c r="M81" s="3">
        <v>65</v>
      </c>
      <c r="N81" s="2">
        <v>25000</v>
      </c>
      <c r="O81" t="str">
        <f t="shared" si="2"/>
        <v>&lt;=100</v>
      </c>
      <c r="P81" t="str">
        <f t="shared" si="3"/>
        <v>&lt;= 40000$</v>
      </c>
    </row>
    <row r="82" spans="1:16" x14ac:dyDescent="0.25">
      <c r="A82">
        <v>81</v>
      </c>
      <c r="B82" t="s">
        <v>72</v>
      </c>
      <c r="C82" t="s">
        <v>271</v>
      </c>
      <c r="D82" t="s">
        <v>32</v>
      </c>
      <c r="E82" t="s">
        <v>17</v>
      </c>
      <c r="F82" s="3">
        <v>30</v>
      </c>
      <c r="G82">
        <v>39</v>
      </c>
      <c r="H82">
        <v>8.65</v>
      </c>
      <c r="I82">
        <v>20</v>
      </c>
      <c r="J82" t="s">
        <v>44</v>
      </c>
      <c r="K82" t="s">
        <v>20</v>
      </c>
      <c r="L82" t="s">
        <v>21</v>
      </c>
      <c r="M82" s="3">
        <v>55</v>
      </c>
      <c r="N82" s="2">
        <v>24500</v>
      </c>
      <c r="O82" t="str">
        <f t="shared" si="2"/>
        <v>&lt;=100</v>
      </c>
      <c r="P82" t="str">
        <f t="shared" si="3"/>
        <v>&lt;= 40000$</v>
      </c>
    </row>
    <row r="83" spans="1:16" x14ac:dyDescent="0.25">
      <c r="A83">
        <v>82</v>
      </c>
      <c r="B83" t="s">
        <v>72</v>
      </c>
      <c r="C83" t="s">
        <v>272</v>
      </c>
      <c r="D83" t="s">
        <v>32</v>
      </c>
      <c r="E83" t="s">
        <v>49</v>
      </c>
      <c r="F83" s="3">
        <v>30</v>
      </c>
      <c r="G83">
        <v>40</v>
      </c>
      <c r="H83">
        <v>6.95</v>
      </c>
      <c r="I83">
        <v>20</v>
      </c>
      <c r="J83" t="s">
        <v>44</v>
      </c>
      <c r="K83" t="s">
        <v>20</v>
      </c>
      <c r="L83" t="s">
        <v>45</v>
      </c>
      <c r="M83" s="3">
        <v>50</v>
      </c>
      <c r="N83" s="2">
        <v>24000</v>
      </c>
      <c r="O83" t="str">
        <f t="shared" si="2"/>
        <v>&lt;=100</v>
      </c>
      <c r="P83" t="str">
        <f t="shared" si="3"/>
        <v>&lt;= 40000$</v>
      </c>
    </row>
    <row r="84" spans="1:16" x14ac:dyDescent="0.25">
      <c r="A84">
        <v>83</v>
      </c>
      <c r="B84" t="s">
        <v>72</v>
      </c>
      <c r="C84" t="s">
        <v>266</v>
      </c>
      <c r="D84" t="s">
        <v>32</v>
      </c>
      <c r="E84" t="s">
        <v>17</v>
      </c>
      <c r="F84" s="3">
        <v>30</v>
      </c>
      <c r="G84">
        <v>39</v>
      </c>
      <c r="H84">
        <v>8.65</v>
      </c>
      <c r="I84">
        <v>20</v>
      </c>
      <c r="J84" t="s">
        <v>44</v>
      </c>
      <c r="K84" t="s">
        <v>20</v>
      </c>
      <c r="L84" t="s">
        <v>45</v>
      </c>
      <c r="M84" s="3">
        <v>45</v>
      </c>
      <c r="N84" s="2">
        <v>23500</v>
      </c>
      <c r="O84" t="str">
        <f t="shared" si="2"/>
        <v>&lt;=100</v>
      </c>
      <c r="P84" t="str">
        <f t="shared" si="3"/>
        <v>&lt;= 40000$</v>
      </c>
    </row>
    <row r="85" spans="1:16" x14ac:dyDescent="0.25">
      <c r="A85">
        <v>84</v>
      </c>
      <c r="B85" t="s">
        <v>72</v>
      </c>
      <c r="C85" t="s">
        <v>270</v>
      </c>
      <c r="D85" t="s">
        <v>32</v>
      </c>
      <c r="E85" t="s">
        <v>17</v>
      </c>
      <c r="F85" s="3">
        <v>30</v>
      </c>
      <c r="G85">
        <v>39</v>
      </c>
      <c r="H85">
        <v>8.65</v>
      </c>
      <c r="I85">
        <v>20</v>
      </c>
      <c r="J85" t="s">
        <v>44</v>
      </c>
      <c r="K85" t="s">
        <v>20</v>
      </c>
      <c r="L85" t="s">
        <v>21</v>
      </c>
      <c r="M85" s="3">
        <v>65</v>
      </c>
      <c r="N85" s="2">
        <v>23200</v>
      </c>
      <c r="O85" t="str">
        <f t="shared" si="2"/>
        <v>&lt;=100</v>
      </c>
      <c r="P85" t="str">
        <f t="shared" si="3"/>
        <v>&lt;= 40000$</v>
      </c>
    </row>
    <row r="86" spans="1:16" x14ac:dyDescent="0.25">
      <c r="A86">
        <v>85</v>
      </c>
      <c r="B86" t="s">
        <v>72</v>
      </c>
      <c r="C86" t="s">
        <v>273</v>
      </c>
      <c r="D86" t="s">
        <v>32</v>
      </c>
      <c r="E86" t="s">
        <v>49</v>
      </c>
      <c r="F86" s="3">
        <v>30</v>
      </c>
      <c r="G86">
        <v>38.5</v>
      </c>
      <c r="H86">
        <v>8.25</v>
      </c>
      <c r="I86">
        <v>20</v>
      </c>
      <c r="J86" t="s">
        <v>44</v>
      </c>
      <c r="K86" t="s">
        <v>20</v>
      </c>
      <c r="L86" t="s">
        <v>12</v>
      </c>
      <c r="M86" s="3">
        <v>65</v>
      </c>
      <c r="N86" s="2">
        <v>23000</v>
      </c>
      <c r="O86" t="str">
        <f t="shared" si="2"/>
        <v>&lt;=100</v>
      </c>
      <c r="P86" t="str">
        <f t="shared" si="3"/>
        <v>&lt;= 40000$</v>
      </c>
    </row>
    <row r="87" spans="1:16" x14ac:dyDescent="0.25">
      <c r="A87">
        <v>86</v>
      </c>
      <c r="B87" t="s">
        <v>72</v>
      </c>
      <c r="C87" t="s">
        <v>274</v>
      </c>
      <c r="D87" t="s">
        <v>32</v>
      </c>
      <c r="E87" t="s">
        <v>49</v>
      </c>
      <c r="F87" s="3">
        <v>30</v>
      </c>
      <c r="G87">
        <v>38</v>
      </c>
      <c r="H87">
        <v>7.45</v>
      </c>
      <c r="I87">
        <v>20</v>
      </c>
      <c r="J87" t="s">
        <v>44</v>
      </c>
      <c r="K87" t="s">
        <v>20</v>
      </c>
      <c r="L87" t="s">
        <v>45</v>
      </c>
      <c r="M87" s="3">
        <v>65</v>
      </c>
      <c r="N87" s="2">
        <v>23000</v>
      </c>
      <c r="O87" t="str">
        <f t="shared" si="2"/>
        <v>&lt;=100</v>
      </c>
      <c r="P87" t="str">
        <f t="shared" si="3"/>
        <v>&lt;= 40000$</v>
      </c>
    </row>
    <row r="88" spans="1:16" x14ac:dyDescent="0.25">
      <c r="A88">
        <v>87</v>
      </c>
      <c r="B88" t="s">
        <v>72</v>
      </c>
      <c r="C88" t="s">
        <v>275</v>
      </c>
      <c r="D88" t="s">
        <v>32</v>
      </c>
      <c r="E88" t="s">
        <v>49</v>
      </c>
      <c r="F88" s="3">
        <v>30</v>
      </c>
      <c r="G88">
        <v>40</v>
      </c>
      <c r="H88">
        <v>6.95</v>
      </c>
      <c r="I88">
        <v>20</v>
      </c>
      <c r="J88" t="s">
        <v>34</v>
      </c>
      <c r="K88" t="s">
        <v>20</v>
      </c>
      <c r="L88" t="s">
        <v>45</v>
      </c>
      <c r="M88" s="3">
        <v>65</v>
      </c>
      <c r="N88" s="2">
        <v>22500</v>
      </c>
      <c r="O88" t="str">
        <f t="shared" si="2"/>
        <v>&lt;=100</v>
      </c>
      <c r="P88" t="str">
        <f t="shared" si="3"/>
        <v>&lt;= 40000$</v>
      </c>
    </row>
    <row r="89" spans="1:16" x14ac:dyDescent="0.25">
      <c r="A89">
        <v>88</v>
      </c>
      <c r="B89" t="s">
        <v>72</v>
      </c>
      <c r="C89" t="s">
        <v>274</v>
      </c>
      <c r="D89" t="s">
        <v>32</v>
      </c>
      <c r="E89" t="s">
        <v>49</v>
      </c>
      <c r="F89" s="3">
        <v>30</v>
      </c>
      <c r="G89">
        <v>38</v>
      </c>
      <c r="H89">
        <v>8.25</v>
      </c>
      <c r="I89">
        <v>20</v>
      </c>
      <c r="J89" t="s">
        <v>44</v>
      </c>
      <c r="K89" t="s">
        <v>20</v>
      </c>
      <c r="L89" t="s">
        <v>45</v>
      </c>
      <c r="M89" s="3">
        <v>40</v>
      </c>
      <c r="N89" s="2">
        <v>22000</v>
      </c>
      <c r="O89" t="str">
        <f t="shared" si="2"/>
        <v>&lt;=100</v>
      </c>
      <c r="P89" t="str">
        <f t="shared" si="3"/>
        <v>&lt;= 40000$</v>
      </c>
    </row>
    <row r="90" spans="1:16" x14ac:dyDescent="0.25">
      <c r="A90">
        <v>89</v>
      </c>
      <c r="B90" t="s">
        <v>72</v>
      </c>
      <c r="C90" t="s">
        <v>276</v>
      </c>
      <c r="D90" t="s">
        <v>32</v>
      </c>
      <c r="E90" t="s">
        <v>17</v>
      </c>
      <c r="F90" s="3">
        <v>30</v>
      </c>
      <c r="G90">
        <v>38.5</v>
      </c>
      <c r="H90">
        <v>8.25</v>
      </c>
      <c r="I90">
        <v>20</v>
      </c>
      <c r="J90" t="s">
        <v>34</v>
      </c>
      <c r="K90" t="s">
        <v>20</v>
      </c>
      <c r="L90" t="s">
        <v>21</v>
      </c>
      <c r="M90" s="3">
        <v>38</v>
      </c>
      <c r="N90" s="2">
        <v>21500</v>
      </c>
      <c r="O90" t="str">
        <f t="shared" si="2"/>
        <v>&lt;=100</v>
      </c>
      <c r="P90" t="str">
        <f t="shared" si="3"/>
        <v>&lt;= 40000$</v>
      </c>
    </row>
    <row r="91" spans="1:16" x14ac:dyDescent="0.25">
      <c r="A91">
        <v>90</v>
      </c>
      <c r="B91" t="s">
        <v>72</v>
      </c>
      <c r="C91" t="s">
        <v>269</v>
      </c>
      <c r="D91" t="s">
        <v>32</v>
      </c>
      <c r="E91" t="s">
        <v>49</v>
      </c>
      <c r="F91" s="3">
        <v>30</v>
      </c>
      <c r="G91">
        <v>40</v>
      </c>
      <c r="H91">
        <v>6.8</v>
      </c>
      <c r="I91">
        <v>20</v>
      </c>
      <c r="J91" t="s">
        <v>44</v>
      </c>
      <c r="K91" t="s">
        <v>20</v>
      </c>
      <c r="L91" t="s">
        <v>45</v>
      </c>
      <c r="M91" s="3">
        <v>65</v>
      </c>
      <c r="N91" s="2">
        <v>20500</v>
      </c>
      <c r="O91" t="str">
        <f t="shared" si="2"/>
        <v>&lt;=100</v>
      </c>
      <c r="P91" t="str">
        <f t="shared" si="3"/>
        <v>&lt;= 40000$</v>
      </c>
    </row>
    <row r="92" spans="1:16" x14ac:dyDescent="0.25">
      <c r="A92">
        <v>91</v>
      </c>
      <c r="B92" t="s">
        <v>72</v>
      </c>
      <c r="C92" t="s">
        <v>277</v>
      </c>
      <c r="D92" t="s">
        <v>32</v>
      </c>
      <c r="E92" t="s">
        <v>17</v>
      </c>
      <c r="F92" s="3">
        <v>30</v>
      </c>
      <c r="G92">
        <v>39</v>
      </c>
      <c r="H92">
        <v>8.65</v>
      </c>
      <c r="I92">
        <v>21</v>
      </c>
      <c r="J92" t="s">
        <v>44</v>
      </c>
      <c r="K92" t="s">
        <v>20</v>
      </c>
      <c r="L92" t="s">
        <v>45</v>
      </c>
      <c r="M92" s="3">
        <v>55</v>
      </c>
      <c r="N92" s="2">
        <v>20000</v>
      </c>
      <c r="O92" t="str">
        <f t="shared" si="2"/>
        <v>&lt;=100</v>
      </c>
      <c r="P92" t="str">
        <f t="shared" si="3"/>
        <v>&lt;= 20000$</v>
      </c>
    </row>
    <row r="93" spans="1:16" x14ac:dyDescent="0.25">
      <c r="A93">
        <v>92</v>
      </c>
      <c r="B93" t="s">
        <v>72</v>
      </c>
      <c r="C93" t="s">
        <v>278</v>
      </c>
      <c r="D93" t="s">
        <v>32</v>
      </c>
      <c r="E93" t="s">
        <v>17</v>
      </c>
      <c r="F93" s="3">
        <v>30</v>
      </c>
      <c r="G93">
        <v>38</v>
      </c>
      <c r="H93">
        <v>8.25</v>
      </c>
      <c r="I93">
        <v>20</v>
      </c>
      <c r="J93" t="s">
        <v>44</v>
      </c>
      <c r="K93" t="s">
        <v>20</v>
      </c>
      <c r="L93" t="s">
        <v>45</v>
      </c>
      <c r="M93" s="3">
        <v>45</v>
      </c>
      <c r="N93" s="2">
        <v>20000</v>
      </c>
      <c r="O93" t="str">
        <f t="shared" si="2"/>
        <v>&lt;=100</v>
      </c>
      <c r="P93" t="str">
        <f t="shared" si="3"/>
        <v>&lt;= 20000$</v>
      </c>
    </row>
    <row r="94" spans="1:16" x14ac:dyDescent="0.25">
      <c r="A94">
        <v>93</v>
      </c>
      <c r="B94" t="s">
        <v>72</v>
      </c>
      <c r="C94" t="s">
        <v>279</v>
      </c>
      <c r="D94" t="s">
        <v>32</v>
      </c>
      <c r="E94" t="s">
        <v>17</v>
      </c>
      <c r="F94" s="3">
        <v>30</v>
      </c>
      <c r="G94">
        <v>40</v>
      </c>
      <c r="H94">
        <v>6.8</v>
      </c>
      <c r="I94">
        <v>20</v>
      </c>
      <c r="J94" t="s">
        <v>34</v>
      </c>
      <c r="K94" t="s">
        <v>20</v>
      </c>
      <c r="L94" t="s">
        <v>45</v>
      </c>
      <c r="M94" s="3">
        <v>55</v>
      </c>
      <c r="N94" s="2">
        <v>19000</v>
      </c>
      <c r="O94" t="str">
        <f t="shared" si="2"/>
        <v>&lt;=100</v>
      </c>
      <c r="P94" t="str">
        <f t="shared" si="3"/>
        <v>&lt;= 20000$</v>
      </c>
    </row>
    <row r="95" spans="1:16" x14ac:dyDescent="0.25">
      <c r="A95">
        <v>94</v>
      </c>
      <c r="B95" t="s">
        <v>72</v>
      </c>
      <c r="C95" t="s">
        <v>277</v>
      </c>
      <c r="D95" t="s">
        <v>32</v>
      </c>
      <c r="E95" t="s">
        <v>17</v>
      </c>
      <c r="F95" s="3">
        <v>30</v>
      </c>
      <c r="G95">
        <v>39</v>
      </c>
      <c r="H95">
        <v>10.199999999999999</v>
      </c>
      <c r="I95">
        <v>22</v>
      </c>
      <c r="J95" t="s">
        <v>44</v>
      </c>
      <c r="K95" t="s">
        <v>20</v>
      </c>
      <c r="L95" t="s">
        <v>45</v>
      </c>
      <c r="M95" s="3">
        <v>45</v>
      </c>
      <c r="N95" s="2">
        <v>19000</v>
      </c>
      <c r="O95" t="str">
        <f t="shared" si="2"/>
        <v>&lt;=100</v>
      </c>
      <c r="P95" t="str">
        <f t="shared" si="3"/>
        <v>&lt;= 20000$</v>
      </c>
    </row>
    <row r="96" spans="1:16" x14ac:dyDescent="0.25">
      <c r="A96">
        <v>95</v>
      </c>
      <c r="B96" t="s">
        <v>72</v>
      </c>
      <c r="C96" t="s">
        <v>280</v>
      </c>
      <c r="D96" t="s">
        <v>32</v>
      </c>
      <c r="E96" t="s">
        <v>17</v>
      </c>
      <c r="F96" s="3">
        <v>30</v>
      </c>
      <c r="G96">
        <v>39</v>
      </c>
      <c r="H96">
        <v>8.65</v>
      </c>
      <c r="I96">
        <v>20</v>
      </c>
      <c r="J96" t="s">
        <v>44</v>
      </c>
      <c r="K96" t="s">
        <v>20</v>
      </c>
      <c r="L96" t="s">
        <v>45</v>
      </c>
      <c r="M96" s="3">
        <v>40</v>
      </c>
      <c r="N96" s="2">
        <v>19000</v>
      </c>
      <c r="O96" t="str">
        <f t="shared" si="2"/>
        <v>&lt;=100</v>
      </c>
      <c r="P96" t="str">
        <f t="shared" si="3"/>
        <v>&lt;= 20000$</v>
      </c>
    </row>
    <row r="97" spans="1:16" x14ac:dyDescent="0.25">
      <c r="A97">
        <v>96</v>
      </c>
      <c r="B97" t="s">
        <v>72</v>
      </c>
      <c r="C97" t="s">
        <v>267</v>
      </c>
      <c r="D97" t="s">
        <v>32</v>
      </c>
      <c r="E97" t="s">
        <v>17</v>
      </c>
      <c r="F97" s="3">
        <v>30</v>
      </c>
      <c r="G97">
        <v>39</v>
      </c>
      <c r="H97">
        <v>10.199999999999999</v>
      </c>
      <c r="I97">
        <v>22</v>
      </c>
      <c r="J97" t="s">
        <v>44</v>
      </c>
      <c r="K97" t="s">
        <v>20</v>
      </c>
      <c r="L97" t="s">
        <v>45</v>
      </c>
      <c r="M97" s="3">
        <v>40</v>
      </c>
      <c r="N97" s="2">
        <v>18000</v>
      </c>
      <c r="O97" t="str">
        <f t="shared" si="2"/>
        <v>&lt;=100</v>
      </c>
      <c r="P97" t="str">
        <f t="shared" si="3"/>
        <v>&lt;= 20000$</v>
      </c>
    </row>
    <row r="98" spans="1:16" x14ac:dyDescent="0.25">
      <c r="A98">
        <v>97</v>
      </c>
      <c r="B98" t="s">
        <v>72</v>
      </c>
      <c r="C98" t="s">
        <v>274</v>
      </c>
      <c r="D98" t="s">
        <v>32</v>
      </c>
      <c r="E98" t="s">
        <v>49</v>
      </c>
      <c r="F98" s="3">
        <v>30</v>
      </c>
      <c r="G98">
        <v>38</v>
      </c>
      <c r="H98">
        <v>8.65</v>
      </c>
      <c r="I98">
        <v>20</v>
      </c>
      <c r="J98" t="s">
        <v>44</v>
      </c>
      <c r="K98" t="s">
        <v>20</v>
      </c>
      <c r="L98" t="s">
        <v>45</v>
      </c>
      <c r="M98" s="3">
        <v>40</v>
      </c>
      <c r="N98" s="2">
        <v>16000</v>
      </c>
      <c r="O98" t="str">
        <f t="shared" si="2"/>
        <v>&lt;=100</v>
      </c>
      <c r="P98" t="str">
        <f t="shared" si="3"/>
        <v>&lt;= 20000$</v>
      </c>
    </row>
    <row r="99" spans="1:16" x14ac:dyDescent="0.25">
      <c r="A99">
        <v>98</v>
      </c>
      <c r="B99" t="s">
        <v>72</v>
      </c>
      <c r="C99" t="s">
        <v>272</v>
      </c>
      <c r="D99" t="s">
        <v>32</v>
      </c>
      <c r="E99" t="s">
        <v>49</v>
      </c>
      <c r="F99" s="3">
        <v>30</v>
      </c>
      <c r="G99">
        <v>40</v>
      </c>
      <c r="H99">
        <v>6.1</v>
      </c>
      <c r="I99">
        <v>20</v>
      </c>
      <c r="J99" t="s">
        <v>44</v>
      </c>
      <c r="K99" t="s">
        <v>20</v>
      </c>
      <c r="L99" t="s">
        <v>45</v>
      </c>
      <c r="M99" s="3">
        <v>65</v>
      </c>
      <c r="N99" s="2">
        <v>16000</v>
      </c>
      <c r="O99" t="str">
        <f t="shared" si="2"/>
        <v>&lt;=100</v>
      </c>
      <c r="P99" t="str">
        <f t="shared" si="3"/>
        <v>&lt;= 20000$</v>
      </c>
    </row>
    <row r="100" spans="1:16" x14ac:dyDescent="0.25">
      <c r="A100">
        <v>99</v>
      </c>
      <c r="B100" t="s">
        <v>72</v>
      </c>
      <c r="C100" t="s">
        <v>267</v>
      </c>
      <c r="D100" t="s">
        <v>32</v>
      </c>
      <c r="E100" t="s">
        <v>49</v>
      </c>
      <c r="F100" s="3">
        <v>30</v>
      </c>
      <c r="G100">
        <v>39</v>
      </c>
      <c r="H100">
        <v>8.65</v>
      </c>
      <c r="I100">
        <v>20</v>
      </c>
      <c r="J100" t="s">
        <v>44</v>
      </c>
      <c r="K100" t="s">
        <v>20</v>
      </c>
      <c r="L100" t="s">
        <v>45</v>
      </c>
      <c r="M100" s="3">
        <v>40</v>
      </c>
      <c r="N100" s="2">
        <v>15200</v>
      </c>
      <c r="O100" t="str">
        <f t="shared" si="2"/>
        <v>&lt;=100</v>
      </c>
      <c r="P100" t="str">
        <f t="shared" si="3"/>
        <v>&lt;= 20000$</v>
      </c>
    </row>
    <row r="101" spans="1:16" x14ac:dyDescent="0.25">
      <c r="A101">
        <v>100</v>
      </c>
      <c r="B101" t="s">
        <v>72</v>
      </c>
      <c r="C101" t="s">
        <v>281</v>
      </c>
      <c r="D101" t="s">
        <v>32</v>
      </c>
      <c r="E101" t="s">
        <v>17</v>
      </c>
      <c r="F101" s="3">
        <v>100</v>
      </c>
      <c r="G101">
        <v>42</v>
      </c>
      <c r="H101">
        <v>13.85</v>
      </c>
      <c r="I101">
        <v>22</v>
      </c>
      <c r="J101" t="s">
        <v>44</v>
      </c>
      <c r="K101" t="s">
        <v>20</v>
      </c>
      <c r="L101" t="s">
        <v>35</v>
      </c>
      <c r="M101" s="3">
        <v>48</v>
      </c>
      <c r="N101" s="2">
        <v>9500</v>
      </c>
      <c r="O101" t="str">
        <f t="shared" si="2"/>
        <v>&lt;=100</v>
      </c>
      <c r="P101" t="str">
        <f t="shared" si="3"/>
        <v>&lt;= 10000$</v>
      </c>
    </row>
    <row r="102" spans="1:16" x14ac:dyDescent="0.25">
      <c r="A102">
        <v>101</v>
      </c>
      <c r="B102" t="s">
        <v>72</v>
      </c>
      <c r="C102" t="s">
        <v>282</v>
      </c>
      <c r="D102" t="s">
        <v>32</v>
      </c>
      <c r="E102" t="s">
        <v>17</v>
      </c>
      <c r="F102" s="3">
        <v>100</v>
      </c>
      <c r="G102">
        <v>39.5</v>
      </c>
      <c r="H102">
        <v>14.1</v>
      </c>
      <c r="I102">
        <v>20</v>
      </c>
      <c r="J102" t="s">
        <v>19</v>
      </c>
      <c r="K102" t="s">
        <v>20</v>
      </c>
      <c r="L102" t="s">
        <v>152</v>
      </c>
      <c r="M102" s="3">
        <v>48</v>
      </c>
      <c r="N102" s="2">
        <v>8800</v>
      </c>
      <c r="O102" t="str">
        <f t="shared" si="2"/>
        <v>&lt;=100</v>
      </c>
      <c r="P102" t="str">
        <f t="shared" si="3"/>
        <v>&lt;= 10000$</v>
      </c>
    </row>
    <row r="103" spans="1:16" x14ac:dyDescent="0.25">
      <c r="A103">
        <v>102</v>
      </c>
      <c r="B103" t="s">
        <v>37</v>
      </c>
      <c r="C103" t="s">
        <v>283</v>
      </c>
      <c r="D103" t="s">
        <v>16</v>
      </c>
      <c r="E103" t="s">
        <v>17</v>
      </c>
      <c r="F103" s="3">
        <v>30</v>
      </c>
      <c r="G103">
        <v>43</v>
      </c>
      <c r="H103">
        <v>14.25</v>
      </c>
      <c r="I103">
        <v>22</v>
      </c>
      <c r="J103" t="s">
        <v>19</v>
      </c>
      <c r="K103" t="s">
        <v>20</v>
      </c>
      <c r="L103" t="s">
        <v>35</v>
      </c>
      <c r="M103" s="3">
        <v>70</v>
      </c>
      <c r="N103" s="2">
        <v>7900</v>
      </c>
      <c r="O103" t="str">
        <f t="shared" si="2"/>
        <v>&lt;=100</v>
      </c>
      <c r="P103" t="str">
        <f t="shared" si="3"/>
        <v>&lt;= 10000$</v>
      </c>
    </row>
    <row r="104" spans="1:16" x14ac:dyDescent="0.25">
      <c r="A104">
        <v>103</v>
      </c>
      <c r="B104" t="s">
        <v>37</v>
      </c>
      <c r="C104" t="s">
        <v>283</v>
      </c>
      <c r="D104" t="s">
        <v>16</v>
      </c>
      <c r="E104" t="s">
        <v>17</v>
      </c>
      <c r="F104" s="3">
        <v>30</v>
      </c>
      <c r="G104">
        <v>43</v>
      </c>
      <c r="H104">
        <v>14.25</v>
      </c>
      <c r="I104">
        <v>22</v>
      </c>
      <c r="J104" t="s">
        <v>19</v>
      </c>
      <c r="K104" t="s">
        <v>20</v>
      </c>
      <c r="L104" t="s">
        <v>35</v>
      </c>
      <c r="M104" s="3">
        <v>70</v>
      </c>
      <c r="N104" s="2">
        <v>7900</v>
      </c>
      <c r="O104" t="str">
        <f t="shared" si="2"/>
        <v>&lt;=100</v>
      </c>
      <c r="P104" t="str">
        <f t="shared" si="3"/>
        <v>&lt;= 10000$</v>
      </c>
    </row>
    <row r="105" spans="1:16" x14ac:dyDescent="0.25">
      <c r="A105">
        <v>104</v>
      </c>
      <c r="B105" t="s">
        <v>37</v>
      </c>
      <c r="C105" t="s">
        <v>284</v>
      </c>
      <c r="D105" t="s">
        <v>16</v>
      </c>
      <c r="E105" t="s">
        <v>17</v>
      </c>
      <c r="F105" s="3">
        <v>200</v>
      </c>
      <c r="G105">
        <v>44</v>
      </c>
      <c r="H105">
        <v>16.95</v>
      </c>
      <c r="I105">
        <v>22</v>
      </c>
      <c r="J105" t="s">
        <v>28</v>
      </c>
      <c r="K105" t="s">
        <v>20</v>
      </c>
      <c r="L105" t="s">
        <v>141</v>
      </c>
      <c r="M105" s="3">
        <v>70</v>
      </c>
      <c r="N105" s="2">
        <v>6900</v>
      </c>
      <c r="O105" t="str">
        <f t="shared" si="2"/>
        <v>100-200</v>
      </c>
      <c r="P105" t="str">
        <f t="shared" si="3"/>
        <v>&lt;= 10000$</v>
      </c>
    </row>
    <row r="106" spans="1:16" x14ac:dyDescent="0.25">
      <c r="A106">
        <v>105</v>
      </c>
      <c r="B106" t="s">
        <v>37</v>
      </c>
      <c r="C106" t="s">
        <v>285</v>
      </c>
      <c r="D106" t="s">
        <v>26</v>
      </c>
      <c r="E106" t="s">
        <v>17</v>
      </c>
      <c r="F106" s="3">
        <v>200</v>
      </c>
      <c r="G106">
        <v>42</v>
      </c>
      <c r="H106">
        <v>14.35</v>
      </c>
      <c r="I106">
        <v>22</v>
      </c>
      <c r="J106" t="s">
        <v>19</v>
      </c>
      <c r="K106" t="s">
        <v>20</v>
      </c>
      <c r="L106" t="s">
        <v>21</v>
      </c>
      <c r="M106" s="3">
        <v>38</v>
      </c>
      <c r="N106" s="2">
        <v>4800</v>
      </c>
      <c r="O106" t="str">
        <f t="shared" si="2"/>
        <v>100-200</v>
      </c>
      <c r="P106" t="str">
        <f t="shared" si="3"/>
        <v>&lt;=5000$</v>
      </c>
    </row>
    <row r="107" spans="1:16" x14ac:dyDescent="0.25">
      <c r="A107">
        <v>106</v>
      </c>
      <c r="B107" t="s">
        <v>37</v>
      </c>
      <c r="C107" t="s">
        <v>286</v>
      </c>
      <c r="D107" t="s">
        <v>26</v>
      </c>
      <c r="E107" t="s">
        <v>17</v>
      </c>
      <c r="F107" s="3">
        <v>300</v>
      </c>
      <c r="G107">
        <v>43</v>
      </c>
      <c r="H107">
        <v>16.5</v>
      </c>
      <c r="I107">
        <v>22</v>
      </c>
      <c r="J107" t="s">
        <v>19</v>
      </c>
      <c r="K107" t="s">
        <v>20</v>
      </c>
      <c r="L107" t="s">
        <v>141</v>
      </c>
      <c r="M107" s="3">
        <v>42</v>
      </c>
      <c r="N107" s="2">
        <v>4600</v>
      </c>
      <c r="O107" t="str">
        <f t="shared" si="2"/>
        <v>200-300</v>
      </c>
      <c r="P107" t="str">
        <f t="shared" si="3"/>
        <v>&lt;=5000$</v>
      </c>
    </row>
    <row r="108" spans="1:16" x14ac:dyDescent="0.25">
      <c r="A108">
        <v>107</v>
      </c>
      <c r="B108" t="s">
        <v>37</v>
      </c>
      <c r="C108" t="s">
        <v>287</v>
      </c>
      <c r="D108" t="s">
        <v>26</v>
      </c>
      <c r="E108" t="s">
        <v>17</v>
      </c>
      <c r="F108" s="3">
        <v>200</v>
      </c>
      <c r="G108">
        <v>44</v>
      </c>
      <c r="H108">
        <v>14.2</v>
      </c>
      <c r="I108">
        <v>22</v>
      </c>
      <c r="J108" t="s">
        <v>19</v>
      </c>
      <c r="K108" t="s">
        <v>20</v>
      </c>
      <c r="L108" t="s">
        <v>21</v>
      </c>
      <c r="M108" s="3">
        <v>42</v>
      </c>
      <c r="N108" s="2">
        <v>4500</v>
      </c>
      <c r="O108" t="str">
        <f t="shared" si="2"/>
        <v>100-200</v>
      </c>
      <c r="P108" t="str">
        <f t="shared" si="3"/>
        <v>&lt;=5000$</v>
      </c>
    </row>
    <row r="109" spans="1:16" x14ac:dyDescent="0.25">
      <c r="A109">
        <v>108</v>
      </c>
      <c r="B109" t="s">
        <v>37</v>
      </c>
      <c r="C109" t="s">
        <v>285</v>
      </c>
      <c r="D109" t="s">
        <v>32</v>
      </c>
      <c r="E109" t="s">
        <v>17</v>
      </c>
      <c r="F109" s="3">
        <v>200</v>
      </c>
      <c r="G109">
        <v>42</v>
      </c>
      <c r="H109">
        <v>14.35</v>
      </c>
      <c r="I109">
        <v>20</v>
      </c>
      <c r="J109" t="s">
        <v>19</v>
      </c>
      <c r="K109" t="s">
        <v>20</v>
      </c>
      <c r="L109" t="s">
        <v>21</v>
      </c>
      <c r="M109" s="3">
        <v>38</v>
      </c>
      <c r="N109" s="2">
        <v>4400</v>
      </c>
      <c r="O109" t="str">
        <f t="shared" si="2"/>
        <v>100-200</v>
      </c>
      <c r="P109" t="str">
        <f t="shared" si="3"/>
        <v>&lt;=5000$</v>
      </c>
    </row>
    <row r="110" spans="1:16" x14ac:dyDescent="0.25">
      <c r="A110">
        <v>109</v>
      </c>
      <c r="B110" t="s">
        <v>37</v>
      </c>
      <c r="C110" t="s">
        <v>285</v>
      </c>
      <c r="D110" t="s">
        <v>32</v>
      </c>
      <c r="E110" t="s">
        <v>17</v>
      </c>
      <c r="F110" s="3">
        <v>200</v>
      </c>
      <c r="G110">
        <v>42</v>
      </c>
      <c r="H110">
        <v>14.35</v>
      </c>
      <c r="I110">
        <v>20</v>
      </c>
      <c r="J110" t="s">
        <v>19</v>
      </c>
      <c r="K110" t="s">
        <v>20</v>
      </c>
      <c r="L110" t="s">
        <v>21</v>
      </c>
      <c r="M110" s="3">
        <v>38</v>
      </c>
      <c r="N110" s="2">
        <v>4400</v>
      </c>
      <c r="O110" t="str">
        <f t="shared" si="2"/>
        <v>100-200</v>
      </c>
      <c r="P110" t="str">
        <f t="shared" si="3"/>
        <v>&lt;=5000$</v>
      </c>
    </row>
    <row r="111" spans="1:16" x14ac:dyDescent="0.25">
      <c r="A111">
        <v>110</v>
      </c>
      <c r="B111" t="s">
        <v>37</v>
      </c>
      <c r="C111" t="s">
        <v>288</v>
      </c>
      <c r="D111" t="s">
        <v>26</v>
      </c>
      <c r="E111" t="s">
        <v>17</v>
      </c>
      <c r="F111" s="3">
        <v>200</v>
      </c>
      <c r="G111">
        <v>44</v>
      </c>
      <c r="H111">
        <v>14.2</v>
      </c>
      <c r="I111">
        <v>22</v>
      </c>
      <c r="J111" t="s">
        <v>19</v>
      </c>
      <c r="K111" t="s">
        <v>20</v>
      </c>
      <c r="L111" t="s">
        <v>21</v>
      </c>
      <c r="M111" s="3">
        <v>70</v>
      </c>
      <c r="N111" s="2">
        <v>4300</v>
      </c>
      <c r="O111" t="str">
        <f t="shared" si="2"/>
        <v>100-200</v>
      </c>
      <c r="P111" t="str">
        <f t="shared" si="3"/>
        <v>&lt;=5000$</v>
      </c>
    </row>
    <row r="112" spans="1:16" x14ac:dyDescent="0.25">
      <c r="A112">
        <v>111</v>
      </c>
      <c r="B112" t="s">
        <v>37</v>
      </c>
      <c r="C112" t="s">
        <v>289</v>
      </c>
      <c r="D112" t="s">
        <v>26</v>
      </c>
      <c r="E112" t="s">
        <v>17</v>
      </c>
      <c r="F112" s="3">
        <v>1000</v>
      </c>
      <c r="G112">
        <v>42</v>
      </c>
      <c r="H112">
        <v>13.3</v>
      </c>
      <c r="I112">
        <v>20</v>
      </c>
      <c r="J112" t="s">
        <v>28</v>
      </c>
      <c r="K112" t="s">
        <v>20</v>
      </c>
      <c r="L112" t="s">
        <v>21</v>
      </c>
      <c r="M112" s="3">
        <v>38</v>
      </c>
      <c r="N112" s="2">
        <v>4100</v>
      </c>
      <c r="O112" t="str">
        <f t="shared" si="2"/>
        <v>1000+</v>
      </c>
      <c r="P112" t="str">
        <f t="shared" si="3"/>
        <v>&lt;=5000$</v>
      </c>
    </row>
    <row r="113" spans="1:16" x14ac:dyDescent="0.25">
      <c r="A113">
        <v>112</v>
      </c>
      <c r="B113" t="s">
        <v>37</v>
      </c>
      <c r="C113" t="s">
        <v>289</v>
      </c>
      <c r="D113" t="s">
        <v>26</v>
      </c>
      <c r="E113" t="s">
        <v>17</v>
      </c>
      <c r="F113" s="3">
        <v>1000</v>
      </c>
      <c r="G113">
        <v>42</v>
      </c>
      <c r="H113">
        <v>13.32</v>
      </c>
      <c r="I113">
        <v>20</v>
      </c>
      <c r="J113" t="s">
        <v>28</v>
      </c>
      <c r="K113" t="s">
        <v>20</v>
      </c>
      <c r="L113" t="s">
        <v>21</v>
      </c>
      <c r="M113" s="3">
        <v>38</v>
      </c>
      <c r="N113" s="2">
        <v>3850</v>
      </c>
      <c r="O113" t="str">
        <f t="shared" si="2"/>
        <v>1000+</v>
      </c>
      <c r="P113" t="str">
        <f t="shared" si="3"/>
        <v>&lt;=5000$</v>
      </c>
    </row>
    <row r="114" spans="1:16" x14ac:dyDescent="0.25">
      <c r="A114">
        <v>113</v>
      </c>
      <c r="B114" t="s">
        <v>37</v>
      </c>
      <c r="C114" t="s">
        <v>287</v>
      </c>
      <c r="D114" t="s">
        <v>26</v>
      </c>
      <c r="E114" t="s">
        <v>17</v>
      </c>
      <c r="F114" s="3">
        <v>1000</v>
      </c>
      <c r="G114">
        <v>44</v>
      </c>
      <c r="H114">
        <v>14.21</v>
      </c>
      <c r="I114">
        <v>22</v>
      </c>
      <c r="J114" t="s">
        <v>28</v>
      </c>
      <c r="K114" t="s">
        <v>20</v>
      </c>
      <c r="L114" t="s">
        <v>21</v>
      </c>
      <c r="M114" s="3">
        <v>38</v>
      </c>
      <c r="N114" s="2">
        <v>3800</v>
      </c>
      <c r="O114" t="str">
        <f t="shared" si="2"/>
        <v>1000+</v>
      </c>
      <c r="P114" t="str">
        <f t="shared" si="3"/>
        <v>&lt;=5000$</v>
      </c>
    </row>
    <row r="115" spans="1:16" x14ac:dyDescent="0.25">
      <c r="A115">
        <v>114</v>
      </c>
      <c r="B115" t="s">
        <v>37</v>
      </c>
      <c r="C115" t="s">
        <v>289</v>
      </c>
      <c r="D115" t="s">
        <v>26</v>
      </c>
      <c r="E115" t="s">
        <v>17</v>
      </c>
      <c r="F115" s="3">
        <v>500</v>
      </c>
      <c r="G115">
        <v>42</v>
      </c>
      <c r="H115">
        <v>13.32</v>
      </c>
      <c r="I115">
        <v>20</v>
      </c>
      <c r="J115" t="s">
        <v>28</v>
      </c>
      <c r="K115" t="s">
        <v>20</v>
      </c>
      <c r="L115" t="s">
        <v>21</v>
      </c>
      <c r="M115" s="3">
        <v>38</v>
      </c>
      <c r="N115" s="2">
        <v>3600</v>
      </c>
      <c r="O115" t="str">
        <f t="shared" si="2"/>
        <v>300-500</v>
      </c>
      <c r="P115" t="str">
        <f t="shared" si="3"/>
        <v>&lt;=5000$</v>
      </c>
    </row>
    <row r="116" spans="1:16" x14ac:dyDescent="0.25">
      <c r="A116">
        <v>115</v>
      </c>
      <c r="B116" t="s">
        <v>37</v>
      </c>
      <c r="C116" t="s">
        <v>289</v>
      </c>
      <c r="D116" t="s">
        <v>26</v>
      </c>
      <c r="E116" t="s">
        <v>17</v>
      </c>
      <c r="F116" s="3">
        <v>2000</v>
      </c>
      <c r="G116">
        <v>42</v>
      </c>
      <c r="H116">
        <v>13.32</v>
      </c>
      <c r="I116">
        <v>20</v>
      </c>
      <c r="J116" t="s">
        <v>28</v>
      </c>
      <c r="K116" t="s">
        <v>20</v>
      </c>
      <c r="L116" t="s">
        <v>21</v>
      </c>
      <c r="M116" s="3">
        <v>38</v>
      </c>
      <c r="N116" s="2">
        <v>3600</v>
      </c>
      <c r="O116" t="str">
        <f t="shared" si="2"/>
        <v>1000+</v>
      </c>
      <c r="P116" t="str">
        <f t="shared" si="3"/>
        <v>&lt;=5000$</v>
      </c>
    </row>
    <row r="117" spans="1:16" x14ac:dyDescent="0.25">
      <c r="A117">
        <v>116</v>
      </c>
      <c r="B117" t="s">
        <v>37</v>
      </c>
      <c r="C117" t="s">
        <v>290</v>
      </c>
      <c r="D117" t="s">
        <v>16</v>
      </c>
      <c r="E117" t="s">
        <v>17</v>
      </c>
      <c r="F117" s="3">
        <v>200</v>
      </c>
      <c r="G117">
        <v>44</v>
      </c>
      <c r="H117">
        <v>14.2</v>
      </c>
      <c r="I117">
        <v>22</v>
      </c>
      <c r="J117" t="s">
        <v>28</v>
      </c>
      <c r="K117" t="s">
        <v>20</v>
      </c>
      <c r="L117" t="s">
        <v>21</v>
      </c>
      <c r="M117" s="3">
        <v>38</v>
      </c>
      <c r="N117" s="2">
        <v>3250</v>
      </c>
      <c r="O117" t="str">
        <f t="shared" si="2"/>
        <v>100-200</v>
      </c>
      <c r="P117" t="str">
        <f t="shared" si="3"/>
        <v>&lt;=5000$</v>
      </c>
    </row>
    <row r="118" spans="1:16" x14ac:dyDescent="0.25">
      <c r="A118">
        <v>117</v>
      </c>
      <c r="B118" t="s">
        <v>37</v>
      </c>
      <c r="C118" t="s">
        <v>289</v>
      </c>
      <c r="D118" t="s">
        <v>26</v>
      </c>
      <c r="E118" t="s">
        <v>17</v>
      </c>
      <c r="F118" s="3">
        <v>500</v>
      </c>
      <c r="G118">
        <v>42</v>
      </c>
      <c r="H118">
        <v>13.3</v>
      </c>
      <c r="I118">
        <v>20</v>
      </c>
      <c r="J118" t="s">
        <v>28</v>
      </c>
      <c r="K118" t="s">
        <v>20</v>
      </c>
      <c r="L118" t="s">
        <v>21</v>
      </c>
      <c r="M118" s="3">
        <v>38</v>
      </c>
      <c r="N118" s="2">
        <v>3200</v>
      </c>
      <c r="O118" t="str">
        <f t="shared" si="2"/>
        <v>300-500</v>
      </c>
      <c r="P118" t="str">
        <f t="shared" si="3"/>
        <v>&lt;=5000$</v>
      </c>
    </row>
    <row r="119" spans="1:16" x14ac:dyDescent="0.25">
      <c r="A119">
        <v>118</v>
      </c>
      <c r="B119" t="s">
        <v>124</v>
      </c>
      <c r="C119" t="s">
        <v>291</v>
      </c>
      <c r="D119" t="s">
        <v>32</v>
      </c>
      <c r="E119" t="s">
        <v>17</v>
      </c>
      <c r="F119" s="3">
        <v>100</v>
      </c>
      <c r="G119">
        <v>40</v>
      </c>
      <c r="H119">
        <v>5.15</v>
      </c>
      <c r="I119">
        <v>28</v>
      </c>
      <c r="J119" t="s">
        <v>19</v>
      </c>
      <c r="K119" t="s">
        <v>20</v>
      </c>
      <c r="L119" t="s">
        <v>45</v>
      </c>
      <c r="M119" s="3">
        <v>60</v>
      </c>
      <c r="N119" s="2">
        <v>12800</v>
      </c>
      <c r="O119" t="str">
        <f t="shared" si="2"/>
        <v>&lt;=100</v>
      </c>
      <c r="P119" t="str">
        <f t="shared" si="3"/>
        <v>&lt;= 20000$</v>
      </c>
    </row>
    <row r="120" spans="1:16" x14ac:dyDescent="0.25">
      <c r="A120">
        <v>119</v>
      </c>
      <c r="B120" t="s">
        <v>124</v>
      </c>
      <c r="C120" t="s">
        <v>291</v>
      </c>
      <c r="D120" t="s">
        <v>32</v>
      </c>
      <c r="E120" t="s">
        <v>17</v>
      </c>
      <c r="F120" s="3">
        <v>30</v>
      </c>
      <c r="G120">
        <v>40</v>
      </c>
      <c r="H120">
        <v>5.5</v>
      </c>
      <c r="I120">
        <v>21</v>
      </c>
      <c r="J120" t="s">
        <v>19</v>
      </c>
      <c r="K120" t="s">
        <v>20</v>
      </c>
      <c r="L120" t="s">
        <v>45</v>
      </c>
      <c r="M120" s="3">
        <v>55</v>
      </c>
      <c r="N120" s="2">
        <v>10000</v>
      </c>
      <c r="O120" t="str">
        <f t="shared" si="2"/>
        <v>&lt;=100</v>
      </c>
      <c r="P120" t="str">
        <f t="shared" si="3"/>
        <v>&lt;= 10000$</v>
      </c>
    </row>
    <row r="121" spans="1:16" x14ac:dyDescent="0.25">
      <c r="A121">
        <v>120</v>
      </c>
      <c r="B121" t="s">
        <v>124</v>
      </c>
      <c r="C121" t="s">
        <v>291</v>
      </c>
      <c r="D121" t="s">
        <v>25</v>
      </c>
      <c r="E121" t="s">
        <v>17</v>
      </c>
      <c r="F121" s="3">
        <v>30</v>
      </c>
      <c r="G121">
        <v>40</v>
      </c>
      <c r="H121">
        <v>5.15</v>
      </c>
      <c r="I121">
        <v>28</v>
      </c>
      <c r="J121" t="s">
        <v>19</v>
      </c>
      <c r="K121" t="s">
        <v>20</v>
      </c>
      <c r="L121" t="s">
        <v>45</v>
      </c>
      <c r="M121" s="3">
        <v>55</v>
      </c>
      <c r="N121" s="2">
        <v>10000</v>
      </c>
      <c r="O121" t="str">
        <f t="shared" si="2"/>
        <v>&lt;=100</v>
      </c>
      <c r="P121" t="str">
        <f t="shared" si="3"/>
        <v>&lt;= 10000$</v>
      </c>
    </row>
    <row r="122" spans="1:16" x14ac:dyDescent="0.25">
      <c r="A122">
        <v>121</v>
      </c>
      <c r="B122" t="s">
        <v>157</v>
      </c>
      <c r="C122" t="s">
        <v>292</v>
      </c>
      <c r="D122" t="s">
        <v>16</v>
      </c>
      <c r="E122" t="s">
        <v>43</v>
      </c>
      <c r="F122" s="3">
        <v>300</v>
      </c>
      <c r="G122">
        <v>46.5</v>
      </c>
      <c r="H122">
        <v>17.5</v>
      </c>
      <c r="I122">
        <v>24</v>
      </c>
      <c r="J122" t="s">
        <v>19</v>
      </c>
      <c r="K122" t="s">
        <v>55</v>
      </c>
      <c r="L122" t="s">
        <v>35</v>
      </c>
      <c r="M122" s="3" t="s">
        <v>46</v>
      </c>
      <c r="N122" s="2">
        <v>650</v>
      </c>
      <c r="O122" t="str">
        <f t="shared" si="2"/>
        <v>200-300</v>
      </c>
      <c r="P122" t="str">
        <f t="shared" si="3"/>
        <v>&lt;= 1000$</v>
      </c>
    </row>
    <row r="123" spans="1:16" x14ac:dyDescent="0.25">
      <c r="A123">
        <v>122</v>
      </c>
      <c r="B123" t="s">
        <v>41</v>
      </c>
      <c r="C123" t="s">
        <v>293</v>
      </c>
      <c r="D123" t="s">
        <v>32</v>
      </c>
      <c r="E123" t="s">
        <v>49</v>
      </c>
      <c r="F123" s="3">
        <v>30</v>
      </c>
      <c r="G123">
        <v>27.5</v>
      </c>
      <c r="H123">
        <v>6.5</v>
      </c>
      <c r="I123">
        <v>18</v>
      </c>
      <c r="J123" t="s">
        <v>44</v>
      </c>
      <c r="K123" t="s">
        <v>20</v>
      </c>
      <c r="L123" t="s">
        <v>45</v>
      </c>
      <c r="M123" s="3" t="s">
        <v>46</v>
      </c>
      <c r="N123" s="2">
        <v>14200</v>
      </c>
      <c r="O123" t="str">
        <f t="shared" si="2"/>
        <v>&lt;=100</v>
      </c>
      <c r="P123" t="str">
        <f t="shared" si="3"/>
        <v>&lt;= 20000$</v>
      </c>
    </row>
    <row r="124" spans="1:16" x14ac:dyDescent="0.25">
      <c r="A124">
        <v>123</v>
      </c>
      <c r="B124" t="s">
        <v>41</v>
      </c>
      <c r="C124" t="s">
        <v>294</v>
      </c>
      <c r="D124" t="s">
        <v>32</v>
      </c>
      <c r="E124" t="s">
        <v>17</v>
      </c>
      <c r="F124" s="3">
        <v>30</v>
      </c>
      <c r="G124">
        <v>33</v>
      </c>
      <c r="H124">
        <v>9.9600000000000009</v>
      </c>
      <c r="I124">
        <v>18</v>
      </c>
      <c r="J124" t="s">
        <v>44</v>
      </c>
      <c r="K124" t="s">
        <v>20</v>
      </c>
      <c r="L124" t="s">
        <v>21</v>
      </c>
      <c r="M124" s="3">
        <v>42</v>
      </c>
      <c r="N124" s="2">
        <v>13200</v>
      </c>
      <c r="O124" t="str">
        <f t="shared" si="2"/>
        <v>&lt;=100</v>
      </c>
      <c r="P124" t="str">
        <f t="shared" si="3"/>
        <v>&lt;= 20000$</v>
      </c>
    </row>
    <row r="125" spans="1:16" x14ac:dyDescent="0.25">
      <c r="A125">
        <v>124</v>
      </c>
      <c r="B125" t="s">
        <v>41</v>
      </c>
      <c r="C125" t="s">
        <v>294</v>
      </c>
      <c r="D125" t="s">
        <v>32</v>
      </c>
      <c r="E125" t="s">
        <v>17</v>
      </c>
      <c r="F125" s="3">
        <v>30</v>
      </c>
      <c r="G125">
        <v>33</v>
      </c>
      <c r="H125">
        <v>9.9600000000000009</v>
      </c>
      <c r="I125">
        <v>18</v>
      </c>
      <c r="J125" t="s">
        <v>44</v>
      </c>
      <c r="K125" t="s">
        <v>20</v>
      </c>
      <c r="L125" t="s">
        <v>21</v>
      </c>
      <c r="M125" s="3">
        <v>42</v>
      </c>
      <c r="N125" s="2">
        <v>13000</v>
      </c>
      <c r="O125" t="str">
        <f t="shared" si="2"/>
        <v>&lt;=100</v>
      </c>
      <c r="P125" t="str">
        <f t="shared" si="3"/>
        <v>&lt;= 20000$</v>
      </c>
    </row>
    <row r="126" spans="1:16" x14ac:dyDescent="0.25">
      <c r="A126">
        <v>125</v>
      </c>
      <c r="B126" t="s">
        <v>41</v>
      </c>
      <c r="C126" t="s">
        <v>295</v>
      </c>
      <c r="D126" t="s">
        <v>16</v>
      </c>
      <c r="E126" t="s">
        <v>17</v>
      </c>
      <c r="F126" s="3">
        <v>100</v>
      </c>
      <c r="G126">
        <v>39.799999999999997</v>
      </c>
      <c r="H126">
        <v>9.08</v>
      </c>
      <c r="I126">
        <v>21.5</v>
      </c>
      <c r="J126" t="s">
        <v>44</v>
      </c>
      <c r="K126" t="s">
        <v>20</v>
      </c>
      <c r="L126" t="s">
        <v>21</v>
      </c>
      <c r="M126" s="3">
        <v>42</v>
      </c>
      <c r="N126" s="2">
        <v>7500</v>
      </c>
      <c r="O126" t="str">
        <f t="shared" si="2"/>
        <v>&lt;=100</v>
      </c>
      <c r="P126" t="str">
        <f t="shared" si="3"/>
        <v>&lt;= 10000$</v>
      </c>
    </row>
    <row r="127" spans="1:16" x14ac:dyDescent="0.25">
      <c r="A127">
        <v>126</v>
      </c>
      <c r="B127" t="s">
        <v>41</v>
      </c>
      <c r="C127" t="s">
        <v>296</v>
      </c>
      <c r="D127" t="s">
        <v>16</v>
      </c>
      <c r="E127" t="s">
        <v>17</v>
      </c>
      <c r="F127" s="3">
        <v>30</v>
      </c>
      <c r="G127">
        <v>42</v>
      </c>
      <c r="H127">
        <v>13</v>
      </c>
      <c r="I127">
        <v>22</v>
      </c>
      <c r="J127" t="s">
        <v>44</v>
      </c>
      <c r="K127" t="s">
        <v>20</v>
      </c>
      <c r="L127" t="s">
        <v>21</v>
      </c>
      <c r="M127" s="3">
        <v>42</v>
      </c>
      <c r="N127" s="2">
        <v>7500</v>
      </c>
      <c r="O127" t="str">
        <f t="shared" si="2"/>
        <v>&lt;=100</v>
      </c>
      <c r="P127" t="str">
        <f t="shared" si="3"/>
        <v>&lt;= 10000$</v>
      </c>
    </row>
    <row r="128" spans="1:16" x14ac:dyDescent="0.25">
      <c r="A128">
        <v>127</v>
      </c>
      <c r="B128" t="s">
        <v>41</v>
      </c>
      <c r="C128" t="s">
        <v>296</v>
      </c>
      <c r="D128" t="s">
        <v>16</v>
      </c>
      <c r="E128" t="s">
        <v>17</v>
      </c>
      <c r="F128" s="3">
        <v>30</v>
      </c>
      <c r="G128">
        <v>42</v>
      </c>
      <c r="H128">
        <v>13</v>
      </c>
      <c r="I128">
        <v>22</v>
      </c>
      <c r="J128" t="s">
        <v>44</v>
      </c>
      <c r="K128" t="s">
        <v>20</v>
      </c>
      <c r="L128" t="s">
        <v>21</v>
      </c>
      <c r="M128" s="3">
        <v>42</v>
      </c>
      <c r="N128" s="2">
        <v>7500</v>
      </c>
      <c r="O128" t="str">
        <f t="shared" si="2"/>
        <v>&lt;=100</v>
      </c>
      <c r="P128" t="str">
        <f t="shared" si="3"/>
        <v>&lt;= 10000$</v>
      </c>
    </row>
    <row r="129" spans="1:16" x14ac:dyDescent="0.25">
      <c r="A129">
        <v>128</v>
      </c>
      <c r="B129" t="s">
        <v>41</v>
      </c>
      <c r="C129" t="s">
        <v>295</v>
      </c>
      <c r="D129" t="s">
        <v>32</v>
      </c>
      <c r="E129" t="s">
        <v>17</v>
      </c>
      <c r="F129" s="3">
        <v>100</v>
      </c>
      <c r="G129">
        <v>39.799999999999997</v>
      </c>
      <c r="H129">
        <v>9.08</v>
      </c>
      <c r="I129">
        <v>20</v>
      </c>
      <c r="J129" t="s">
        <v>44</v>
      </c>
      <c r="K129" t="s">
        <v>20</v>
      </c>
      <c r="L129" t="s">
        <v>21</v>
      </c>
      <c r="M129" s="3">
        <v>42</v>
      </c>
      <c r="N129" s="2">
        <v>6600</v>
      </c>
      <c r="O129" t="str">
        <f t="shared" si="2"/>
        <v>&lt;=100</v>
      </c>
      <c r="P129" t="str">
        <f t="shared" si="3"/>
        <v>&lt;= 10000$</v>
      </c>
    </row>
    <row r="130" spans="1:16" x14ac:dyDescent="0.25">
      <c r="A130">
        <v>129</v>
      </c>
      <c r="B130" t="s">
        <v>41</v>
      </c>
      <c r="C130" t="s">
        <v>297</v>
      </c>
      <c r="D130" t="s">
        <v>16</v>
      </c>
      <c r="E130" t="s">
        <v>17</v>
      </c>
      <c r="F130" s="3">
        <v>30</v>
      </c>
      <c r="G130">
        <v>33</v>
      </c>
      <c r="H130">
        <v>9.9600000000000009</v>
      </c>
      <c r="I130">
        <v>18</v>
      </c>
      <c r="J130" t="s">
        <v>44</v>
      </c>
      <c r="K130" t="s">
        <v>20</v>
      </c>
      <c r="L130" t="s">
        <v>21</v>
      </c>
      <c r="M130" s="3">
        <v>42</v>
      </c>
      <c r="N130" s="2">
        <v>6500</v>
      </c>
      <c r="O130" t="str">
        <f t="shared" si="2"/>
        <v>&lt;=100</v>
      </c>
      <c r="P130" t="str">
        <f t="shared" si="3"/>
        <v>&lt;= 10000$</v>
      </c>
    </row>
    <row r="131" spans="1:16" x14ac:dyDescent="0.25">
      <c r="A131">
        <v>130</v>
      </c>
      <c r="B131" t="s">
        <v>41</v>
      </c>
      <c r="C131" t="s">
        <v>298</v>
      </c>
      <c r="D131" t="s">
        <v>16</v>
      </c>
      <c r="E131" t="s">
        <v>17</v>
      </c>
      <c r="F131" s="3">
        <v>100</v>
      </c>
      <c r="G131">
        <v>39.799999999999997</v>
      </c>
      <c r="H131">
        <v>9.08</v>
      </c>
      <c r="I131">
        <v>20</v>
      </c>
      <c r="J131" t="s">
        <v>44</v>
      </c>
      <c r="K131" t="s">
        <v>20</v>
      </c>
      <c r="L131" t="s">
        <v>21</v>
      </c>
      <c r="M131" s="3">
        <v>42</v>
      </c>
      <c r="N131" s="2">
        <v>6500</v>
      </c>
      <c r="O131" t="str">
        <f t="shared" ref="O131:O194" si="4">IF($F131&lt;=100, "&lt;=100", IF($F131&lt;=200, "100-200", IF($F131&lt;=300, "200-300", IF($F131&lt;=500, "300-500", IF($F131&lt;1000, "500-1000", "1000+")))))</f>
        <v>&lt;=100</v>
      </c>
      <c r="P131" t="str">
        <f t="shared" ref="P131:P194" si="5">IF(N131&lt;=1000, "&lt;= 1000$", IF(N131&lt;=2000, " &lt;=2000$", IF(N131&lt;=5000, "&lt;=5000$", IF(N131&lt;=10000, "&lt;= 10000$", IF(N131&lt;=20000, "&lt;= 20000$", IF(N131&lt;40000, "&lt;= 40000$", "40000$ +"))))))</f>
        <v>&lt;= 10000$</v>
      </c>
    </row>
    <row r="132" spans="1:16" x14ac:dyDescent="0.25">
      <c r="A132">
        <v>131</v>
      </c>
      <c r="B132" t="s">
        <v>41</v>
      </c>
      <c r="C132" t="s">
        <v>295</v>
      </c>
      <c r="D132" t="s">
        <v>16</v>
      </c>
      <c r="E132" t="s">
        <v>17</v>
      </c>
      <c r="F132" s="3">
        <v>100</v>
      </c>
      <c r="G132">
        <v>39.799999999999997</v>
      </c>
      <c r="H132">
        <v>9.08</v>
      </c>
      <c r="I132">
        <v>20</v>
      </c>
      <c r="J132" t="s">
        <v>44</v>
      </c>
      <c r="K132" t="s">
        <v>20</v>
      </c>
      <c r="L132" t="s">
        <v>21</v>
      </c>
      <c r="M132" s="3">
        <v>42</v>
      </c>
      <c r="N132" s="2">
        <v>6200</v>
      </c>
      <c r="O132" t="str">
        <f t="shared" si="4"/>
        <v>&lt;=100</v>
      </c>
      <c r="P132" t="str">
        <f t="shared" si="5"/>
        <v>&lt;= 10000$</v>
      </c>
    </row>
    <row r="133" spans="1:16" x14ac:dyDescent="0.25">
      <c r="A133">
        <v>132</v>
      </c>
      <c r="B133" t="s">
        <v>41</v>
      </c>
      <c r="C133" t="s">
        <v>299</v>
      </c>
      <c r="D133" t="s">
        <v>16</v>
      </c>
      <c r="E133" t="s">
        <v>17</v>
      </c>
      <c r="F133" s="3">
        <v>100</v>
      </c>
      <c r="G133">
        <v>35.1</v>
      </c>
      <c r="H133">
        <v>8.83</v>
      </c>
      <c r="I133">
        <v>18</v>
      </c>
      <c r="J133" t="s">
        <v>44</v>
      </c>
      <c r="K133" t="s">
        <v>20</v>
      </c>
      <c r="L133" t="s">
        <v>21</v>
      </c>
      <c r="M133" s="3">
        <v>42</v>
      </c>
      <c r="N133" s="2">
        <v>5500</v>
      </c>
      <c r="O133" t="str">
        <f t="shared" si="4"/>
        <v>&lt;=100</v>
      </c>
      <c r="P133" t="str">
        <f t="shared" si="5"/>
        <v>&lt;= 10000$</v>
      </c>
    </row>
    <row r="134" spans="1:16" x14ac:dyDescent="0.25">
      <c r="A134">
        <v>133</v>
      </c>
      <c r="B134" t="s">
        <v>41</v>
      </c>
      <c r="C134" t="s">
        <v>299</v>
      </c>
      <c r="D134" t="s">
        <v>32</v>
      </c>
      <c r="E134" t="s">
        <v>17</v>
      </c>
      <c r="F134" s="3">
        <v>100</v>
      </c>
      <c r="G134">
        <v>35.1</v>
      </c>
      <c r="H134">
        <v>8.83</v>
      </c>
      <c r="I134">
        <v>22</v>
      </c>
      <c r="J134" t="s">
        <v>44</v>
      </c>
      <c r="K134" t="s">
        <v>20</v>
      </c>
      <c r="L134" t="s">
        <v>21</v>
      </c>
      <c r="M134" s="3">
        <v>42</v>
      </c>
      <c r="N134" s="2">
        <v>5300</v>
      </c>
      <c r="O134" t="str">
        <f t="shared" si="4"/>
        <v>&lt;=100</v>
      </c>
      <c r="P134" t="str">
        <f t="shared" si="5"/>
        <v>&lt;= 10000$</v>
      </c>
    </row>
    <row r="135" spans="1:16" x14ac:dyDescent="0.25">
      <c r="A135">
        <v>134</v>
      </c>
      <c r="B135" t="s">
        <v>41</v>
      </c>
      <c r="C135" t="s">
        <v>300</v>
      </c>
      <c r="D135" t="s">
        <v>32</v>
      </c>
      <c r="E135" t="s">
        <v>43</v>
      </c>
      <c r="F135" s="3">
        <v>30</v>
      </c>
      <c r="G135">
        <v>43.5</v>
      </c>
      <c r="H135">
        <v>7.3</v>
      </c>
      <c r="I135">
        <v>23</v>
      </c>
      <c r="J135" t="s">
        <v>44</v>
      </c>
      <c r="K135" t="s">
        <v>20</v>
      </c>
      <c r="L135" t="s">
        <v>45</v>
      </c>
      <c r="M135" s="3" t="s">
        <v>46</v>
      </c>
      <c r="N135" s="2">
        <v>5300</v>
      </c>
      <c r="O135" t="str">
        <f t="shared" si="4"/>
        <v>&lt;=100</v>
      </c>
      <c r="P135" t="str">
        <f t="shared" si="5"/>
        <v>&lt;= 10000$</v>
      </c>
    </row>
    <row r="136" spans="1:16" x14ac:dyDescent="0.25">
      <c r="A136">
        <v>135</v>
      </c>
      <c r="B136" t="s">
        <v>41</v>
      </c>
      <c r="C136" t="s">
        <v>301</v>
      </c>
      <c r="D136" t="s">
        <v>16</v>
      </c>
      <c r="E136" t="s">
        <v>17</v>
      </c>
      <c r="F136" s="3">
        <v>30</v>
      </c>
      <c r="G136">
        <v>36.6</v>
      </c>
      <c r="H136">
        <v>12.05</v>
      </c>
      <c r="I136">
        <v>18</v>
      </c>
      <c r="J136" t="s">
        <v>44</v>
      </c>
      <c r="K136" t="s">
        <v>20</v>
      </c>
      <c r="L136" t="s">
        <v>21</v>
      </c>
      <c r="M136" s="3">
        <v>42</v>
      </c>
      <c r="N136" s="2">
        <v>4700</v>
      </c>
      <c r="O136" t="str">
        <f t="shared" si="4"/>
        <v>&lt;=100</v>
      </c>
      <c r="P136" t="str">
        <f t="shared" si="5"/>
        <v>&lt;=5000$</v>
      </c>
    </row>
    <row r="137" spans="1:16" x14ac:dyDescent="0.25">
      <c r="A137">
        <v>136</v>
      </c>
      <c r="B137" t="s">
        <v>41</v>
      </c>
      <c r="C137" t="s">
        <v>297</v>
      </c>
      <c r="D137" t="s">
        <v>32</v>
      </c>
      <c r="E137" t="s">
        <v>17</v>
      </c>
      <c r="F137" s="3">
        <v>30</v>
      </c>
      <c r="G137">
        <v>33</v>
      </c>
      <c r="H137">
        <v>9.9600000000000009</v>
      </c>
      <c r="I137">
        <v>16</v>
      </c>
      <c r="J137" t="s">
        <v>44</v>
      </c>
      <c r="K137" t="s">
        <v>20</v>
      </c>
      <c r="L137" t="s">
        <v>21</v>
      </c>
      <c r="M137" s="3">
        <v>42</v>
      </c>
      <c r="N137" s="2">
        <v>4500</v>
      </c>
      <c r="O137" t="str">
        <f t="shared" si="4"/>
        <v>&lt;=100</v>
      </c>
      <c r="P137" t="str">
        <f t="shared" si="5"/>
        <v>&lt;=5000$</v>
      </c>
    </row>
    <row r="138" spans="1:16" x14ac:dyDescent="0.25">
      <c r="A138">
        <v>137</v>
      </c>
      <c r="B138" t="s">
        <v>41</v>
      </c>
      <c r="C138" t="s">
        <v>302</v>
      </c>
      <c r="D138" t="s">
        <v>32</v>
      </c>
      <c r="E138" t="s">
        <v>49</v>
      </c>
      <c r="F138" s="3">
        <v>30</v>
      </c>
      <c r="G138">
        <v>31.4</v>
      </c>
      <c r="H138">
        <v>7.25</v>
      </c>
      <c r="I138">
        <v>18</v>
      </c>
      <c r="J138" t="s">
        <v>44</v>
      </c>
      <c r="K138" t="s">
        <v>20</v>
      </c>
      <c r="L138" t="s">
        <v>45</v>
      </c>
      <c r="M138" s="3" t="s">
        <v>46</v>
      </c>
      <c r="N138" s="2">
        <v>4500</v>
      </c>
      <c r="O138" t="str">
        <f t="shared" si="4"/>
        <v>&lt;=100</v>
      </c>
      <c r="P138" t="str">
        <f t="shared" si="5"/>
        <v>&lt;=5000$</v>
      </c>
    </row>
    <row r="139" spans="1:16" x14ac:dyDescent="0.25">
      <c r="A139">
        <v>138</v>
      </c>
      <c r="B139" t="s">
        <v>41</v>
      </c>
      <c r="C139" t="s">
        <v>303</v>
      </c>
      <c r="D139" t="s">
        <v>32</v>
      </c>
      <c r="E139" t="s">
        <v>43</v>
      </c>
      <c r="F139" s="3">
        <v>30</v>
      </c>
      <c r="G139">
        <v>38</v>
      </c>
      <c r="H139">
        <v>7.5</v>
      </c>
      <c r="I139">
        <v>18</v>
      </c>
      <c r="J139" t="s">
        <v>44</v>
      </c>
      <c r="K139" t="s">
        <v>20</v>
      </c>
      <c r="L139" t="s">
        <v>45</v>
      </c>
      <c r="M139" s="3" t="s">
        <v>46</v>
      </c>
      <c r="N139" s="2">
        <v>3500</v>
      </c>
      <c r="O139" t="str">
        <f t="shared" si="4"/>
        <v>&lt;=100</v>
      </c>
      <c r="P139" t="str">
        <f t="shared" si="5"/>
        <v>&lt;=5000$</v>
      </c>
    </row>
    <row r="140" spans="1:16" x14ac:dyDescent="0.25">
      <c r="A140">
        <v>139</v>
      </c>
      <c r="B140" t="s">
        <v>41</v>
      </c>
      <c r="C140" t="s">
        <v>304</v>
      </c>
      <c r="D140" t="s">
        <v>32</v>
      </c>
      <c r="E140" t="s">
        <v>43</v>
      </c>
      <c r="F140" s="3">
        <v>30</v>
      </c>
      <c r="G140">
        <v>31</v>
      </c>
      <c r="H140">
        <v>6.05</v>
      </c>
      <c r="I140">
        <v>20</v>
      </c>
      <c r="J140" t="s">
        <v>44</v>
      </c>
      <c r="K140" t="s">
        <v>20</v>
      </c>
      <c r="L140" t="s">
        <v>45</v>
      </c>
      <c r="M140" s="3" t="s">
        <v>46</v>
      </c>
      <c r="N140" s="2">
        <v>2800</v>
      </c>
      <c r="O140" t="str">
        <f t="shared" si="4"/>
        <v>&lt;=100</v>
      </c>
      <c r="P140" t="str">
        <f t="shared" si="5"/>
        <v>&lt;=5000$</v>
      </c>
    </row>
    <row r="141" spans="1:16" x14ac:dyDescent="0.25">
      <c r="A141">
        <v>140</v>
      </c>
      <c r="B141" t="s">
        <v>41</v>
      </c>
      <c r="C141" t="s">
        <v>304</v>
      </c>
      <c r="D141" t="s">
        <v>32</v>
      </c>
      <c r="E141" t="s">
        <v>43</v>
      </c>
      <c r="F141" s="3">
        <v>30</v>
      </c>
      <c r="G141">
        <v>31</v>
      </c>
      <c r="H141">
        <v>6.05</v>
      </c>
      <c r="I141">
        <v>20</v>
      </c>
      <c r="J141" t="s">
        <v>44</v>
      </c>
      <c r="K141" t="s">
        <v>20</v>
      </c>
      <c r="L141" t="s">
        <v>45</v>
      </c>
      <c r="M141" s="3" t="s">
        <v>46</v>
      </c>
      <c r="N141" s="2">
        <v>2800</v>
      </c>
      <c r="O141" t="str">
        <f t="shared" si="4"/>
        <v>&lt;=100</v>
      </c>
      <c r="P141" t="str">
        <f t="shared" si="5"/>
        <v>&lt;=5000$</v>
      </c>
    </row>
    <row r="142" spans="1:16" x14ac:dyDescent="0.25">
      <c r="A142">
        <v>141</v>
      </c>
      <c r="B142" t="s">
        <v>126</v>
      </c>
      <c r="C142" t="s">
        <v>305</v>
      </c>
      <c r="D142" t="s">
        <v>32</v>
      </c>
      <c r="E142" t="s">
        <v>17</v>
      </c>
      <c r="F142" s="3">
        <v>50</v>
      </c>
      <c r="G142">
        <v>42</v>
      </c>
      <c r="H142">
        <v>12.67</v>
      </c>
      <c r="I142">
        <v>22</v>
      </c>
      <c r="J142" t="s">
        <v>19</v>
      </c>
      <c r="K142" t="s">
        <v>20</v>
      </c>
      <c r="L142" t="s">
        <v>35</v>
      </c>
      <c r="M142" s="3">
        <v>42</v>
      </c>
      <c r="N142" s="2">
        <v>6900</v>
      </c>
      <c r="O142" t="str">
        <f t="shared" si="4"/>
        <v>&lt;=100</v>
      </c>
      <c r="P142" t="str">
        <f t="shared" si="5"/>
        <v>&lt;= 10000$</v>
      </c>
    </row>
    <row r="143" spans="1:16" x14ac:dyDescent="0.25">
      <c r="A143">
        <v>142</v>
      </c>
      <c r="B143" t="s">
        <v>126</v>
      </c>
      <c r="C143" t="s">
        <v>305</v>
      </c>
      <c r="D143" t="s">
        <v>26</v>
      </c>
      <c r="E143" t="s">
        <v>17</v>
      </c>
      <c r="F143" s="3">
        <v>50</v>
      </c>
      <c r="G143">
        <v>42</v>
      </c>
      <c r="H143">
        <v>13.07</v>
      </c>
      <c r="I143">
        <v>20</v>
      </c>
      <c r="J143" t="s">
        <v>19</v>
      </c>
      <c r="K143" t="s">
        <v>20</v>
      </c>
      <c r="L143" t="s">
        <v>35</v>
      </c>
      <c r="M143" s="3">
        <v>48</v>
      </c>
      <c r="N143" s="2">
        <v>6800</v>
      </c>
      <c r="O143" t="str">
        <f t="shared" si="4"/>
        <v>&lt;=100</v>
      </c>
      <c r="P143" t="str">
        <f t="shared" si="5"/>
        <v>&lt;= 10000$</v>
      </c>
    </row>
    <row r="144" spans="1:16" x14ac:dyDescent="0.25">
      <c r="A144">
        <v>143</v>
      </c>
      <c r="B144" t="s">
        <v>126</v>
      </c>
      <c r="C144" t="s">
        <v>306</v>
      </c>
      <c r="D144" t="s">
        <v>32</v>
      </c>
      <c r="E144" t="s">
        <v>17</v>
      </c>
      <c r="F144" s="3">
        <v>50</v>
      </c>
      <c r="G144">
        <v>44</v>
      </c>
      <c r="H144">
        <v>13.7</v>
      </c>
      <c r="I144">
        <v>20</v>
      </c>
      <c r="J144" t="s">
        <v>19</v>
      </c>
      <c r="K144" t="s">
        <v>20</v>
      </c>
      <c r="L144" t="s">
        <v>35</v>
      </c>
      <c r="M144" s="3">
        <v>42</v>
      </c>
      <c r="N144" s="2">
        <v>6500</v>
      </c>
      <c r="O144" t="str">
        <f t="shared" si="4"/>
        <v>&lt;=100</v>
      </c>
      <c r="P144" t="str">
        <f t="shared" si="5"/>
        <v>&lt;= 10000$</v>
      </c>
    </row>
    <row r="145" spans="1:16" x14ac:dyDescent="0.25">
      <c r="A145">
        <v>144</v>
      </c>
      <c r="B145" t="s">
        <v>126</v>
      </c>
      <c r="C145" t="s">
        <v>305</v>
      </c>
      <c r="D145" t="s">
        <v>26</v>
      </c>
      <c r="E145" t="s">
        <v>17</v>
      </c>
      <c r="F145" s="3">
        <v>50</v>
      </c>
      <c r="G145">
        <v>42</v>
      </c>
      <c r="H145">
        <v>12.67</v>
      </c>
      <c r="I145">
        <v>20</v>
      </c>
      <c r="J145" t="s">
        <v>19</v>
      </c>
      <c r="K145" t="s">
        <v>20</v>
      </c>
      <c r="L145" t="s">
        <v>141</v>
      </c>
      <c r="M145" s="3">
        <v>42</v>
      </c>
      <c r="N145" s="2">
        <v>6500</v>
      </c>
      <c r="O145" t="str">
        <f t="shared" si="4"/>
        <v>&lt;=100</v>
      </c>
      <c r="P145" t="str">
        <f t="shared" si="5"/>
        <v>&lt;= 10000$</v>
      </c>
    </row>
    <row r="146" spans="1:16" x14ac:dyDescent="0.25">
      <c r="A146">
        <v>145</v>
      </c>
      <c r="B146" t="s">
        <v>126</v>
      </c>
      <c r="C146" t="s">
        <v>306</v>
      </c>
      <c r="D146" t="s">
        <v>32</v>
      </c>
      <c r="E146" t="s">
        <v>17</v>
      </c>
      <c r="F146" s="3">
        <v>50</v>
      </c>
      <c r="G146">
        <v>44</v>
      </c>
      <c r="H146">
        <v>14.4</v>
      </c>
      <c r="I146">
        <v>22</v>
      </c>
      <c r="J146" t="s">
        <v>19</v>
      </c>
      <c r="K146" t="s">
        <v>20</v>
      </c>
      <c r="L146" t="s">
        <v>245</v>
      </c>
      <c r="M146" s="3">
        <v>42</v>
      </c>
      <c r="N146" s="2">
        <v>6300</v>
      </c>
      <c r="O146" t="str">
        <f t="shared" si="4"/>
        <v>&lt;=100</v>
      </c>
      <c r="P146" t="str">
        <f t="shared" si="5"/>
        <v>&lt;= 10000$</v>
      </c>
    </row>
    <row r="147" spans="1:16" x14ac:dyDescent="0.25">
      <c r="A147">
        <v>146</v>
      </c>
      <c r="B147" t="s">
        <v>126</v>
      </c>
      <c r="C147" t="s">
        <v>305</v>
      </c>
      <c r="D147" t="s">
        <v>32</v>
      </c>
      <c r="E147" t="s">
        <v>17</v>
      </c>
      <c r="F147" s="3">
        <v>50</v>
      </c>
      <c r="G147">
        <v>42</v>
      </c>
      <c r="H147">
        <v>11.43</v>
      </c>
      <c r="I147">
        <v>22</v>
      </c>
      <c r="J147" t="s">
        <v>19</v>
      </c>
      <c r="K147" t="s">
        <v>20</v>
      </c>
      <c r="L147" t="s">
        <v>35</v>
      </c>
      <c r="M147" s="3">
        <v>48</v>
      </c>
      <c r="N147" s="2">
        <v>6200</v>
      </c>
      <c r="O147" t="str">
        <f t="shared" si="4"/>
        <v>&lt;=100</v>
      </c>
      <c r="P147" t="str">
        <f t="shared" si="5"/>
        <v>&lt;= 10000$</v>
      </c>
    </row>
    <row r="148" spans="1:16" x14ac:dyDescent="0.25">
      <c r="A148">
        <v>147</v>
      </c>
      <c r="B148" t="s">
        <v>126</v>
      </c>
      <c r="C148" t="s">
        <v>305</v>
      </c>
      <c r="D148" t="s">
        <v>32</v>
      </c>
      <c r="E148" t="s">
        <v>17</v>
      </c>
      <c r="F148" s="3">
        <v>50</v>
      </c>
      <c r="G148">
        <v>42</v>
      </c>
      <c r="H148">
        <v>11.43</v>
      </c>
      <c r="I148">
        <v>20</v>
      </c>
      <c r="J148" t="s">
        <v>19</v>
      </c>
      <c r="K148" t="s">
        <v>20</v>
      </c>
      <c r="L148" t="s">
        <v>35</v>
      </c>
      <c r="M148" s="3">
        <v>42</v>
      </c>
      <c r="N148" s="2">
        <v>6100</v>
      </c>
      <c r="O148" t="str">
        <f t="shared" si="4"/>
        <v>&lt;=100</v>
      </c>
      <c r="P148" t="str">
        <f t="shared" si="5"/>
        <v>&lt;= 10000$</v>
      </c>
    </row>
    <row r="149" spans="1:16" x14ac:dyDescent="0.25">
      <c r="A149">
        <v>148</v>
      </c>
      <c r="B149" t="s">
        <v>126</v>
      </c>
      <c r="C149" t="s">
        <v>306</v>
      </c>
      <c r="D149" t="s">
        <v>32</v>
      </c>
      <c r="E149" t="s">
        <v>17</v>
      </c>
      <c r="F149" s="3">
        <v>50</v>
      </c>
      <c r="G149">
        <v>44</v>
      </c>
      <c r="H149">
        <v>14.45</v>
      </c>
      <c r="I149">
        <v>22</v>
      </c>
      <c r="J149" t="s">
        <v>19</v>
      </c>
      <c r="K149" t="s">
        <v>20</v>
      </c>
      <c r="L149" t="s">
        <v>148</v>
      </c>
      <c r="M149" s="3">
        <v>42</v>
      </c>
      <c r="N149" s="2">
        <v>6000</v>
      </c>
      <c r="O149" t="str">
        <f t="shared" si="4"/>
        <v>&lt;=100</v>
      </c>
      <c r="P149" t="str">
        <f t="shared" si="5"/>
        <v>&lt;= 10000$</v>
      </c>
    </row>
    <row r="150" spans="1:16" x14ac:dyDescent="0.25">
      <c r="A150">
        <v>149</v>
      </c>
      <c r="B150" t="s">
        <v>126</v>
      </c>
      <c r="C150" t="s">
        <v>305</v>
      </c>
      <c r="D150" t="s">
        <v>32</v>
      </c>
      <c r="E150" t="s">
        <v>17</v>
      </c>
      <c r="F150" s="3">
        <v>50</v>
      </c>
      <c r="G150">
        <v>42</v>
      </c>
      <c r="H150">
        <v>12.67</v>
      </c>
      <c r="I150">
        <v>20</v>
      </c>
      <c r="J150" t="s">
        <v>44</v>
      </c>
      <c r="K150" t="s">
        <v>20</v>
      </c>
      <c r="L150" t="s">
        <v>35</v>
      </c>
      <c r="M150" s="3">
        <v>42</v>
      </c>
      <c r="N150" s="2">
        <v>5900</v>
      </c>
      <c r="O150" t="str">
        <f t="shared" si="4"/>
        <v>&lt;=100</v>
      </c>
      <c r="P150" t="str">
        <f t="shared" si="5"/>
        <v>&lt;= 10000$</v>
      </c>
    </row>
    <row r="151" spans="1:16" x14ac:dyDescent="0.25">
      <c r="A151">
        <v>150</v>
      </c>
      <c r="B151" t="s">
        <v>126</v>
      </c>
      <c r="C151" t="s">
        <v>306</v>
      </c>
      <c r="D151" t="s">
        <v>32</v>
      </c>
      <c r="E151" t="s">
        <v>17</v>
      </c>
      <c r="F151" s="3">
        <v>50</v>
      </c>
      <c r="G151">
        <v>44</v>
      </c>
      <c r="H151">
        <v>14.97</v>
      </c>
      <c r="I151">
        <v>22</v>
      </c>
      <c r="J151" t="s">
        <v>19</v>
      </c>
      <c r="K151" t="s">
        <v>20</v>
      </c>
      <c r="L151" t="s">
        <v>35</v>
      </c>
      <c r="M151" s="3">
        <v>42</v>
      </c>
      <c r="N151" s="2">
        <v>5800</v>
      </c>
      <c r="O151" t="str">
        <f t="shared" si="4"/>
        <v>&lt;=100</v>
      </c>
      <c r="P151" t="str">
        <f t="shared" si="5"/>
        <v>&lt;= 10000$</v>
      </c>
    </row>
    <row r="152" spans="1:16" x14ac:dyDescent="0.25">
      <c r="A152">
        <v>151</v>
      </c>
      <c r="B152" t="s">
        <v>126</v>
      </c>
      <c r="C152" t="s">
        <v>307</v>
      </c>
      <c r="D152" t="s">
        <v>16</v>
      </c>
      <c r="E152" t="s">
        <v>43</v>
      </c>
      <c r="F152" s="3">
        <v>30</v>
      </c>
      <c r="G152">
        <v>30</v>
      </c>
      <c r="H152">
        <v>7.2</v>
      </c>
      <c r="I152">
        <v>15</v>
      </c>
      <c r="J152" t="s">
        <v>44</v>
      </c>
      <c r="K152" t="s">
        <v>20</v>
      </c>
      <c r="L152" t="s">
        <v>21</v>
      </c>
      <c r="M152" s="3" t="s">
        <v>46</v>
      </c>
      <c r="N152" s="2">
        <v>5800</v>
      </c>
      <c r="O152" t="str">
        <f t="shared" si="4"/>
        <v>&lt;=100</v>
      </c>
      <c r="P152" t="str">
        <f t="shared" si="5"/>
        <v>&lt;= 10000$</v>
      </c>
    </row>
    <row r="153" spans="1:16" x14ac:dyDescent="0.25">
      <c r="A153">
        <v>152</v>
      </c>
      <c r="B153" t="s">
        <v>126</v>
      </c>
      <c r="C153" t="s">
        <v>305</v>
      </c>
      <c r="D153" t="s">
        <v>32</v>
      </c>
      <c r="E153" t="s">
        <v>17</v>
      </c>
      <c r="F153" s="3">
        <v>50</v>
      </c>
      <c r="G153">
        <v>42</v>
      </c>
      <c r="H153">
        <v>12.67</v>
      </c>
      <c r="I153">
        <v>20</v>
      </c>
      <c r="J153" t="s">
        <v>19</v>
      </c>
      <c r="K153" t="s">
        <v>20</v>
      </c>
      <c r="L153" t="s">
        <v>35</v>
      </c>
      <c r="M153" s="3">
        <v>48</v>
      </c>
      <c r="N153" s="2">
        <v>5600</v>
      </c>
      <c r="O153" t="str">
        <f t="shared" si="4"/>
        <v>&lt;=100</v>
      </c>
      <c r="P153" t="str">
        <f t="shared" si="5"/>
        <v>&lt;= 10000$</v>
      </c>
    </row>
    <row r="154" spans="1:16" x14ac:dyDescent="0.25">
      <c r="A154">
        <v>153</v>
      </c>
      <c r="B154" t="s">
        <v>126</v>
      </c>
      <c r="C154" t="s">
        <v>305</v>
      </c>
      <c r="D154" t="s">
        <v>32</v>
      </c>
      <c r="E154" t="s">
        <v>17</v>
      </c>
      <c r="F154" s="3">
        <v>50</v>
      </c>
      <c r="G154">
        <v>42</v>
      </c>
      <c r="H154">
        <v>12.67</v>
      </c>
      <c r="I154">
        <v>20</v>
      </c>
      <c r="J154" t="s">
        <v>19</v>
      </c>
      <c r="K154" t="s">
        <v>20</v>
      </c>
      <c r="L154" t="s">
        <v>35</v>
      </c>
      <c r="M154" s="3">
        <v>48</v>
      </c>
      <c r="N154" s="2">
        <v>5000</v>
      </c>
      <c r="O154" t="str">
        <f t="shared" si="4"/>
        <v>&lt;=100</v>
      </c>
      <c r="P154" t="str">
        <f t="shared" si="5"/>
        <v>&lt;=5000$</v>
      </c>
    </row>
    <row r="155" spans="1:16" x14ac:dyDescent="0.25">
      <c r="A155">
        <v>154</v>
      </c>
      <c r="B155" t="s">
        <v>126</v>
      </c>
      <c r="C155" t="s">
        <v>307</v>
      </c>
      <c r="D155" t="s">
        <v>32</v>
      </c>
      <c r="E155" t="s">
        <v>43</v>
      </c>
      <c r="F155" s="3">
        <v>30</v>
      </c>
      <c r="G155">
        <v>30</v>
      </c>
      <c r="H155">
        <v>10.5</v>
      </c>
      <c r="I155">
        <v>17</v>
      </c>
      <c r="J155" t="s">
        <v>34</v>
      </c>
      <c r="K155" t="s">
        <v>20</v>
      </c>
      <c r="L155" t="s">
        <v>45</v>
      </c>
      <c r="M155" s="3" t="s">
        <v>46</v>
      </c>
      <c r="N155" s="2">
        <v>5000</v>
      </c>
      <c r="O155" t="str">
        <f t="shared" si="4"/>
        <v>&lt;=100</v>
      </c>
      <c r="P155" t="str">
        <f t="shared" si="5"/>
        <v>&lt;=5000$</v>
      </c>
    </row>
    <row r="156" spans="1:16" x14ac:dyDescent="0.25">
      <c r="A156">
        <v>155</v>
      </c>
      <c r="B156" t="s">
        <v>196</v>
      </c>
      <c r="C156" t="s">
        <v>308</v>
      </c>
      <c r="D156" t="s">
        <v>32</v>
      </c>
      <c r="E156" t="s">
        <v>17</v>
      </c>
      <c r="F156" s="3">
        <v>50</v>
      </c>
      <c r="G156">
        <v>40</v>
      </c>
      <c r="H156">
        <v>10.5</v>
      </c>
      <c r="I156">
        <v>20</v>
      </c>
      <c r="J156" t="s">
        <v>44</v>
      </c>
      <c r="K156" t="s">
        <v>20</v>
      </c>
      <c r="L156" t="s">
        <v>21</v>
      </c>
      <c r="M156" s="3">
        <v>38</v>
      </c>
      <c r="N156" s="2">
        <v>1400</v>
      </c>
      <c r="O156" t="str">
        <f t="shared" si="4"/>
        <v>&lt;=100</v>
      </c>
      <c r="P156" t="str">
        <f t="shared" si="5"/>
        <v xml:space="preserve"> &lt;=2000$</v>
      </c>
    </row>
    <row r="157" spans="1:16" x14ac:dyDescent="0.25">
      <c r="A157">
        <v>156</v>
      </c>
      <c r="B157" t="s">
        <v>196</v>
      </c>
      <c r="C157" t="s">
        <v>308</v>
      </c>
      <c r="D157" t="s">
        <v>32</v>
      </c>
      <c r="E157" t="s">
        <v>17</v>
      </c>
      <c r="F157" s="3">
        <v>50</v>
      </c>
      <c r="G157">
        <v>40</v>
      </c>
      <c r="H157">
        <v>10.6</v>
      </c>
      <c r="I157">
        <v>20</v>
      </c>
      <c r="J157" t="s">
        <v>44</v>
      </c>
      <c r="K157" t="s">
        <v>20</v>
      </c>
      <c r="L157" t="s">
        <v>21</v>
      </c>
      <c r="M157" s="3">
        <v>38</v>
      </c>
      <c r="N157" s="2">
        <v>1200</v>
      </c>
      <c r="O157" t="str">
        <f t="shared" si="4"/>
        <v>&lt;=100</v>
      </c>
      <c r="P157" t="str">
        <f t="shared" si="5"/>
        <v xml:space="preserve"> &lt;=2000$</v>
      </c>
    </row>
    <row r="158" spans="1:16" x14ac:dyDescent="0.25">
      <c r="A158">
        <v>157</v>
      </c>
      <c r="B158" t="s">
        <v>128</v>
      </c>
      <c r="C158" t="s">
        <v>309</v>
      </c>
      <c r="D158" t="s">
        <v>16</v>
      </c>
      <c r="E158" t="s">
        <v>17</v>
      </c>
      <c r="F158" s="3">
        <v>100</v>
      </c>
      <c r="G158">
        <v>42</v>
      </c>
      <c r="H158">
        <v>10.88</v>
      </c>
      <c r="I158">
        <v>22</v>
      </c>
      <c r="J158" t="s">
        <v>28</v>
      </c>
      <c r="K158" t="s">
        <v>20</v>
      </c>
      <c r="L158" t="s">
        <v>21</v>
      </c>
      <c r="M158" s="3">
        <v>54</v>
      </c>
      <c r="N158" s="2">
        <v>12800</v>
      </c>
      <c r="O158" t="str">
        <f t="shared" si="4"/>
        <v>&lt;=100</v>
      </c>
      <c r="P158" t="str">
        <f t="shared" si="5"/>
        <v>&lt;= 20000$</v>
      </c>
    </row>
    <row r="159" spans="1:16" x14ac:dyDescent="0.25">
      <c r="A159">
        <v>158</v>
      </c>
      <c r="B159" t="s">
        <v>128</v>
      </c>
      <c r="C159" t="s">
        <v>310</v>
      </c>
      <c r="D159" t="s">
        <v>16</v>
      </c>
      <c r="E159" t="s">
        <v>17</v>
      </c>
      <c r="F159" s="3">
        <v>100</v>
      </c>
      <c r="G159">
        <v>41</v>
      </c>
      <c r="H159">
        <v>10.88</v>
      </c>
      <c r="I159">
        <v>26</v>
      </c>
      <c r="J159" t="s">
        <v>19</v>
      </c>
      <c r="K159" t="s">
        <v>20</v>
      </c>
      <c r="L159" t="s">
        <v>35</v>
      </c>
      <c r="M159" s="3">
        <v>46</v>
      </c>
      <c r="N159" s="2">
        <v>12000</v>
      </c>
      <c r="O159" t="str">
        <f t="shared" si="4"/>
        <v>&lt;=100</v>
      </c>
      <c r="P159" t="str">
        <f t="shared" si="5"/>
        <v>&lt;= 20000$</v>
      </c>
    </row>
    <row r="160" spans="1:16" x14ac:dyDescent="0.25">
      <c r="A160">
        <v>159</v>
      </c>
      <c r="B160" t="s">
        <v>128</v>
      </c>
      <c r="C160" t="s">
        <v>311</v>
      </c>
      <c r="D160" t="s">
        <v>16</v>
      </c>
      <c r="E160" t="s">
        <v>17</v>
      </c>
      <c r="F160" s="3">
        <v>100</v>
      </c>
      <c r="G160">
        <v>38</v>
      </c>
      <c r="H160">
        <v>10.88</v>
      </c>
      <c r="I160">
        <v>20</v>
      </c>
      <c r="J160" t="s">
        <v>28</v>
      </c>
      <c r="K160" t="s">
        <v>20</v>
      </c>
      <c r="L160" t="s">
        <v>21</v>
      </c>
      <c r="M160" s="3">
        <v>54</v>
      </c>
      <c r="N160" s="2">
        <v>12000</v>
      </c>
      <c r="O160" t="str">
        <f t="shared" si="4"/>
        <v>&lt;=100</v>
      </c>
      <c r="P160" t="str">
        <f t="shared" si="5"/>
        <v>&lt;= 20000$</v>
      </c>
    </row>
    <row r="161" spans="1:16" x14ac:dyDescent="0.25">
      <c r="A161">
        <v>160</v>
      </c>
      <c r="B161" t="s">
        <v>128</v>
      </c>
      <c r="C161" t="s">
        <v>310</v>
      </c>
      <c r="D161" t="s">
        <v>16</v>
      </c>
      <c r="E161" t="s">
        <v>17</v>
      </c>
      <c r="F161" s="3">
        <v>100</v>
      </c>
      <c r="G161">
        <v>41</v>
      </c>
      <c r="H161">
        <v>10.88</v>
      </c>
      <c r="I161">
        <v>22</v>
      </c>
      <c r="J161" t="s">
        <v>28</v>
      </c>
      <c r="K161" t="s">
        <v>20</v>
      </c>
      <c r="L161" t="s">
        <v>21</v>
      </c>
      <c r="M161" s="3">
        <v>54</v>
      </c>
      <c r="N161" s="2">
        <v>11500</v>
      </c>
      <c r="O161" t="str">
        <f t="shared" si="4"/>
        <v>&lt;=100</v>
      </c>
      <c r="P161" t="str">
        <f t="shared" si="5"/>
        <v>&lt;= 20000$</v>
      </c>
    </row>
    <row r="162" spans="1:16" x14ac:dyDescent="0.25">
      <c r="A162">
        <v>161</v>
      </c>
      <c r="B162" t="s">
        <v>128</v>
      </c>
      <c r="C162" t="s">
        <v>309</v>
      </c>
      <c r="D162" t="s">
        <v>16</v>
      </c>
      <c r="E162" t="s">
        <v>17</v>
      </c>
      <c r="F162" s="3">
        <v>100</v>
      </c>
      <c r="G162">
        <v>42</v>
      </c>
      <c r="H162">
        <v>10.88</v>
      </c>
      <c r="I162">
        <v>22</v>
      </c>
      <c r="J162" t="s">
        <v>28</v>
      </c>
      <c r="K162" t="s">
        <v>20</v>
      </c>
      <c r="L162" t="s">
        <v>21</v>
      </c>
      <c r="M162" s="3">
        <v>54</v>
      </c>
      <c r="N162" s="2">
        <v>11500</v>
      </c>
      <c r="O162" t="str">
        <f t="shared" si="4"/>
        <v>&lt;=100</v>
      </c>
      <c r="P162" t="str">
        <f t="shared" si="5"/>
        <v>&lt;= 20000$</v>
      </c>
    </row>
    <row r="163" spans="1:16" x14ac:dyDescent="0.25">
      <c r="A163">
        <v>162</v>
      </c>
      <c r="B163" t="s">
        <v>128</v>
      </c>
      <c r="C163" t="s">
        <v>309</v>
      </c>
      <c r="D163" t="s">
        <v>16</v>
      </c>
      <c r="E163" t="s">
        <v>17</v>
      </c>
      <c r="F163" s="3">
        <v>100</v>
      </c>
      <c r="G163">
        <v>42</v>
      </c>
      <c r="H163">
        <v>10.88</v>
      </c>
      <c r="I163">
        <v>22</v>
      </c>
      <c r="J163" t="s">
        <v>19</v>
      </c>
      <c r="K163" t="s">
        <v>20</v>
      </c>
      <c r="L163" t="s">
        <v>45</v>
      </c>
      <c r="M163" s="3">
        <v>54</v>
      </c>
      <c r="N163" s="2">
        <v>11200</v>
      </c>
      <c r="O163" t="str">
        <f t="shared" si="4"/>
        <v>&lt;=100</v>
      </c>
      <c r="P163" t="str">
        <f t="shared" si="5"/>
        <v>&lt;= 20000$</v>
      </c>
    </row>
    <row r="164" spans="1:16" x14ac:dyDescent="0.25">
      <c r="A164">
        <v>163</v>
      </c>
      <c r="B164" t="s">
        <v>128</v>
      </c>
      <c r="C164" t="s">
        <v>309</v>
      </c>
      <c r="D164" t="s">
        <v>16</v>
      </c>
      <c r="E164" t="s">
        <v>17</v>
      </c>
      <c r="F164" s="3">
        <v>100</v>
      </c>
      <c r="G164">
        <v>42</v>
      </c>
      <c r="H164">
        <v>10.88</v>
      </c>
      <c r="I164">
        <v>22</v>
      </c>
      <c r="J164" t="s">
        <v>28</v>
      </c>
      <c r="K164" t="s">
        <v>20</v>
      </c>
      <c r="L164" t="s">
        <v>21</v>
      </c>
      <c r="M164" s="3">
        <v>54</v>
      </c>
      <c r="N164" s="2">
        <v>10600</v>
      </c>
      <c r="O164" t="str">
        <f t="shared" si="4"/>
        <v>&lt;=100</v>
      </c>
      <c r="P164" t="str">
        <f t="shared" si="5"/>
        <v>&lt;= 20000$</v>
      </c>
    </row>
    <row r="165" spans="1:16" x14ac:dyDescent="0.25">
      <c r="A165">
        <v>164</v>
      </c>
      <c r="B165" t="s">
        <v>128</v>
      </c>
      <c r="C165" t="s">
        <v>310</v>
      </c>
      <c r="D165" t="s">
        <v>16</v>
      </c>
      <c r="E165" t="s">
        <v>17</v>
      </c>
      <c r="F165" s="3">
        <v>100</v>
      </c>
      <c r="G165">
        <v>41</v>
      </c>
      <c r="H165">
        <v>10.88</v>
      </c>
      <c r="I165">
        <v>22</v>
      </c>
      <c r="J165" t="s">
        <v>19</v>
      </c>
      <c r="K165" t="s">
        <v>20</v>
      </c>
      <c r="L165" t="s">
        <v>21</v>
      </c>
      <c r="M165" s="3">
        <v>46</v>
      </c>
      <c r="N165" s="2">
        <v>9700</v>
      </c>
      <c r="O165" t="str">
        <f t="shared" si="4"/>
        <v>&lt;=100</v>
      </c>
      <c r="P165" t="str">
        <f t="shared" si="5"/>
        <v>&lt;= 10000$</v>
      </c>
    </row>
    <row r="166" spans="1:16" x14ac:dyDescent="0.25">
      <c r="A166">
        <v>165</v>
      </c>
      <c r="B166" t="s">
        <v>128</v>
      </c>
      <c r="C166" t="s">
        <v>309</v>
      </c>
      <c r="D166" t="s">
        <v>16</v>
      </c>
      <c r="E166" t="s">
        <v>17</v>
      </c>
      <c r="F166" s="3">
        <v>100</v>
      </c>
      <c r="G166">
        <v>42</v>
      </c>
      <c r="H166">
        <v>10.88</v>
      </c>
      <c r="I166">
        <v>25</v>
      </c>
      <c r="J166" t="s">
        <v>19</v>
      </c>
      <c r="K166" t="s">
        <v>20</v>
      </c>
      <c r="L166" t="s">
        <v>21</v>
      </c>
      <c r="M166" s="3">
        <v>46</v>
      </c>
      <c r="N166" s="2">
        <v>9500</v>
      </c>
      <c r="O166" t="str">
        <f t="shared" si="4"/>
        <v>&lt;=100</v>
      </c>
      <c r="P166" t="str">
        <f t="shared" si="5"/>
        <v>&lt;= 10000$</v>
      </c>
    </row>
    <row r="167" spans="1:16" x14ac:dyDescent="0.25">
      <c r="A167">
        <v>166</v>
      </c>
      <c r="B167" t="s">
        <v>128</v>
      </c>
      <c r="C167" t="s">
        <v>309</v>
      </c>
      <c r="D167" t="s">
        <v>16</v>
      </c>
      <c r="E167" t="s">
        <v>17</v>
      </c>
      <c r="F167" s="3">
        <v>100</v>
      </c>
      <c r="G167">
        <v>42</v>
      </c>
      <c r="H167">
        <v>10.88</v>
      </c>
      <c r="I167">
        <v>22</v>
      </c>
      <c r="J167" t="s">
        <v>44</v>
      </c>
      <c r="K167" t="s">
        <v>20</v>
      </c>
      <c r="L167" t="s">
        <v>45</v>
      </c>
      <c r="M167" s="3">
        <v>46</v>
      </c>
      <c r="N167" s="2">
        <v>9200</v>
      </c>
      <c r="O167" t="str">
        <f t="shared" si="4"/>
        <v>&lt;=100</v>
      </c>
      <c r="P167" t="str">
        <f t="shared" si="5"/>
        <v>&lt;= 10000$</v>
      </c>
    </row>
    <row r="168" spans="1:16" x14ac:dyDescent="0.25">
      <c r="A168">
        <v>167</v>
      </c>
      <c r="B168" t="s">
        <v>128</v>
      </c>
      <c r="C168" t="s">
        <v>309</v>
      </c>
      <c r="D168" t="s">
        <v>16</v>
      </c>
      <c r="E168" t="s">
        <v>17</v>
      </c>
      <c r="F168" s="3">
        <v>100</v>
      </c>
      <c r="G168">
        <v>42</v>
      </c>
      <c r="H168">
        <v>10.88</v>
      </c>
      <c r="I168">
        <v>22</v>
      </c>
      <c r="J168" t="s">
        <v>28</v>
      </c>
      <c r="K168" t="s">
        <v>20</v>
      </c>
      <c r="L168" t="s">
        <v>21</v>
      </c>
      <c r="M168" s="3">
        <v>54</v>
      </c>
      <c r="N168" s="2">
        <v>9000</v>
      </c>
      <c r="O168" t="str">
        <f t="shared" si="4"/>
        <v>&lt;=100</v>
      </c>
      <c r="P168" t="str">
        <f t="shared" si="5"/>
        <v>&lt;= 10000$</v>
      </c>
    </row>
    <row r="169" spans="1:16" x14ac:dyDescent="0.25">
      <c r="A169">
        <v>168</v>
      </c>
      <c r="B169" t="s">
        <v>128</v>
      </c>
      <c r="C169" t="s">
        <v>309</v>
      </c>
      <c r="D169" t="s">
        <v>16</v>
      </c>
      <c r="E169" t="s">
        <v>17</v>
      </c>
      <c r="F169" s="3">
        <v>100</v>
      </c>
      <c r="G169">
        <v>42</v>
      </c>
      <c r="H169">
        <v>10.88</v>
      </c>
      <c r="I169">
        <v>22</v>
      </c>
      <c r="J169" t="s">
        <v>19</v>
      </c>
      <c r="K169" t="s">
        <v>20</v>
      </c>
      <c r="L169" t="s">
        <v>21</v>
      </c>
      <c r="M169" s="3">
        <v>54</v>
      </c>
      <c r="N169" s="2">
        <v>9000</v>
      </c>
      <c r="O169" t="str">
        <f t="shared" si="4"/>
        <v>&lt;=100</v>
      </c>
      <c r="P169" t="str">
        <f t="shared" si="5"/>
        <v>&lt;= 10000$</v>
      </c>
    </row>
    <row r="170" spans="1:16" x14ac:dyDescent="0.25">
      <c r="A170">
        <v>169</v>
      </c>
      <c r="B170" t="s">
        <v>128</v>
      </c>
      <c r="C170" t="s">
        <v>309</v>
      </c>
      <c r="D170" t="s">
        <v>16</v>
      </c>
      <c r="E170" t="s">
        <v>17</v>
      </c>
      <c r="F170" s="3">
        <v>100</v>
      </c>
      <c r="G170">
        <v>42</v>
      </c>
      <c r="H170">
        <v>10.88</v>
      </c>
      <c r="I170">
        <v>22</v>
      </c>
      <c r="J170" t="s">
        <v>28</v>
      </c>
      <c r="K170" t="s">
        <v>20</v>
      </c>
      <c r="L170" t="s">
        <v>21</v>
      </c>
      <c r="M170" s="3">
        <v>54</v>
      </c>
      <c r="N170" s="2">
        <v>9000</v>
      </c>
      <c r="O170" t="str">
        <f t="shared" si="4"/>
        <v>&lt;=100</v>
      </c>
      <c r="P170" t="str">
        <f t="shared" si="5"/>
        <v>&lt;= 10000$</v>
      </c>
    </row>
    <row r="171" spans="1:16" x14ac:dyDescent="0.25">
      <c r="A171">
        <v>170</v>
      </c>
      <c r="B171" t="s">
        <v>128</v>
      </c>
      <c r="C171" t="s">
        <v>311</v>
      </c>
      <c r="D171" t="s">
        <v>16</v>
      </c>
      <c r="E171" t="s">
        <v>17</v>
      </c>
      <c r="F171" s="3">
        <v>100</v>
      </c>
      <c r="G171">
        <v>38</v>
      </c>
      <c r="H171">
        <v>10.88</v>
      </c>
      <c r="I171">
        <v>25</v>
      </c>
      <c r="J171" t="s">
        <v>19</v>
      </c>
      <c r="K171" t="s">
        <v>20</v>
      </c>
      <c r="L171" t="s">
        <v>21</v>
      </c>
      <c r="M171" s="3">
        <v>46</v>
      </c>
      <c r="N171" s="2">
        <v>8700</v>
      </c>
      <c r="O171" t="str">
        <f t="shared" si="4"/>
        <v>&lt;=100</v>
      </c>
      <c r="P171" t="str">
        <f t="shared" si="5"/>
        <v>&lt;= 10000$</v>
      </c>
    </row>
    <row r="172" spans="1:16" x14ac:dyDescent="0.25">
      <c r="A172">
        <v>171</v>
      </c>
      <c r="B172" t="s">
        <v>128</v>
      </c>
      <c r="C172" t="s">
        <v>311</v>
      </c>
      <c r="D172" t="s">
        <v>16</v>
      </c>
      <c r="E172" t="s">
        <v>17</v>
      </c>
      <c r="F172" s="3">
        <v>100</v>
      </c>
      <c r="G172">
        <v>38</v>
      </c>
      <c r="H172">
        <v>10.88</v>
      </c>
      <c r="I172">
        <v>22</v>
      </c>
      <c r="J172" t="s">
        <v>19</v>
      </c>
      <c r="K172" t="s">
        <v>20</v>
      </c>
      <c r="L172" t="s">
        <v>45</v>
      </c>
      <c r="M172" s="3">
        <v>46</v>
      </c>
      <c r="N172" s="2">
        <v>8500</v>
      </c>
      <c r="O172" t="str">
        <f t="shared" si="4"/>
        <v>&lt;=100</v>
      </c>
      <c r="P172" t="str">
        <f t="shared" si="5"/>
        <v>&lt;= 10000$</v>
      </c>
    </row>
    <row r="173" spans="1:16" x14ac:dyDescent="0.25">
      <c r="A173">
        <v>172</v>
      </c>
      <c r="B173" t="s">
        <v>128</v>
      </c>
      <c r="C173" t="s">
        <v>309</v>
      </c>
      <c r="D173" t="s">
        <v>16</v>
      </c>
      <c r="E173" t="s">
        <v>17</v>
      </c>
      <c r="F173" s="3">
        <v>100</v>
      </c>
      <c r="G173">
        <v>42</v>
      </c>
      <c r="H173">
        <v>10.88</v>
      </c>
      <c r="I173">
        <v>25</v>
      </c>
      <c r="J173" t="s">
        <v>19</v>
      </c>
      <c r="K173" t="s">
        <v>20</v>
      </c>
      <c r="L173" t="s">
        <v>21</v>
      </c>
      <c r="M173" s="3">
        <v>46</v>
      </c>
      <c r="N173" s="2">
        <v>8000</v>
      </c>
      <c r="O173" t="str">
        <f t="shared" si="4"/>
        <v>&lt;=100</v>
      </c>
      <c r="P173" t="str">
        <f t="shared" si="5"/>
        <v>&lt;= 10000$</v>
      </c>
    </row>
    <row r="174" spans="1:16" x14ac:dyDescent="0.25">
      <c r="A174">
        <v>173</v>
      </c>
      <c r="B174" t="s">
        <v>128</v>
      </c>
      <c r="C174" t="s">
        <v>309</v>
      </c>
      <c r="D174" t="s">
        <v>16</v>
      </c>
      <c r="E174" t="s">
        <v>17</v>
      </c>
      <c r="F174" s="3">
        <v>100</v>
      </c>
      <c r="G174">
        <v>42</v>
      </c>
      <c r="H174">
        <v>10.88</v>
      </c>
      <c r="I174">
        <v>20</v>
      </c>
      <c r="J174" t="s">
        <v>28</v>
      </c>
      <c r="K174" t="s">
        <v>20</v>
      </c>
      <c r="L174" t="s">
        <v>45</v>
      </c>
      <c r="M174" s="3">
        <v>54</v>
      </c>
      <c r="N174" s="2">
        <v>7800</v>
      </c>
      <c r="O174" t="str">
        <f t="shared" si="4"/>
        <v>&lt;=100</v>
      </c>
      <c r="P174" t="str">
        <f t="shared" si="5"/>
        <v>&lt;= 10000$</v>
      </c>
    </row>
    <row r="175" spans="1:16" x14ac:dyDescent="0.25">
      <c r="A175">
        <v>174</v>
      </c>
      <c r="B175" t="s">
        <v>128</v>
      </c>
      <c r="C175" t="s">
        <v>309</v>
      </c>
      <c r="D175" t="s">
        <v>16</v>
      </c>
      <c r="E175" t="s">
        <v>17</v>
      </c>
      <c r="F175" s="3">
        <v>100</v>
      </c>
      <c r="G175">
        <v>42</v>
      </c>
      <c r="H175">
        <v>10.88</v>
      </c>
      <c r="I175">
        <v>25</v>
      </c>
      <c r="J175" t="s">
        <v>28</v>
      </c>
      <c r="K175" t="s">
        <v>20</v>
      </c>
      <c r="L175" t="s">
        <v>45</v>
      </c>
      <c r="M175" s="3">
        <v>54</v>
      </c>
      <c r="N175" s="2">
        <v>7500</v>
      </c>
      <c r="O175" t="str">
        <f t="shared" si="4"/>
        <v>&lt;=100</v>
      </c>
      <c r="P175" t="str">
        <f t="shared" si="5"/>
        <v>&lt;= 10000$</v>
      </c>
    </row>
    <row r="176" spans="1:16" x14ac:dyDescent="0.25">
      <c r="A176">
        <v>175</v>
      </c>
      <c r="B176" t="s">
        <v>128</v>
      </c>
      <c r="C176" t="s">
        <v>311</v>
      </c>
      <c r="D176" t="s">
        <v>16</v>
      </c>
      <c r="E176" t="s">
        <v>17</v>
      </c>
      <c r="F176" s="3">
        <v>100</v>
      </c>
      <c r="G176">
        <v>38</v>
      </c>
      <c r="H176">
        <v>10.88</v>
      </c>
      <c r="I176">
        <v>25</v>
      </c>
      <c r="J176" t="s">
        <v>28</v>
      </c>
      <c r="K176" t="s">
        <v>20</v>
      </c>
      <c r="L176" t="s">
        <v>45</v>
      </c>
      <c r="M176" s="3">
        <v>54</v>
      </c>
      <c r="N176" s="2">
        <v>6700</v>
      </c>
      <c r="O176" t="str">
        <f t="shared" si="4"/>
        <v>&lt;=100</v>
      </c>
      <c r="P176" t="str">
        <f t="shared" si="5"/>
        <v>&lt;= 10000$</v>
      </c>
    </row>
    <row r="177" spans="1:16" x14ac:dyDescent="0.25">
      <c r="A177">
        <v>176</v>
      </c>
      <c r="B177" t="s">
        <v>128</v>
      </c>
      <c r="C177" t="s">
        <v>309</v>
      </c>
      <c r="D177" t="s">
        <v>16</v>
      </c>
      <c r="E177" t="s">
        <v>17</v>
      </c>
      <c r="F177" s="3">
        <v>100</v>
      </c>
      <c r="G177">
        <v>42</v>
      </c>
      <c r="H177">
        <v>10.88</v>
      </c>
      <c r="I177">
        <v>22</v>
      </c>
      <c r="J177" t="s">
        <v>28</v>
      </c>
      <c r="K177" t="s">
        <v>20</v>
      </c>
      <c r="L177" t="s">
        <v>21</v>
      </c>
      <c r="M177" s="3">
        <v>54</v>
      </c>
      <c r="N177" s="2">
        <v>6500</v>
      </c>
      <c r="O177" t="str">
        <f t="shared" si="4"/>
        <v>&lt;=100</v>
      </c>
      <c r="P177" t="str">
        <f t="shared" si="5"/>
        <v>&lt;= 10000$</v>
      </c>
    </row>
    <row r="178" spans="1:16" x14ac:dyDescent="0.25">
      <c r="A178">
        <v>177</v>
      </c>
      <c r="B178" t="s">
        <v>131</v>
      </c>
      <c r="C178" t="s">
        <v>312</v>
      </c>
      <c r="D178" t="s">
        <v>32</v>
      </c>
      <c r="E178" t="s">
        <v>17</v>
      </c>
      <c r="F178" s="3">
        <v>50</v>
      </c>
      <c r="G178">
        <v>42</v>
      </c>
      <c r="H178">
        <v>12.2</v>
      </c>
      <c r="I178">
        <v>21</v>
      </c>
      <c r="J178" t="s">
        <v>44</v>
      </c>
      <c r="K178" t="s">
        <v>20</v>
      </c>
      <c r="L178" t="s">
        <v>45</v>
      </c>
      <c r="M178" s="3">
        <v>40</v>
      </c>
      <c r="N178" s="2">
        <v>9200</v>
      </c>
      <c r="O178" t="str">
        <f t="shared" si="4"/>
        <v>&lt;=100</v>
      </c>
      <c r="P178" t="str">
        <f t="shared" si="5"/>
        <v>&lt;= 10000$</v>
      </c>
    </row>
    <row r="179" spans="1:16" x14ac:dyDescent="0.25">
      <c r="A179">
        <v>178</v>
      </c>
      <c r="B179" t="s">
        <v>59</v>
      </c>
      <c r="C179" t="s">
        <v>313</v>
      </c>
      <c r="D179" t="s">
        <v>32</v>
      </c>
      <c r="E179" t="s">
        <v>17</v>
      </c>
      <c r="F179" s="3">
        <v>50</v>
      </c>
      <c r="G179">
        <v>40</v>
      </c>
      <c r="H179">
        <v>11.15</v>
      </c>
      <c r="I179">
        <v>20</v>
      </c>
      <c r="J179" t="s">
        <v>44</v>
      </c>
      <c r="K179" t="s">
        <v>20</v>
      </c>
      <c r="L179" t="s">
        <v>21</v>
      </c>
      <c r="M179" s="3">
        <v>80</v>
      </c>
      <c r="N179" s="2">
        <v>1150</v>
      </c>
      <c r="O179" t="str">
        <f t="shared" si="4"/>
        <v>&lt;=100</v>
      </c>
      <c r="P179" t="str">
        <f t="shared" si="5"/>
        <v xml:space="preserve"> &lt;=2000$</v>
      </c>
    </row>
    <row r="180" spans="1:16" x14ac:dyDescent="0.25">
      <c r="A180">
        <v>179</v>
      </c>
      <c r="B180" t="s">
        <v>59</v>
      </c>
      <c r="C180" t="s">
        <v>314</v>
      </c>
      <c r="D180" t="s">
        <v>205</v>
      </c>
      <c r="E180" t="s">
        <v>17</v>
      </c>
      <c r="F180" s="3">
        <v>100</v>
      </c>
      <c r="G180">
        <v>38</v>
      </c>
      <c r="H180">
        <v>9.6999999999999993</v>
      </c>
      <c r="I180">
        <v>20</v>
      </c>
      <c r="J180" t="s">
        <v>19</v>
      </c>
      <c r="K180" t="s">
        <v>20</v>
      </c>
      <c r="L180" t="s">
        <v>45</v>
      </c>
      <c r="M180" s="3">
        <v>80</v>
      </c>
      <c r="N180" s="2">
        <v>595</v>
      </c>
      <c r="O180" t="str">
        <f t="shared" si="4"/>
        <v>&lt;=100</v>
      </c>
      <c r="P180" t="str">
        <f t="shared" si="5"/>
        <v>&lt;= 1000$</v>
      </c>
    </row>
    <row r="181" spans="1:16" x14ac:dyDescent="0.25">
      <c r="A181">
        <v>180</v>
      </c>
      <c r="B181" t="s">
        <v>59</v>
      </c>
      <c r="C181" t="s">
        <v>315</v>
      </c>
      <c r="D181" t="s">
        <v>32</v>
      </c>
      <c r="E181" t="s">
        <v>17</v>
      </c>
      <c r="F181" s="3">
        <v>100</v>
      </c>
      <c r="G181">
        <v>38</v>
      </c>
      <c r="H181">
        <v>9.85</v>
      </c>
      <c r="I181">
        <v>20</v>
      </c>
      <c r="J181" t="s">
        <v>19</v>
      </c>
      <c r="K181" t="s">
        <v>20</v>
      </c>
      <c r="L181" t="s">
        <v>45</v>
      </c>
      <c r="M181" s="3">
        <v>80</v>
      </c>
      <c r="N181" s="2">
        <v>545</v>
      </c>
      <c r="O181" t="str">
        <f t="shared" si="4"/>
        <v>&lt;=100</v>
      </c>
      <c r="P181" t="str">
        <f t="shared" si="5"/>
        <v>&lt;= 1000$</v>
      </c>
    </row>
    <row r="182" spans="1:16" x14ac:dyDescent="0.25">
      <c r="A182">
        <v>181</v>
      </c>
      <c r="B182" t="s">
        <v>59</v>
      </c>
      <c r="C182" t="s">
        <v>314</v>
      </c>
      <c r="D182" t="s">
        <v>32</v>
      </c>
      <c r="E182" t="s">
        <v>17</v>
      </c>
      <c r="F182" s="3">
        <v>100</v>
      </c>
      <c r="G182">
        <v>38</v>
      </c>
      <c r="H182">
        <v>9.8000000000000007</v>
      </c>
      <c r="I182">
        <v>20</v>
      </c>
      <c r="J182" t="s">
        <v>19</v>
      </c>
      <c r="K182" t="s">
        <v>20</v>
      </c>
      <c r="L182" t="s">
        <v>45</v>
      </c>
      <c r="M182" s="3">
        <v>80</v>
      </c>
      <c r="N182" s="2">
        <v>495</v>
      </c>
      <c r="O182" t="str">
        <f t="shared" si="4"/>
        <v>&lt;=100</v>
      </c>
      <c r="P182" t="str">
        <f t="shared" si="5"/>
        <v>&lt;= 1000$</v>
      </c>
    </row>
    <row r="183" spans="1:16" x14ac:dyDescent="0.25">
      <c r="A183">
        <v>182</v>
      </c>
      <c r="B183" t="s">
        <v>133</v>
      </c>
      <c r="C183" t="s">
        <v>316</v>
      </c>
      <c r="D183" t="s">
        <v>26</v>
      </c>
      <c r="E183" t="s">
        <v>17</v>
      </c>
      <c r="F183" s="3">
        <v>50</v>
      </c>
      <c r="G183">
        <v>42</v>
      </c>
      <c r="H183">
        <v>10.5</v>
      </c>
      <c r="I183">
        <v>22</v>
      </c>
      <c r="J183" t="s">
        <v>28</v>
      </c>
      <c r="K183" t="s">
        <v>20</v>
      </c>
      <c r="L183" t="s">
        <v>45</v>
      </c>
      <c r="M183" s="3">
        <v>42</v>
      </c>
      <c r="N183" s="2">
        <v>20200</v>
      </c>
      <c r="O183" t="str">
        <f t="shared" si="4"/>
        <v>&lt;=100</v>
      </c>
      <c r="P183" t="str">
        <f t="shared" si="5"/>
        <v>&lt;= 40000$</v>
      </c>
    </row>
    <row r="184" spans="1:16" x14ac:dyDescent="0.25">
      <c r="A184">
        <v>183</v>
      </c>
      <c r="B184" t="s">
        <v>133</v>
      </c>
      <c r="C184" t="s">
        <v>317</v>
      </c>
      <c r="D184" t="s">
        <v>26</v>
      </c>
      <c r="E184" t="s">
        <v>17</v>
      </c>
      <c r="F184" s="3">
        <v>100</v>
      </c>
      <c r="G184">
        <v>44</v>
      </c>
      <c r="H184">
        <v>14.5</v>
      </c>
      <c r="I184">
        <v>22</v>
      </c>
      <c r="J184" t="s">
        <v>19</v>
      </c>
      <c r="K184" t="s">
        <v>20</v>
      </c>
      <c r="L184" t="s">
        <v>35</v>
      </c>
      <c r="M184" s="3">
        <v>72</v>
      </c>
      <c r="N184" s="2">
        <v>19500</v>
      </c>
      <c r="O184" t="str">
        <f t="shared" si="4"/>
        <v>&lt;=100</v>
      </c>
      <c r="P184" t="str">
        <f t="shared" si="5"/>
        <v>&lt;= 20000$</v>
      </c>
    </row>
    <row r="185" spans="1:16" x14ac:dyDescent="0.25">
      <c r="A185">
        <v>184</v>
      </c>
      <c r="B185" t="s">
        <v>133</v>
      </c>
      <c r="C185" t="s">
        <v>318</v>
      </c>
      <c r="D185" t="s">
        <v>26</v>
      </c>
      <c r="E185" t="s">
        <v>17</v>
      </c>
      <c r="F185" s="3">
        <v>100</v>
      </c>
      <c r="G185">
        <v>44</v>
      </c>
      <c r="H185">
        <v>14.5</v>
      </c>
      <c r="I185">
        <v>24</v>
      </c>
      <c r="J185" t="s">
        <v>19</v>
      </c>
      <c r="K185" t="s">
        <v>20</v>
      </c>
      <c r="L185" t="s">
        <v>35</v>
      </c>
      <c r="M185" s="3">
        <v>72</v>
      </c>
      <c r="N185" s="2">
        <v>18500</v>
      </c>
      <c r="O185" t="str">
        <f t="shared" si="4"/>
        <v>&lt;=100</v>
      </c>
      <c r="P185" t="str">
        <f t="shared" si="5"/>
        <v>&lt;= 20000$</v>
      </c>
    </row>
    <row r="186" spans="1:16" x14ac:dyDescent="0.25">
      <c r="A186">
        <v>185</v>
      </c>
      <c r="B186" t="s">
        <v>133</v>
      </c>
      <c r="C186" t="s">
        <v>319</v>
      </c>
      <c r="D186" t="s">
        <v>26</v>
      </c>
      <c r="E186" t="s">
        <v>17</v>
      </c>
      <c r="F186" s="3">
        <v>100</v>
      </c>
      <c r="G186">
        <v>44</v>
      </c>
      <c r="H186">
        <v>14.5</v>
      </c>
      <c r="I186">
        <v>26</v>
      </c>
      <c r="J186" t="s">
        <v>19</v>
      </c>
      <c r="K186" t="s">
        <v>20</v>
      </c>
      <c r="L186" t="s">
        <v>35</v>
      </c>
      <c r="M186" s="3">
        <v>72</v>
      </c>
      <c r="N186" s="2">
        <v>17900</v>
      </c>
      <c r="O186" t="str">
        <f t="shared" si="4"/>
        <v>&lt;=100</v>
      </c>
      <c r="P186" t="str">
        <f t="shared" si="5"/>
        <v>&lt;= 20000$</v>
      </c>
    </row>
    <row r="187" spans="1:16" x14ac:dyDescent="0.25">
      <c r="A187">
        <v>186</v>
      </c>
      <c r="B187" t="s">
        <v>133</v>
      </c>
      <c r="C187" t="s">
        <v>318</v>
      </c>
      <c r="D187" t="s">
        <v>26</v>
      </c>
      <c r="E187" t="s">
        <v>17</v>
      </c>
      <c r="F187" s="3">
        <v>100</v>
      </c>
      <c r="G187">
        <v>44</v>
      </c>
      <c r="H187">
        <v>14.5</v>
      </c>
      <c r="I187">
        <v>25</v>
      </c>
      <c r="J187" t="s">
        <v>19</v>
      </c>
      <c r="K187" t="s">
        <v>20</v>
      </c>
      <c r="L187" t="s">
        <v>35</v>
      </c>
      <c r="M187" s="3">
        <v>72</v>
      </c>
      <c r="N187" s="2">
        <v>16800</v>
      </c>
      <c r="O187" t="str">
        <f t="shared" si="4"/>
        <v>&lt;=100</v>
      </c>
      <c r="P187" t="str">
        <f t="shared" si="5"/>
        <v>&lt;= 20000$</v>
      </c>
    </row>
    <row r="188" spans="1:16" x14ac:dyDescent="0.25">
      <c r="A188">
        <v>187</v>
      </c>
      <c r="B188" t="s">
        <v>133</v>
      </c>
      <c r="C188" t="s">
        <v>318</v>
      </c>
      <c r="D188" t="s">
        <v>26</v>
      </c>
      <c r="E188" t="s">
        <v>17</v>
      </c>
      <c r="F188" s="3">
        <v>100</v>
      </c>
      <c r="G188">
        <v>44</v>
      </c>
      <c r="H188">
        <v>14.5</v>
      </c>
      <c r="I188">
        <v>24</v>
      </c>
      <c r="J188" t="s">
        <v>28</v>
      </c>
      <c r="K188" t="s">
        <v>20</v>
      </c>
      <c r="L188" t="s">
        <v>35</v>
      </c>
      <c r="M188" s="3">
        <v>72</v>
      </c>
      <c r="N188" s="2">
        <v>16000</v>
      </c>
      <c r="O188" t="str">
        <f t="shared" si="4"/>
        <v>&lt;=100</v>
      </c>
      <c r="P188" t="str">
        <f t="shared" si="5"/>
        <v>&lt;= 20000$</v>
      </c>
    </row>
    <row r="189" spans="1:16" x14ac:dyDescent="0.25">
      <c r="A189">
        <v>188</v>
      </c>
      <c r="B189" t="s">
        <v>133</v>
      </c>
      <c r="C189" t="s">
        <v>320</v>
      </c>
      <c r="D189" t="s">
        <v>26</v>
      </c>
      <c r="E189" t="s">
        <v>17</v>
      </c>
      <c r="F189" s="3">
        <v>100</v>
      </c>
      <c r="G189">
        <v>41</v>
      </c>
      <c r="H189">
        <v>14.5</v>
      </c>
      <c r="I189">
        <v>20</v>
      </c>
      <c r="J189" t="s">
        <v>19</v>
      </c>
      <c r="K189" t="s">
        <v>20</v>
      </c>
      <c r="L189" t="s">
        <v>35</v>
      </c>
      <c r="M189" s="3">
        <v>72</v>
      </c>
      <c r="N189" s="2">
        <v>16000</v>
      </c>
      <c r="O189" t="str">
        <f t="shared" si="4"/>
        <v>&lt;=100</v>
      </c>
      <c r="P189" t="str">
        <f t="shared" si="5"/>
        <v>&lt;= 20000$</v>
      </c>
    </row>
    <row r="190" spans="1:16" x14ac:dyDescent="0.25">
      <c r="A190">
        <v>189</v>
      </c>
      <c r="B190" t="s">
        <v>133</v>
      </c>
      <c r="C190" t="s">
        <v>321</v>
      </c>
      <c r="D190" t="s">
        <v>26</v>
      </c>
      <c r="E190" t="s">
        <v>17</v>
      </c>
      <c r="F190" s="3">
        <v>100</v>
      </c>
      <c r="G190">
        <v>42</v>
      </c>
      <c r="H190">
        <v>14.1</v>
      </c>
      <c r="I190">
        <v>24</v>
      </c>
      <c r="J190" t="s">
        <v>19</v>
      </c>
      <c r="K190" t="s">
        <v>20</v>
      </c>
      <c r="L190" t="s">
        <v>35</v>
      </c>
      <c r="M190" s="3">
        <v>72</v>
      </c>
      <c r="N190" s="2">
        <v>16000</v>
      </c>
      <c r="O190" t="str">
        <f t="shared" si="4"/>
        <v>&lt;=100</v>
      </c>
      <c r="P190" t="str">
        <f t="shared" si="5"/>
        <v>&lt;= 20000$</v>
      </c>
    </row>
    <row r="191" spans="1:16" x14ac:dyDescent="0.25">
      <c r="A191">
        <v>190</v>
      </c>
      <c r="B191" t="s">
        <v>133</v>
      </c>
      <c r="C191" t="s">
        <v>318</v>
      </c>
      <c r="D191" t="s">
        <v>26</v>
      </c>
      <c r="E191" t="s">
        <v>17</v>
      </c>
      <c r="F191" s="3">
        <v>100</v>
      </c>
      <c r="G191">
        <v>44</v>
      </c>
      <c r="H191">
        <v>14.5</v>
      </c>
      <c r="I191">
        <v>24</v>
      </c>
      <c r="J191" t="s">
        <v>19</v>
      </c>
      <c r="K191" t="s">
        <v>20</v>
      </c>
      <c r="L191" t="s">
        <v>141</v>
      </c>
      <c r="M191" s="3">
        <v>72</v>
      </c>
      <c r="N191" s="2">
        <v>16000</v>
      </c>
      <c r="O191" t="str">
        <f t="shared" si="4"/>
        <v>&lt;=100</v>
      </c>
      <c r="P191" t="str">
        <f t="shared" si="5"/>
        <v>&lt;= 20000$</v>
      </c>
    </row>
    <row r="192" spans="1:16" x14ac:dyDescent="0.25">
      <c r="A192">
        <v>191</v>
      </c>
      <c r="B192" t="s">
        <v>133</v>
      </c>
      <c r="C192" t="s">
        <v>319</v>
      </c>
      <c r="D192" t="s">
        <v>26</v>
      </c>
      <c r="E192" t="s">
        <v>17</v>
      </c>
      <c r="F192" s="3">
        <v>100</v>
      </c>
      <c r="G192">
        <v>44</v>
      </c>
      <c r="H192">
        <v>14.5</v>
      </c>
      <c r="I192">
        <v>24</v>
      </c>
      <c r="J192" t="s">
        <v>19</v>
      </c>
      <c r="K192" t="s">
        <v>20</v>
      </c>
      <c r="L192" t="s">
        <v>35</v>
      </c>
      <c r="M192" s="3">
        <v>72</v>
      </c>
      <c r="N192" s="2">
        <v>15500</v>
      </c>
      <c r="O192" t="str">
        <f t="shared" si="4"/>
        <v>&lt;=100</v>
      </c>
      <c r="P192" t="str">
        <f t="shared" si="5"/>
        <v>&lt;= 20000$</v>
      </c>
    </row>
    <row r="193" spans="1:16" x14ac:dyDescent="0.25">
      <c r="A193">
        <v>192</v>
      </c>
      <c r="B193" t="s">
        <v>133</v>
      </c>
      <c r="C193" t="s">
        <v>322</v>
      </c>
      <c r="D193" t="s">
        <v>26</v>
      </c>
      <c r="E193" t="s">
        <v>17</v>
      </c>
      <c r="F193" s="3">
        <v>100</v>
      </c>
      <c r="G193">
        <v>44.5</v>
      </c>
      <c r="H193">
        <v>14.5</v>
      </c>
      <c r="I193">
        <v>22</v>
      </c>
      <c r="J193" t="s">
        <v>19</v>
      </c>
      <c r="K193" t="s">
        <v>20</v>
      </c>
      <c r="L193" t="s">
        <v>35</v>
      </c>
      <c r="M193" s="3">
        <v>72</v>
      </c>
      <c r="N193" s="2">
        <v>15000</v>
      </c>
      <c r="O193" t="str">
        <f t="shared" si="4"/>
        <v>&lt;=100</v>
      </c>
      <c r="P193" t="str">
        <f t="shared" si="5"/>
        <v>&lt;= 20000$</v>
      </c>
    </row>
    <row r="194" spans="1:16" x14ac:dyDescent="0.25">
      <c r="A194">
        <v>193</v>
      </c>
      <c r="B194" t="s">
        <v>133</v>
      </c>
      <c r="C194" t="s">
        <v>317</v>
      </c>
      <c r="D194" t="s">
        <v>26</v>
      </c>
      <c r="E194" t="s">
        <v>17</v>
      </c>
      <c r="F194" s="3">
        <v>100</v>
      </c>
      <c r="G194">
        <v>44</v>
      </c>
      <c r="H194">
        <v>14.5</v>
      </c>
      <c r="I194">
        <v>25</v>
      </c>
      <c r="J194" t="s">
        <v>19</v>
      </c>
      <c r="K194" t="s">
        <v>20</v>
      </c>
      <c r="L194" t="s">
        <v>35</v>
      </c>
      <c r="M194" s="3">
        <v>72</v>
      </c>
      <c r="N194" s="2">
        <v>15000</v>
      </c>
      <c r="O194" t="str">
        <f t="shared" si="4"/>
        <v>&lt;=100</v>
      </c>
      <c r="P194" t="str">
        <f t="shared" si="5"/>
        <v>&lt;= 20000$</v>
      </c>
    </row>
    <row r="195" spans="1:16" x14ac:dyDescent="0.25">
      <c r="A195">
        <v>194</v>
      </c>
      <c r="B195" t="s">
        <v>133</v>
      </c>
      <c r="C195" t="s">
        <v>318</v>
      </c>
      <c r="D195" t="s">
        <v>26</v>
      </c>
      <c r="E195" t="s">
        <v>17</v>
      </c>
      <c r="F195" s="3">
        <v>100</v>
      </c>
      <c r="G195">
        <v>44</v>
      </c>
      <c r="H195">
        <v>14.5</v>
      </c>
      <c r="I195">
        <v>22</v>
      </c>
      <c r="J195" t="s">
        <v>19</v>
      </c>
      <c r="K195" t="s">
        <v>20</v>
      </c>
      <c r="L195" t="s">
        <v>35</v>
      </c>
      <c r="M195" s="3">
        <v>72</v>
      </c>
      <c r="N195" s="2">
        <v>15000</v>
      </c>
      <c r="O195" t="str">
        <f t="shared" ref="O195:O258" si="6">IF($F195&lt;=100, "&lt;=100", IF($F195&lt;=200, "100-200", IF($F195&lt;=300, "200-300", IF($F195&lt;=500, "300-500", IF($F195&lt;1000, "500-1000", "1000+")))))</f>
        <v>&lt;=100</v>
      </c>
      <c r="P195" t="str">
        <f t="shared" ref="P195:P258" si="7">IF(N195&lt;=1000, "&lt;= 1000$", IF(N195&lt;=2000, " &lt;=2000$", IF(N195&lt;=5000, "&lt;=5000$", IF(N195&lt;=10000, "&lt;= 10000$", IF(N195&lt;=20000, "&lt;= 20000$", IF(N195&lt;40000, "&lt;= 40000$", "40000$ +"))))))</f>
        <v>&lt;= 20000$</v>
      </c>
    </row>
    <row r="196" spans="1:16" x14ac:dyDescent="0.25">
      <c r="A196">
        <v>195</v>
      </c>
      <c r="B196" t="s">
        <v>133</v>
      </c>
      <c r="C196" t="s">
        <v>318</v>
      </c>
      <c r="D196" t="s">
        <v>26</v>
      </c>
      <c r="E196" t="s">
        <v>17</v>
      </c>
      <c r="F196" s="3">
        <v>100</v>
      </c>
      <c r="G196">
        <v>44</v>
      </c>
      <c r="H196">
        <v>14.5</v>
      </c>
      <c r="I196">
        <v>25</v>
      </c>
      <c r="J196" t="s">
        <v>19</v>
      </c>
      <c r="K196" t="s">
        <v>20</v>
      </c>
      <c r="L196" t="s">
        <v>35</v>
      </c>
      <c r="M196" s="3">
        <v>72</v>
      </c>
      <c r="N196" s="2">
        <v>14000</v>
      </c>
      <c r="O196" t="str">
        <f t="shared" si="6"/>
        <v>&lt;=100</v>
      </c>
      <c r="P196" t="str">
        <f t="shared" si="7"/>
        <v>&lt;= 20000$</v>
      </c>
    </row>
    <row r="197" spans="1:16" x14ac:dyDescent="0.25">
      <c r="A197">
        <v>196</v>
      </c>
      <c r="B197" t="s">
        <v>133</v>
      </c>
      <c r="C197" t="s">
        <v>320</v>
      </c>
      <c r="D197" t="s">
        <v>26</v>
      </c>
      <c r="E197" t="s">
        <v>17</v>
      </c>
      <c r="F197" s="3">
        <v>100</v>
      </c>
      <c r="G197">
        <v>41</v>
      </c>
      <c r="H197">
        <v>14.6</v>
      </c>
      <c r="I197">
        <v>20</v>
      </c>
      <c r="J197" t="s">
        <v>19</v>
      </c>
      <c r="K197" t="s">
        <v>20</v>
      </c>
      <c r="L197" t="s">
        <v>35</v>
      </c>
      <c r="M197" s="3">
        <v>42</v>
      </c>
      <c r="N197" s="2">
        <v>14000</v>
      </c>
      <c r="O197" t="str">
        <f t="shared" si="6"/>
        <v>&lt;=100</v>
      </c>
      <c r="P197" t="str">
        <f t="shared" si="7"/>
        <v>&lt;= 20000$</v>
      </c>
    </row>
    <row r="198" spans="1:16" x14ac:dyDescent="0.25">
      <c r="A198">
        <v>197</v>
      </c>
      <c r="B198" t="s">
        <v>133</v>
      </c>
      <c r="C198" t="s">
        <v>318</v>
      </c>
      <c r="D198" t="s">
        <v>26</v>
      </c>
      <c r="E198" t="s">
        <v>17</v>
      </c>
      <c r="F198" s="3">
        <v>100</v>
      </c>
      <c r="G198">
        <v>44</v>
      </c>
      <c r="H198">
        <v>14.5</v>
      </c>
      <c r="I198">
        <v>24</v>
      </c>
      <c r="J198" t="s">
        <v>19</v>
      </c>
      <c r="K198" t="s">
        <v>20</v>
      </c>
      <c r="L198" t="s">
        <v>148</v>
      </c>
      <c r="M198" s="3">
        <v>72</v>
      </c>
      <c r="N198" s="2">
        <v>13000</v>
      </c>
      <c r="O198" t="str">
        <f t="shared" si="6"/>
        <v>&lt;=100</v>
      </c>
      <c r="P198" t="str">
        <f t="shared" si="7"/>
        <v>&lt;= 20000$</v>
      </c>
    </row>
    <row r="199" spans="1:16" x14ac:dyDescent="0.25">
      <c r="A199">
        <v>198</v>
      </c>
      <c r="B199" t="s">
        <v>133</v>
      </c>
      <c r="C199" t="s">
        <v>321</v>
      </c>
      <c r="D199" t="s">
        <v>26</v>
      </c>
      <c r="E199" t="s">
        <v>17</v>
      </c>
      <c r="F199" s="3">
        <v>100</v>
      </c>
      <c r="G199">
        <v>42</v>
      </c>
      <c r="H199">
        <v>14.1</v>
      </c>
      <c r="I199">
        <v>24</v>
      </c>
      <c r="J199" t="s">
        <v>19</v>
      </c>
      <c r="K199" t="s">
        <v>20</v>
      </c>
      <c r="L199" t="s">
        <v>148</v>
      </c>
      <c r="M199" s="3">
        <v>42</v>
      </c>
      <c r="N199" s="2">
        <v>12000</v>
      </c>
      <c r="O199" t="str">
        <f t="shared" si="6"/>
        <v>&lt;=100</v>
      </c>
      <c r="P199" t="str">
        <f t="shared" si="7"/>
        <v>&lt;= 20000$</v>
      </c>
    </row>
    <row r="200" spans="1:16" x14ac:dyDescent="0.25">
      <c r="A200">
        <v>199</v>
      </c>
      <c r="B200" t="s">
        <v>133</v>
      </c>
      <c r="C200" t="s">
        <v>317</v>
      </c>
      <c r="D200" t="s">
        <v>26</v>
      </c>
      <c r="E200" t="s">
        <v>17</v>
      </c>
      <c r="F200" s="3">
        <v>100</v>
      </c>
      <c r="G200">
        <v>44</v>
      </c>
      <c r="H200">
        <v>14.5</v>
      </c>
      <c r="I200">
        <v>26</v>
      </c>
      <c r="J200" t="s">
        <v>19</v>
      </c>
      <c r="K200" t="s">
        <v>20</v>
      </c>
      <c r="L200" t="s">
        <v>35</v>
      </c>
      <c r="M200" s="3">
        <v>72</v>
      </c>
      <c r="N200" s="2">
        <v>12000</v>
      </c>
      <c r="O200" t="str">
        <f t="shared" si="6"/>
        <v>&lt;=100</v>
      </c>
      <c r="P200" t="str">
        <f t="shared" si="7"/>
        <v>&lt;= 20000$</v>
      </c>
    </row>
    <row r="201" spans="1:16" x14ac:dyDescent="0.25">
      <c r="A201">
        <v>200</v>
      </c>
      <c r="B201" t="s">
        <v>133</v>
      </c>
      <c r="C201" t="s">
        <v>323</v>
      </c>
      <c r="D201" t="s">
        <v>26</v>
      </c>
      <c r="E201" t="s">
        <v>17</v>
      </c>
      <c r="F201" s="3">
        <v>50</v>
      </c>
      <c r="G201">
        <v>45</v>
      </c>
      <c r="H201">
        <v>10.95</v>
      </c>
      <c r="I201">
        <v>22</v>
      </c>
      <c r="J201" t="s">
        <v>28</v>
      </c>
      <c r="K201" t="s">
        <v>20</v>
      </c>
      <c r="L201" t="s">
        <v>45</v>
      </c>
      <c r="M201" s="3">
        <v>42</v>
      </c>
      <c r="N201" s="2">
        <v>9500</v>
      </c>
      <c r="O201" t="str">
        <f t="shared" si="6"/>
        <v>&lt;=100</v>
      </c>
      <c r="P201" t="str">
        <f t="shared" si="7"/>
        <v>&lt;= 10000$</v>
      </c>
    </row>
    <row r="202" spans="1:16" x14ac:dyDescent="0.25">
      <c r="A202">
        <v>201</v>
      </c>
      <c r="B202" t="s">
        <v>133</v>
      </c>
      <c r="C202" t="s">
        <v>324</v>
      </c>
      <c r="D202" t="s">
        <v>26</v>
      </c>
      <c r="E202" t="s">
        <v>17</v>
      </c>
      <c r="F202" s="3">
        <v>100</v>
      </c>
      <c r="G202">
        <v>42</v>
      </c>
      <c r="H202">
        <v>14.5</v>
      </c>
      <c r="I202">
        <v>24</v>
      </c>
      <c r="J202" t="s">
        <v>19</v>
      </c>
      <c r="K202" t="s">
        <v>20</v>
      </c>
      <c r="L202" t="s">
        <v>141</v>
      </c>
      <c r="M202" s="3">
        <v>72</v>
      </c>
      <c r="N202" s="2">
        <v>8900</v>
      </c>
      <c r="O202" t="str">
        <f t="shared" si="6"/>
        <v>&lt;=100</v>
      </c>
      <c r="P202" t="str">
        <f t="shared" si="7"/>
        <v>&lt;= 10000$</v>
      </c>
    </row>
    <row r="203" spans="1:16" x14ac:dyDescent="0.25">
      <c r="A203">
        <v>202</v>
      </c>
      <c r="B203" t="s">
        <v>133</v>
      </c>
      <c r="C203" t="s">
        <v>325</v>
      </c>
      <c r="D203" t="s">
        <v>26</v>
      </c>
      <c r="E203" t="s">
        <v>17</v>
      </c>
      <c r="F203" s="3">
        <v>50</v>
      </c>
      <c r="G203">
        <v>42</v>
      </c>
      <c r="H203">
        <v>10.5</v>
      </c>
      <c r="I203">
        <v>22</v>
      </c>
      <c r="J203" t="s">
        <v>28</v>
      </c>
      <c r="K203" t="s">
        <v>20</v>
      </c>
      <c r="L203" t="s">
        <v>21</v>
      </c>
      <c r="M203" s="3">
        <v>42</v>
      </c>
      <c r="N203" s="2">
        <v>8500</v>
      </c>
      <c r="O203" t="str">
        <f t="shared" si="6"/>
        <v>&lt;=100</v>
      </c>
      <c r="P203" t="str">
        <f t="shared" si="7"/>
        <v>&lt;= 10000$</v>
      </c>
    </row>
    <row r="204" spans="1:16" x14ac:dyDescent="0.25">
      <c r="A204">
        <v>203</v>
      </c>
      <c r="B204" t="s">
        <v>133</v>
      </c>
      <c r="C204" t="s">
        <v>325</v>
      </c>
      <c r="D204" t="s">
        <v>26</v>
      </c>
      <c r="E204" t="s">
        <v>17</v>
      </c>
      <c r="F204" s="3">
        <v>50</v>
      </c>
      <c r="G204">
        <v>42</v>
      </c>
      <c r="H204">
        <v>10.5</v>
      </c>
      <c r="I204">
        <v>22</v>
      </c>
      <c r="J204" t="s">
        <v>19</v>
      </c>
      <c r="K204" t="s">
        <v>20</v>
      </c>
      <c r="L204" t="s">
        <v>45</v>
      </c>
      <c r="M204" s="3">
        <v>42</v>
      </c>
      <c r="N204" s="2">
        <v>8200</v>
      </c>
      <c r="O204" t="str">
        <f t="shared" si="6"/>
        <v>&lt;=100</v>
      </c>
      <c r="P204" t="str">
        <f t="shared" si="7"/>
        <v>&lt;= 10000$</v>
      </c>
    </row>
    <row r="205" spans="1:16" x14ac:dyDescent="0.25">
      <c r="A205">
        <v>204</v>
      </c>
      <c r="B205" t="s">
        <v>133</v>
      </c>
      <c r="C205" t="s">
        <v>325</v>
      </c>
      <c r="D205" t="s">
        <v>26</v>
      </c>
      <c r="E205" t="s">
        <v>17</v>
      </c>
      <c r="F205" s="3">
        <v>50</v>
      </c>
      <c r="G205">
        <v>42</v>
      </c>
      <c r="H205">
        <v>10.6</v>
      </c>
      <c r="I205">
        <v>22</v>
      </c>
      <c r="J205" t="s">
        <v>19</v>
      </c>
      <c r="K205" t="s">
        <v>20</v>
      </c>
      <c r="L205" t="s">
        <v>21</v>
      </c>
      <c r="M205" s="3">
        <v>42</v>
      </c>
      <c r="N205" s="2">
        <v>8100</v>
      </c>
      <c r="O205" t="str">
        <f t="shared" si="6"/>
        <v>&lt;=100</v>
      </c>
      <c r="P205" t="str">
        <f t="shared" si="7"/>
        <v>&lt;= 10000$</v>
      </c>
    </row>
    <row r="206" spans="1:16" x14ac:dyDescent="0.25">
      <c r="A206">
        <v>205</v>
      </c>
      <c r="B206" t="s">
        <v>133</v>
      </c>
      <c r="C206" t="s">
        <v>323</v>
      </c>
      <c r="D206" t="s">
        <v>26</v>
      </c>
      <c r="E206" t="s">
        <v>17</v>
      </c>
      <c r="F206" s="3">
        <v>50</v>
      </c>
      <c r="G206">
        <v>45</v>
      </c>
      <c r="H206">
        <v>10.95</v>
      </c>
      <c r="I206">
        <v>24</v>
      </c>
      <c r="J206" t="s">
        <v>28</v>
      </c>
      <c r="K206" t="s">
        <v>20</v>
      </c>
      <c r="L206" t="s">
        <v>21</v>
      </c>
      <c r="M206" s="3">
        <v>42</v>
      </c>
      <c r="N206" s="2">
        <v>7500</v>
      </c>
      <c r="O206" t="str">
        <f t="shared" si="6"/>
        <v>&lt;=100</v>
      </c>
      <c r="P206" t="str">
        <f t="shared" si="7"/>
        <v>&lt;= 10000$</v>
      </c>
    </row>
    <row r="207" spans="1:16" x14ac:dyDescent="0.25">
      <c r="A207">
        <v>206</v>
      </c>
      <c r="B207" t="s">
        <v>133</v>
      </c>
      <c r="C207" t="s">
        <v>325</v>
      </c>
      <c r="D207" t="s">
        <v>26</v>
      </c>
      <c r="E207" t="s">
        <v>17</v>
      </c>
      <c r="F207" s="3">
        <v>50</v>
      </c>
      <c r="G207">
        <v>42</v>
      </c>
      <c r="H207">
        <v>9.85</v>
      </c>
      <c r="I207">
        <v>22</v>
      </c>
      <c r="J207" t="s">
        <v>28</v>
      </c>
      <c r="K207" t="s">
        <v>20</v>
      </c>
      <c r="L207" t="s">
        <v>45</v>
      </c>
      <c r="M207" s="3">
        <v>42</v>
      </c>
      <c r="N207" s="2">
        <v>7500</v>
      </c>
      <c r="O207" t="str">
        <f t="shared" si="6"/>
        <v>&lt;=100</v>
      </c>
      <c r="P207" t="str">
        <f t="shared" si="7"/>
        <v>&lt;= 10000$</v>
      </c>
    </row>
    <row r="208" spans="1:16" x14ac:dyDescent="0.25">
      <c r="A208">
        <v>207</v>
      </c>
      <c r="B208" t="s">
        <v>133</v>
      </c>
      <c r="C208" t="s">
        <v>325</v>
      </c>
      <c r="D208" t="s">
        <v>26</v>
      </c>
      <c r="E208" t="s">
        <v>17</v>
      </c>
      <c r="F208" s="3">
        <v>50</v>
      </c>
      <c r="G208">
        <v>42</v>
      </c>
      <c r="H208">
        <v>9.3000000000000007</v>
      </c>
      <c r="I208">
        <v>20</v>
      </c>
      <c r="J208" t="s">
        <v>19</v>
      </c>
      <c r="K208" t="s">
        <v>20</v>
      </c>
      <c r="L208" t="s">
        <v>45</v>
      </c>
      <c r="M208" s="3">
        <v>42</v>
      </c>
      <c r="N208" s="2">
        <v>6500</v>
      </c>
      <c r="O208" t="str">
        <f t="shared" si="6"/>
        <v>&lt;=100</v>
      </c>
      <c r="P208" t="str">
        <f t="shared" si="7"/>
        <v>&lt;= 10000$</v>
      </c>
    </row>
    <row r="209" spans="1:16" x14ac:dyDescent="0.25">
      <c r="A209">
        <v>208</v>
      </c>
      <c r="B209" t="s">
        <v>93</v>
      </c>
      <c r="C209" t="s">
        <v>326</v>
      </c>
      <c r="D209" t="s">
        <v>32</v>
      </c>
      <c r="E209" t="s">
        <v>17</v>
      </c>
      <c r="F209" s="3">
        <v>30</v>
      </c>
      <c r="G209">
        <v>41</v>
      </c>
      <c r="H209">
        <v>12.3</v>
      </c>
      <c r="I209">
        <v>22</v>
      </c>
      <c r="J209" t="s">
        <v>28</v>
      </c>
      <c r="K209" t="s">
        <v>20</v>
      </c>
      <c r="L209" t="s">
        <v>180</v>
      </c>
      <c r="M209" s="3">
        <v>46</v>
      </c>
      <c r="N209" s="2">
        <v>9800</v>
      </c>
      <c r="O209" t="str">
        <f t="shared" si="6"/>
        <v>&lt;=100</v>
      </c>
      <c r="P209" t="str">
        <f t="shared" si="7"/>
        <v>&lt;= 10000$</v>
      </c>
    </row>
    <row r="210" spans="1:16" x14ac:dyDescent="0.25">
      <c r="A210">
        <v>209</v>
      </c>
      <c r="B210" t="s">
        <v>93</v>
      </c>
      <c r="C210" t="s">
        <v>326</v>
      </c>
      <c r="D210" t="s">
        <v>32</v>
      </c>
      <c r="E210" t="s">
        <v>17</v>
      </c>
      <c r="F210" s="3">
        <v>30</v>
      </c>
      <c r="G210">
        <v>41</v>
      </c>
      <c r="H210">
        <v>12.3</v>
      </c>
      <c r="I210">
        <v>22</v>
      </c>
      <c r="J210" t="s">
        <v>34</v>
      </c>
      <c r="K210" t="s">
        <v>20</v>
      </c>
      <c r="L210" t="s">
        <v>21</v>
      </c>
      <c r="M210" s="3">
        <v>168</v>
      </c>
      <c r="N210" s="2">
        <v>9500</v>
      </c>
      <c r="O210" t="str">
        <f t="shared" si="6"/>
        <v>&lt;=100</v>
      </c>
      <c r="P210" t="str">
        <f t="shared" si="7"/>
        <v>&lt;= 10000$</v>
      </c>
    </row>
    <row r="211" spans="1:16" x14ac:dyDescent="0.25">
      <c r="A211">
        <v>210</v>
      </c>
      <c r="B211" t="s">
        <v>93</v>
      </c>
      <c r="C211" t="s">
        <v>327</v>
      </c>
      <c r="D211" t="s">
        <v>32</v>
      </c>
      <c r="E211" t="s">
        <v>17</v>
      </c>
      <c r="F211" s="3">
        <v>30</v>
      </c>
      <c r="G211">
        <v>42.3</v>
      </c>
      <c r="H211">
        <v>14.2</v>
      </c>
      <c r="I211">
        <v>22</v>
      </c>
      <c r="J211" t="s">
        <v>28</v>
      </c>
      <c r="K211" t="s">
        <v>20</v>
      </c>
      <c r="L211" t="s">
        <v>45</v>
      </c>
      <c r="M211" s="3">
        <v>60</v>
      </c>
      <c r="N211" s="2">
        <v>9100</v>
      </c>
      <c r="O211" t="str">
        <f t="shared" si="6"/>
        <v>&lt;=100</v>
      </c>
      <c r="P211" t="str">
        <f t="shared" si="7"/>
        <v>&lt;= 10000$</v>
      </c>
    </row>
    <row r="212" spans="1:16" x14ac:dyDescent="0.25">
      <c r="A212">
        <v>211</v>
      </c>
      <c r="B212" t="s">
        <v>93</v>
      </c>
      <c r="C212" t="s">
        <v>326</v>
      </c>
      <c r="D212" t="s">
        <v>32</v>
      </c>
      <c r="E212" t="s">
        <v>17</v>
      </c>
      <c r="F212" s="3">
        <v>30</v>
      </c>
      <c r="G212">
        <v>41</v>
      </c>
      <c r="H212">
        <v>12.3</v>
      </c>
      <c r="I212">
        <v>22</v>
      </c>
      <c r="J212" t="s">
        <v>28</v>
      </c>
      <c r="K212" t="s">
        <v>20</v>
      </c>
      <c r="L212" t="s">
        <v>21</v>
      </c>
      <c r="M212" s="3">
        <v>60</v>
      </c>
      <c r="N212" s="2">
        <v>8900</v>
      </c>
      <c r="O212" t="str">
        <f t="shared" si="6"/>
        <v>&lt;=100</v>
      </c>
      <c r="P212" t="str">
        <f t="shared" si="7"/>
        <v>&lt;= 10000$</v>
      </c>
    </row>
    <row r="213" spans="1:16" x14ac:dyDescent="0.25">
      <c r="A213">
        <v>212</v>
      </c>
      <c r="B213" t="s">
        <v>93</v>
      </c>
      <c r="C213" t="s">
        <v>326</v>
      </c>
      <c r="D213" t="s">
        <v>32</v>
      </c>
      <c r="E213" t="s">
        <v>17</v>
      </c>
      <c r="F213" s="3">
        <v>30</v>
      </c>
      <c r="G213">
        <v>41</v>
      </c>
      <c r="H213">
        <v>12.3</v>
      </c>
      <c r="I213">
        <v>22</v>
      </c>
      <c r="J213" t="s">
        <v>44</v>
      </c>
      <c r="K213" t="s">
        <v>20</v>
      </c>
      <c r="L213" t="s">
        <v>21</v>
      </c>
      <c r="M213" s="3">
        <v>60</v>
      </c>
      <c r="N213" s="2">
        <v>8900</v>
      </c>
      <c r="O213" t="str">
        <f t="shared" si="6"/>
        <v>&lt;=100</v>
      </c>
      <c r="P213" t="str">
        <f t="shared" si="7"/>
        <v>&lt;= 10000$</v>
      </c>
    </row>
    <row r="214" spans="1:16" x14ac:dyDescent="0.25">
      <c r="A214">
        <v>213</v>
      </c>
      <c r="B214" t="s">
        <v>93</v>
      </c>
      <c r="C214" t="s">
        <v>328</v>
      </c>
      <c r="D214" t="s">
        <v>108</v>
      </c>
      <c r="E214" t="s">
        <v>17</v>
      </c>
      <c r="F214" s="3">
        <v>30</v>
      </c>
      <c r="G214">
        <v>40.4</v>
      </c>
      <c r="H214">
        <v>12.3</v>
      </c>
      <c r="I214">
        <v>20</v>
      </c>
      <c r="J214" t="s">
        <v>44</v>
      </c>
      <c r="K214" t="s">
        <v>20</v>
      </c>
      <c r="L214" t="s">
        <v>21</v>
      </c>
      <c r="M214" s="3">
        <v>60</v>
      </c>
      <c r="N214" s="2">
        <v>8800</v>
      </c>
      <c r="O214" t="str">
        <f t="shared" si="6"/>
        <v>&lt;=100</v>
      </c>
      <c r="P214" t="str">
        <f t="shared" si="7"/>
        <v>&lt;= 10000$</v>
      </c>
    </row>
    <row r="215" spans="1:16" x14ac:dyDescent="0.25">
      <c r="A215">
        <v>214</v>
      </c>
      <c r="B215" t="s">
        <v>93</v>
      </c>
      <c r="C215" t="s">
        <v>329</v>
      </c>
      <c r="D215" t="s">
        <v>32</v>
      </c>
      <c r="E215" t="s">
        <v>17</v>
      </c>
      <c r="F215" s="3">
        <v>30</v>
      </c>
      <c r="G215">
        <v>42.3</v>
      </c>
      <c r="H215">
        <v>14.2</v>
      </c>
      <c r="I215">
        <v>22</v>
      </c>
      <c r="J215" t="s">
        <v>34</v>
      </c>
      <c r="K215" t="s">
        <v>20</v>
      </c>
      <c r="L215" t="s">
        <v>21</v>
      </c>
      <c r="M215" s="3">
        <v>60</v>
      </c>
      <c r="N215" s="2">
        <v>8800</v>
      </c>
      <c r="O215" t="str">
        <f t="shared" si="6"/>
        <v>&lt;=100</v>
      </c>
      <c r="P215" t="str">
        <f t="shared" si="7"/>
        <v>&lt;= 10000$</v>
      </c>
    </row>
    <row r="216" spans="1:16" x14ac:dyDescent="0.25">
      <c r="A216">
        <v>215</v>
      </c>
      <c r="B216" t="s">
        <v>93</v>
      </c>
      <c r="C216" t="s">
        <v>326</v>
      </c>
      <c r="D216" t="s">
        <v>32</v>
      </c>
      <c r="E216" t="s">
        <v>17</v>
      </c>
      <c r="F216" s="3">
        <v>30</v>
      </c>
      <c r="G216">
        <v>41</v>
      </c>
      <c r="H216">
        <v>12.3</v>
      </c>
      <c r="I216">
        <v>22</v>
      </c>
      <c r="J216" t="s">
        <v>28</v>
      </c>
      <c r="K216" t="s">
        <v>20</v>
      </c>
      <c r="L216" t="s">
        <v>45</v>
      </c>
      <c r="M216" s="3">
        <v>60</v>
      </c>
      <c r="N216" s="2">
        <v>8500</v>
      </c>
      <c r="O216" t="str">
        <f t="shared" si="6"/>
        <v>&lt;=100</v>
      </c>
      <c r="P216" t="str">
        <f t="shared" si="7"/>
        <v>&lt;= 10000$</v>
      </c>
    </row>
    <row r="217" spans="1:16" x14ac:dyDescent="0.25">
      <c r="A217">
        <v>216</v>
      </c>
      <c r="B217" t="s">
        <v>93</v>
      </c>
      <c r="C217" t="s">
        <v>326</v>
      </c>
      <c r="D217" t="s">
        <v>32</v>
      </c>
      <c r="E217" t="s">
        <v>17</v>
      </c>
      <c r="F217" s="3">
        <v>30</v>
      </c>
      <c r="G217">
        <v>41</v>
      </c>
      <c r="H217">
        <v>13.1</v>
      </c>
      <c r="I217">
        <v>22</v>
      </c>
      <c r="J217" t="s">
        <v>44</v>
      </c>
      <c r="K217" t="s">
        <v>20</v>
      </c>
      <c r="L217" t="s">
        <v>21</v>
      </c>
      <c r="M217" s="3">
        <v>60</v>
      </c>
      <c r="N217" s="2">
        <v>8500</v>
      </c>
      <c r="O217" t="str">
        <f t="shared" si="6"/>
        <v>&lt;=100</v>
      </c>
      <c r="P217" t="str">
        <f t="shared" si="7"/>
        <v>&lt;= 10000$</v>
      </c>
    </row>
    <row r="218" spans="1:16" x14ac:dyDescent="0.25">
      <c r="A218">
        <v>217</v>
      </c>
      <c r="B218" t="s">
        <v>93</v>
      </c>
      <c r="C218" t="s">
        <v>326</v>
      </c>
      <c r="D218" t="s">
        <v>32</v>
      </c>
      <c r="E218" t="s">
        <v>17</v>
      </c>
      <c r="F218" s="3">
        <v>30</v>
      </c>
      <c r="G218">
        <v>41</v>
      </c>
      <c r="H218">
        <v>12.3</v>
      </c>
      <c r="I218">
        <v>22</v>
      </c>
      <c r="J218" t="s">
        <v>28</v>
      </c>
      <c r="K218" t="s">
        <v>20</v>
      </c>
      <c r="L218" t="s">
        <v>147</v>
      </c>
      <c r="M218" s="3">
        <v>42</v>
      </c>
      <c r="N218" s="2">
        <v>8500</v>
      </c>
      <c r="O218" t="str">
        <f t="shared" si="6"/>
        <v>&lt;=100</v>
      </c>
      <c r="P218" t="str">
        <f t="shared" si="7"/>
        <v>&lt;= 10000$</v>
      </c>
    </row>
    <row r="219" spans="1:16" x14ac:dyDescent="0.25">
      <c r="A219">
        <v>218</v>
      </c>
      <c r="B219" t="s">
        <v>93</v>
      </c>
      <c r="C219" t="s">
        <v>326</v>
      </c>
      <c r="D219" t="s">
        <v>32</v>
      </c>
      <c r="E219" t="s">
        <v>17</v>
      </c>
      <c r="F219" s="3">
        <v>30</v>
      </c>
      <c r="G219">
        <v>41</v>
      </c>
      <c r="H219">
        <v>12.3</v>
      </c>
      <c r="I219">
        <v>22</v>
      </c>
      <c r="J219" t="s">
        <v>44</v>
      </c>
      <c r="K219" t="s">
        <v>20</v>
      </c>
      <c r="L219" t="s">
        <v>45</v>
      </c>
      <c r="M219" s="3">
        <v>60</v>
      </c>
      <c r="N219" s="2">
        <v>8400</v>
      </c>
      <c r="O219" t="str">
        <f t="shared" si="6"/>
        <v>&lt;=100</v>
      </c>
      <c r="P219" t="str">
        <f t="shared" si="7"/>
        <v>&lt;= 10000$</v>
      </c>
    </row>
    <row r="220" spans="1:16" x14ac:dyDescent="0.25">
      <c r="A220">
        <v>219</v>
      </c>
      <c r="B220" t="s">
        <v>93</v>
      </c>
      <c r="C220" t="s">
        <v>326</v>
      </c>
      <c r="D220" t="s">
        <v>32</v>
      </c>
      <c r="E220" t="s">
        <v>17</v>
      </c>
      <c r="F220" s="3">
        <v>30</v>
      </c>
      <c r="G220">
        <v>41</v>
      </c>
      <c r="H220">
        <v>12.3</v>
      </c>
      <c r="I220">
        <v>22</v>
      </c>
      <c r="J220" t="s">
        <v>44</v>
      </c>
      <c r="K220" t="s">
        <v>20</v>
      </c>
      <c r="L220" t="s">
        <v>141</v>
      </c>
      <c r="M220" s="3">
        <v>46</v>
      </c>
      <c r="N220" s="2">
        <v>8300</v>
      </c>
      <c r="O220" t="str">
        <f t="shared" si="6"/>
        <v>&lt;=100</v>
      </c>
      <c r="P220" t="str">
        <f t="shared" si="7"/>
        <v>&lt;= 10000$</v>
      </c>
    </row>
    <row r="221" spans="1:16" x14ac:dyDescent="0.25">
      <c r="A221">
        <v>220</v>
      </c>
      <c r="B221" t="s">
        <v>93</v>
      </c>
      <c r="C221" t="s">
        <v>326</v>
      </c>
      <c r="D221" t="s">
        <v>32</v>
      </c>
      <c r="E221" t="s">
        <v>17</v>
      </c>
      <c r="F221" s="3">
        <v>30</v>
      </c>
      <c r="G221">
        <v>41</v>
      </c>
      <c r="H221">
        <v>12.3</v>
      </c>
      <c r="I221">
        <v>22</v>
      </c>
      <c r="J221" t="s">
        <v>44</v>
      </c>
      <c r="K221" t="s">
        <v>20</v>
      </c>
      <c r="L221" t="s">
        <v>45</v>
      </c>
      <c r="M221" s="3">
        <v>60</v>
      </c>
      <c r="N221" s="2">
        <v>7950</v>
      </c>
      <c r="O221" t="str">
        <f t="shared" si="6"/>
        <v>&lt;=100</v>
      </c>
      <c r="P221" t="str">
        <f t="shared" si="7"/>
        <v>&lt;= 10000$</v>
      </c>
    </row>
    <row r="222" spans="1:16" x14ac:dyDescent="0.25">
      <c r="A222">
        <v>221</v>
      </c>
      <c r="B222" t="s">
        <v>93</v>
      </c>
      <c r="C222" t="s">
        <v>326</v>
      </c>
      <c r="D222" t="s">
        <v>32</v>
      </c>
      <c r="E222" t="s">
        <v>17</v>
      </c>
      <c r="F222" s="3">
        <v>30</v>
      </c>
      <c r="G222">
        <v>41</v>
      </c>
      <c r="H222">
        <v>12.3</v>
      </c>
      <c r="I222">
        <v>22</v>
      </c>
      <c r="J222" t="s">
        <v>44</v>
      </c>
      <c r="K222" t="s">
        <v>20</v>
      </c>
      <c r="L222" t="s">
        <v>45</v>
      </c>
      <c r="M222" s="3">
        <v>60</v>
      </c>
      <c r="N222" s="2">
        <v>7950</v>
      </c>
      <c r="O222" t="str">
        <f t="shared" si="6"/>
        <v>&lt;=100</v>
      </c>
      <c r="P222" t="str">
        <f t="shared" si="7"/>
        <v>&lt;= 10000$</v>
      </c>
    </row>
    <row r="223" spans="1:16" x14ac:dyDescent="0.25">
      <c r="A223">
        <v>222</v>
      </c>
      <c r="B223" t="s">
        <v>93</v>
      </c>
      <c r="C223" t="s">
        <v>326</v>
      </c>
      <c r="D223" t="s">
        <v>32</v>
      </c>
      <c r="E223" t="s">
        <v>17</v>
      </c>
      <c r="F223" s="3">
        <v>30</v>
      </c>
      <c r="G223">
        <v>41</v>
      </c>
      <c r="H223">
        <v>12.3</v>
      </c>
      <c r="I223">
        <v>22</v>
      </c>
      <c r="J223" t="s">
        <v>28</v>
      </c>
      <c r="K223" t="s">
        <v>20</v>
      </c>
      <c r="L223" t="s">
        <v>45</v>
      </c>
      <c r="M223" s="3">
        <v>60</v>
      </c>
      <c r="N223" s="2">
        <v>7900</v>
      </c>
      <c r="O223" t="str">
        <f t="shared" si="6"/>
        <v>&lt;=100</v>
      </c>
      <c r="P223" t="str">
        <f t="shared" si="7"/>
        <v>&lt;= 10000$</v>
      </c>
    </row>
    <row r="224" spans="1:16" x14ac:dyDescent="0.25">
      <c r="A224">
        <v>223</v>
      </c>
      <c r="B224" t="s">
        <v>93</v>
      </c>
      <c r="C224" t="s">
        <v>330</v>
      </c>
      <c r="D224" t="s">
        <v>32</v>
      </c>
      <c r="E224" t="s">
        <v>17</v>
      </c>
      <c r="F224" s="3">
        <v>30</v>
      </c>
      <c r="G224">
        <v>41.5</v>
      </c>
      <c r="H224">
        <v>12.3</v>
      </c>
      <c r="I224">
        <v>22</v>
      </c>
      <c r="J224" t="s">
        <v>44</v>
      </c>
      <c r="K224" t="s">
        <v>20</v>
      </c>
      <c r="L224" t="s">
        <v>45</v>
      </c>
      <c r="M224" s="3">
        <v>60</v>
      </c>
      <c r="N224" s="2">
        <v>7800</v>
      </c>
      <c r="O224" t="str">
        <f t="shared" si="6"/>
        <v>&lt;=100</v>
      </c>
      <c r="P224" t="str">
        <f t="shared" si="7"/>
        <v>&lt;= 10000$</v>
      </c>
    </row>
    <row r="225" spans="1:16" x14ac:dyDescent="0.25">
      <c r="A225">
        <v>224</v>
      </c>
      <c r="B225" t="s">
        <v>93</v>
      </c>
      <c r="C225" t="s">
        <v>327</v>
      </c>
      <c r="D225" t="s">
        <v>32</v>
      </c>
      <c r="E225" t="s">
        <v>17</v>
      </c>
      <c r="F225" s="3">
        <v>30</v>
      </c>
      <c r="G225">
        <v>42.3</v>
      </c>
      <c r="H225">
        <v>14.2</v>
      </c>
      <c r="I225">
        <v>22</v>
      </c>
      <c r="J225" t="s">
        <v>34</v>
      </c>
      <c r="K225" t="s">
        <v>20</v>
      </c>
      <c r="L225" t="s">
        <v>35</v>
      </c>
      <c r="M225" s="3">
        <v>46</v>
      </c>
      <c r="N225" s="2">
        <v>7800</v>
      </c>
      <c r="O225" t="str">
        <f t="shared" si="6"/>
        <v>&lt;=100</v>
      </c>
      <c r="P225" t="str">
        <f t="shared" si="7"/>
        <v>&lt;= 10000$</v>
      </c>
    </row>
    <row r="226" spans="1:16" x14ac:dyDescent="0.25">
      <c r="A226">
        <v>225</v>
      </c>
      <c r="B226" t="s">
        <v>93</v>
      </c>
      <c r="C226" t="s">
        <v>331</v>
      </c>
      <c r="D226" t="s">
        <v>32</v>
      </c>
      <c r="E226" t="s">
        <v>17</v>
      </c>
      <c r="F226" s="3">
        <v>30</v>
      </c>
      <c r="G226">
        <v>41</v>
      </c>
      <c r="H226">
        <v>13.1</v>
      </c>
      <c r="I226">
        <v>20</v>
      </c>
      <c r="J226" t="s">
        <v>34</v>
      </c>
      <c r="K226" t="s">
        <v>20</v>
      </c>
      <c r="L226" t="s">
        <v>35</v>
      </c>
      <c r="M226" s="3">
        <v>46</v>
      </c>
      <c r="N226" s="2">
        <v>7600</v>
      </c>
      <c r="O226" t="str">
        <f t="shared" si="6"/>
        <v>&lt;=100</v>
      </c>
      <c r="P226" t="str">
        <f t="shared" si="7"/>
        <v>&lt;= 10000$</v>
      </c>
    </row>
    <row r="227" spans="1:16" x14ac:dyDescent="0.25">
      <c r="A227">
        <v>226</v>
      </c>
      <c r="B227" t="s">
        <v>93</v>
      </c>
      <c r="C227" t="s">
        <v>328</v>
      </c>
      <c r="D227" t="s">
        <v>32</v>
      </c>
      <c r="E227" t="s">
        <v>17</v>
      </c>
      <c r="F227" s="3">
        <v>30</v>
      </c>
      <c r="G227">
        <v>40.4</v>
      </c>
      <c r="H227">
        <v>12.6</v>
      </c>
      <c r="I227">
        <v>20</v>
      </c>
      <c r="J227" t="s">
        <v>44</v>
      </c>
      <c r="K227" t="s">
        <v>20</v>
      </c>
      <c r="L227" t="s">
        <v>45</v>
      </c>
      <c r="M227" s="3">
        <v>44</v>
      </c>
      <c r="N227" s="2">
        <v>7600</v>
      </c>
      <c r="O227" t="str">
        <f t="shared" si="6"/>
        <v>&lt;=100</v>
      </c>
      <c r="P227" t="str">
        <f t="shared" si="7"/>
        <v>&lt;= 10000$</v>
      </c>
    </row>
    <row r="228" spans="1:16" x14ac:dyDescent="0.25">
      <c r="A228">
        <v>227</v>
      </c>
      <c r="B228" t="s">
        <v>93</v>
      </c>
      <c r="C228" t="s">
        <v>326</v>
      </c>
      <c r="D228" t="s">
        <v>32</v>
      </c>
      <c r="E228" t="s">
        <v>17</v>
      </c>
      <c r="F228" s="3">
        <v>30</v>
      </c>
      <c r="G228">
        <v>41</v>
      </c>
      <c r="H228">
        <v>12.3</v>
      </c>
      <c r="I228">
        <v>22</v>
      </c>
      <c r="J228" t="s">
        <v>44</v>
      </c>
      <c r="K228" t="s">
        <v>20</v>
      </c>
      <c r="L228" t="s">
        <v>45</v>
      </c>
      <c r="M228" s="3">
        <v>46</v>
      </c>
      <c r="N228" s="2">
        <v>7500</v>
      </c>
      <c r="O228" t="str">
        <f t="shared" si="6"/>
        <v>&lt;=100</v>
      </c>
      <c r="P228" t="str">
        <f t="shared" si="7"/>
        <v>&lt;= 10000$</v>
      </c>
    </row>
    <row r="229" spans="1:16" x14ac:dyDescent="0.25">
      <c r="A229">
        <v>228</v>
      </c>
      <c r="B229" t="s">
        <v>93</v>
      </c>
      <c r="C229" t="s">
        <v>332</v>
      </c>
      <c r="D229" t="s">
        <v>32</v>
      </c>
      <c r="E229" t="s">
        <v>17</v>
      </c>
      <c r="F229" s="3">
        <v>60</v>
      </c>
      <c r="G229">
        <v>46.2</v>
      </c>
      <c r="H229">
        <v>15</v>
      </c>
      <c r="I229">
        <v>20</v>
      </c>
      <c r="J229" t="s">
        <v>19</v>
      </c>
      <c r="K229" t="s">
        <v>20</v>
      </c>
      <c r="L229" t="s">
        <v>35</v>
      </c>
      <c r="M229" s="3">
        <v>68</v>
      </c>
      <c r="N229" s="2">
        <v>7500</v>
      </c>
      <c r="O229" t="str">
        <f t="shared" si="6"/>
        <v>&lt;=100</v>
      </c>
      <c r="P229" t="str">
        <f t="shared" si="7"/>
        <v>&lt;= 10000$</v>
      </c>
    </row>
    <row r="230" spans="1:16" x14ac:dyDescent="0.25">
      <c r="A230">
        <v>229</v>
      </c>
      <c r="B230" t="s">
        <v>93</v>
      </c>
      <c r="C230" t="s">
        <v>328</v>
      </c>
      <c r="D230" t="s">
        <v>32</v>
      </c>
      <c r="E230" t="s">
        <v>17</v>
      </c>
      <c r="F230" s="3">
        <v>30</v>
      </c>
      <c r="G230">
        <v>40.4</v>
      </c>
      <c r="H230">
        <v>12.3</v>
      </c>
      <c r="I230">
        <v>22</v>
      </c>
      <c r="J230" t="s">
        <v>34</v>
      </c>
      <c r="K230" t="s">
        <v>20</v>
      </c>
      <c r="L230" t="s">
        <v>21</v>
      </c>
      <c r="M230" s="3">
        <v>60</v>
      </c>
      <c r="N230" s="2">
        <v>7500</v>
      </c>
      <c r="O230" t="str">
        <f t="shared" si="6"/>
        <v>&lt;=100</v>
      </c>
      <c r="P230" t="str">
        <f t="shared" si="7"/>
        <v>&lt;= 10000$</v>
      </c>
    </row>
    <row r="231" spans="1:16" x14ac:dyDescent="0.25">
      <c r="A231">
        <v>230</v>
      </c>
      <c r="B231" t="s">
        <v>93</v>
      </c>
      <c r="C231" t="s">
        <v>328</v>
      </c>
      <c r="D231" t="s">
        <v>32</v>
      </c>
      <c r="E231" t="s">
        <v>17</v>
      </c>
      <c r="F231" s="3">
        <v>30</v>
      </c>
      <c r="G231">
        <v>40.4</v>
      </c>
      <c r="H231">
        <v>12.3</v>
      </c>
      <c r="I231">
        <v>20</v>
      </c>
      <c r="J231" t="s">
        <v>34</v>
      </c>
      <c r="K231" t="s">
        <v>20</v>
      </c>
      <c r="L231" t="s">
        <v>45</v>
      </c>
      <c r="M231" s="3">
        <v>60</v>
      </c>
      <c r="N231" s="2">
        <v>7500</v>
      </c>
      <c r="O231" t="str">
        <f t="shared" si="6"/>
        <v>&lt;=100</v>
      </c>
      <c r="P231" t="str">
        <f t="shared" si="7"/>
        <v>&lt;= 10000$</v>
      </c>
    </row>
    <row r="232" spans="1:16" x14ac:dyDescent="0.25">
      <c r="A232">
        <v>231</v>
      </c>
      <c r="B232" t="s">
        <v>93</v>
      </c>
      <c r="C232" t="s">
        <v>328</v>
      </c>
      <c r="D232" t="s">
        <v>32</v>
      </c>
      <c r="E232" t="s">
        <v>17</v>
      </c>
      <c r="F232" s="3">
        <v>30</v>
      </c>
      <c r="G232">
        <v>40.4</v>
      </c>
      <c r="H232">
        <v>12.3</v>
      </c>
      <c r="I232">
        <v>20</v>
      </c>
      <c r="J232" t="s">
        <v>44</v>
      </c>
      <c r="K232" t="s">
        <v>20</v>
      </c>
      <c r="L232" t="s">
        <v>35</v>
      </c>
      <c r="M232" s="3">
        <v>46</v>
      </c>
      <c r="N232" s="2">
        <v>7250</v>
      </c>
      <c r="O232" t="str">
        <f t="shared" si="6"/>
        <v>&lt;=100</v>
      </c>
      <c r="P232" t="str">
        <f t="shared" si="7"/>
        <v>&lt;= 10000$</v>
      </c>
    </row>
    <row r="233" spans="1:16" x14ac:dyDescent="0.25">
      <c r="A233">
        <v>232</v>
      </c>
      <c r="B233" t="s">
        <v>93</v>
      </c>
      <c r="C233" t="s">
        <v>333</v>
      </c>
      <c r="D233" t="s">
        <v>32</v>
      </c>
      <c r="E233" t="s">
        <v>17</v>
      </c>
      <c r="F233" s="3">
        <v>30</v>
      </c>
      <c r="G233">
        <v>40.9</v>
      </c>
      <c r="H233">
        <v>12.3</v>
      </c>
      <c r="I233">
        <v>20</v>
      </c>
      <c r="J233" t="s">
        <v>44</v>
      </c>
      <c r="K233" t="s">
        <v>20</v>
      </c>
      <c r="L233" t="s">
        <v>21</v>
      </c>
      <c r="M233" s="3">
        <v>44</v>
      </c>
      <c r="N233" s="2">
        <v>6900</v>
      </c>
      <c r="O233" t="str">
        <f t="shared" si="6"/>
        <v>&lt;=100</v>
      </c>
      <c r="P233" t="str">
        <f t="shared" si="7"/>
        <v>&lt;= 10000$</v>
      </c>
    </row>
    <row r="234" spans="1:16" x14ac:dyDescent="0.25">
      <c r="A234">
        <v>233</v>
      </c>
      <c r="B234" t="s">
        <v>93</v>
      </c>
      <c r="C234" t="s">
        <v>326</v>
      </c>
      <c r="D234" t="s">
        <v>32</v>
      </c>
      <c r="E234" t="s">
        <v>17</v>
      </c>
      <c r="F234" s="3">
        <v>30</v>
      </c>
      <c r="G234">
        <v>41</v>
      </c>
      <c r="H234">
        <v>12.3</v>
      </c>
      <c r="I234">
        <v>22</v>
      </c>
      <c r="J234" t="s">
        <v>28</v>
      </c>
      <c r="K234" t="s">
        <v>20</v>
      </c>
      <c r="L234" t="s">
        <v>45</v>
      </c>
      <c r="M234" s="3">
        <v>60</v>
      </c>
      <c r="N234" s="2">
        <v>6900</v>
      </c>
      <c r="O234" t="str">
        <f t="shared" si="6"/>
        <v>&lt;=100</v>
      </c>
      <c r="P234" t="str">
        <f t="shared" si="7"/>
        <v>&lt;= 10000$</v>
      </c>
    </row>
    <row r="235" spans="1:16" x14ac:dyDescent="0.25">
      <c r="A235">
        <v>234</v>
      </c>
      <c r="B235" t="s">
        <v>93</v>
      </c>
      <c r="C235" t="s">
        <v>334</v>
      </c>
      <c r="D235" t="s">
        <v>32</v>
      </c>
      <c r="E235" t="s">
        <v>17</v>
      </c>
      <c r="F235" s="3">
        <v>60</v>
      </c>
      <c r="G235">
        <v>41</v>
      </c>
      <c r="H235">
        <v>12.5</v>
      </c>
      <c r="I235">
        <v>20</v>
      </c>
      <c r="J235" t="s">
        <v>19</v>
      </c>
      <c r="K235" t="s">
        <v>20</v>
      </c>
      <c r="L235" t="s">
        <v>148</v>
      </c>
      <c r="M235" s="3">
        <v>44</v>
      </c>
      <c r="N235" s="2">
        <v>6800</v>
      </c>
      <c r="O235" t="str">
        <f t="shared" si="6"/>
        <v>&lt;=100</v>
      </c>
      <c r="P235" t="str">
        <f t="shared" si="7"/>
        <v>&lt;= 10000$</v>
      </c>
    </row>
    <row r="236" spans="1:16" x14ac:dyDescent="0.25">
      <c r="A236">
        <v>235</v>
      </c>
      <c r="B236" t="s">
        <v>93</v>
      </c>
      <c r="C236" t="s">
        <v>326</v>
      </c>
      <c r="D236" t="s">
        <v>32</v>
      </c>
      <c r="E236" t="s">
        <v>17</v>
      </c>
      <c r="F236" s="3">
        <v>30</v>
      </c>
      <c r="G236">
        <v>41</v>
      </c>
      <c r="H236">
        <v>12.3</v>
      </c>
      <c r="I236">
        <v>22</v>
      </c>
      <c r="J236" t="s">
        <v>28</v>
      </c>
      <c r="K236" t="s">
        <v>20</v>
      </c>
      <c r="L236" t="s">
        <v>21</v>
      </c>
      <c r="M236" s="3">
        <v>60</v>
      </c>
      <c r="N236" s="2">
        <v>6500</v>
      </c>
      <c r="O236" t="str">
        <f t="shared" si="6"/>
        <v>&lt;=100</v>
      </c>
      <c r="P236" t="str">
        <f t="shared" si="7"/>
        <v>&lt;= 10000$</v>
      </c>
    </row>
    <row r="237" spans="1:16" x14ac:dyDescent="0.25">
      <c r="A237">
        <v>236</v>
      </c>
      <c r="B237" t="s">
        <v>93</v>
      </c>
      <c r="C237" t="s">
        <v>335</v>
      </c>
      <c r="D237" t="s">
        <v>32</v>
      </c>
      <c r="E237" t="s">
        <v>17</v>
      </c>
      <c r="F237" s="3">
        <v>60</v>
      </c>
      <c r="G237">
        <v>41</v>
      </c>
      <c r="H237">
        <v>15.3</v>
      </c>
      <c r="I237">
        <v>20</v>
      </c>
      <c r="J237" t="s">
        <v>19</v>
      </c>
      <c r="K237" t="s">
        <v>20</v>
      </c>
      <c r="L237" t="s">
        <v>21</v>
      </c>
      <c r="M237" s="3">
        <v>42</v>
      </c>
      <c r="N237" s="2">
        <v>5900</v>
      </c>
      <c r="O237" t="str">
        <f t="shared" si="6"/>
        <v>&lt;=100</v>
      </c>
      <c r="P237" t="str">
        <f t="shared" si="7"/>
        <v>&lt;= 10000$</v>
      </c>
    </row>
    <row r="238" spans="1:16" x14ac:dyDescent="0.25">
      <c r="A238">
        <v>237</v>
      </c>
      <c r="B238" t="s">
        <v>93</v>
      </c>
      <c r="C238" t="s">
        <v>335</v>
      </c>
      <c r="D238" t="s">
        <v>32</v>
      </c>
      <c r="E238" t="s">
        <v>17</v>
      </c>
      <c r="F238" s="3">
        <v>60</v>
      </c>
      <c r="G238">
        <v>41</v>
      </c>
      <c r="H238">
        <v>12.5</v>
      </c>
      <c r="I238">
        <v>20</v>
      </c>
      <c r="J238" t="s">
        <v>19</v>
      </c>
      <c r="K238" t="s">
        <v>20</v>
      </c>
      <c r="L238" t="s">
        <v>148</v>
      </c>
      <c r="M238" s="3">
        <v>44</v>
      </c>
      <c r="N238" s="2">
        <v>5500</v>
      </c>
      <c r="O238" t="str">
        <f t="shared" si="6"/>
        <v>&lt;=100</v>
      </c>
      <c r="P238" t="str">
        <f t="shared" si="7"/>
        <v>&lt;= 10000$</v>
      </c>
    </row>
    <row r="239" spans="1:16" x14ac:dyDescent="0.25">
      <c r="A239">
        <v>238</v>
      </c>
      <c r="B239" t="s">
        <v>93</v>
      </c>
      <c r="C239" t="s">
        <v>335</v>
      </c>
      <c r="D239" t="s">
        <v>32</v>
      </c>
      <c r="E239" t="s">
        <v>17</v>
      </c>
      <c r="F239" s="3">
        <v>60</v>
      </c>
      <c r="G239">
        <v>41</v>
      </c>
      <c r="H239">
        <v>10.8</v>
      </c>
      <c r="I239">
        <v>20</v>
      </c>
      <c r="J239" t="s">
        <v>19</v>
      </c>
      <c r="K239" t="s">
        <v>20</v>
      </c>
      <c r="L239" t="s">
        <v>222</v>
      </c>
      <c r="M239" s="3">
        <v>42</v>
      </c>
      <c r="N239" s="2">
        <v>5500</v>
      </c>
      <c r="O239" t="str">
        <f t="shared" si="6"/>
        <v>&lt;=100</v>
      </c>
      <c r="P239" t="str">
        <f t="shared" si="7"/>
        <v>&lt;= 10000$</v>
      </c>
    </row>
    <row r="240" spans="1:16" x14ac:dyDescent="0.25">
      <c r="A240">
        <v>239</v>
      </c>
      <c r="B240" t="s">
        <v>93</v>
      </c>
      <c r="C240" t="s">
        <v>335</v>
      </c>
      <c r="D240" t="s">
        <v>32</v>
      </c>
      <c r="E240" t="s">
        <v>17</v>
      </c>
      <c r="F240" s="3">
        <v>60</v>
      </c>
      <c r="G240">
        <v>41</v>
      </c>
      <c r="H240">
        <v>15.3</v>
      </c>
      <c r="I240">
        <v>22</v>
      </c>
      <c r="J240" t="s">
        <v>19</v>
      </c>
      <c r="K240" t="s">
        <v>20</v>
      </c>
      <c r="L240" t="s">
        <v>21</v>
      </c>
      <c r="M240" s="3">
        <v>72</v>
      </c>
      <c r="N240" s="2">
        <v>5400</v>
      </c>
      <c r="O240" t="str">
        <f t="shared" si="6"/>
        <v>&lt;=100</v>
      </c>
      <c r="P240" t="str">
        <f t="shared" si="7"/>
        <v>&lt;= 10000$</v>
      </c>
    </row>
    <row r="241" spans="1:16" x14ac:dyDescent="0.25">
      <c r="A241">
        <v>240</v>
      </c>
      <c r="B241" t="s">
        <v>93</v>
      </c>
      <c r="C241" t="s">
        <v>336</v>
      </c>
      <c r="D241" t="s">
        <v>32</v>
      </c>
      <c r="E241" t="s">
        <v>17</v>
      </c>
      <c r="F241" s="3">
        <v>60</v>
      </c>
      <c r="G241">
        <v>43</v>
      </c>
      <c r="H241">
        <v>15</v>
      </c>
      <c r="I241">
        <v>22</v>
      </c>
      <c r="J241" t="s">
        <v>19</v>
      </c>
      <c r="K241" t="s">
        <v>20</v>
      </c>
      <c r="L241" t="s">
        <v>21</v>
      </c>
      <c r="M241" s="3">
        <v>72</v>
      </c>
      <c r="N241" s="2">
        <v>4950</v>
      </c>
      <c r="O241" t="str">
        <f t="shared" si="6"/>
        <v>&lt;=100</v>
      </c>
      <c r="P241" t="str">
        <f t="shared" si="7"/>
        <v>&lt;=5000$</v>
      </c>
    </row>
    <row r="242" spans="1:16" x14ac:dyDescent="0.25">
      <c r="A242">
        <v>241</v>
      </c>
      <c r="B242" t="s">
        <v>93</v>
      </c>
      <c r="C242" t="s">
        <v>335</v>
      </c>
      <c r="D242" t="s">
        <v>32</v>
      </c>
      <c r="E242" t="s">
        <v>17</v>
      </c>
      <c r="F242" s="3">
        <v>60</v>
      </c>
      <c r="G242">
        <v>41</v>
      </c>
      <c r="H242">
        <v>12.5</v>
      </c>
      <c r="I242">
        <v>20</v>
      </c>
      <c r="J242" t="s">
        <v>19</v>
      </c>
      <c r="K242" t="s">
        <v>20</v>
      </c>
      <c r="L242" t="s">
        <v>21</v>
      </c>
      <c r="M242" s="3">
        <v>42</v>
      </c>
      <c r="N242" s="2">
        <v>4800</v>
      </c>
      <c r="O242" t="str">
        <f t="shared" si="6"/>
        <v>&lt;=100</v>
      </c>
      <c r="P242" t="str">
        <f t="shared" si="7"/>
        <v>&lt;=5000$</v>
      </c>
    </row>
    <row r="243" spans="1:16" x14ac:dyDescent="0.25">
      <c r="A243">
        <v>242</v>
      </c>
      <c r="B243" t="s">
        <v>93</v>
      </c>
      <c r="C243" t="s">
        <v>335</v>
      </c>
      <c r="D243" t="s">
        <v>32</v>
      </c>
      <c r="E243" t="s">
        <v>17</v>
      </c>
      <c r="F243" s="3">
        <v>60</v>
      </c>
      <c r="G243">
        <v>41</v>
      </c>
      <c r="H243">
        <v>12.8</v>
      </c>
      <c r="I243">
        <v>22</v>
      </c>
      <c r="J243" t="s">
        <v>19</v>
      </c>
      <c r="K243" t="s">
        <v>20</v>
      </c>
      <c r="L243" t="s">
        <v>21</v>
      </c>
      <c r="M243" s="3">
        <v>42</v>
      </c>
      <c r="N243" s="2">
        <v>4800</v>
      </c>
      <c r="O243" t="str">
        <f t="shared" si="6"/>
        <v>&lt;=100</v>
      </c>
      <c r="P243" t="str">
        <f t="shared" si="7"/>
        <v>&lt;=5000$</v>
      </c>
    </row>
    <row r="244" spans="1:16" x14ac:dyDescent="0.25">
      <c r="A244">
        <v>243</v>
      </c>
      <c r="B244" t="s">
        <v>93</v>
      </c>
      <c r="C244" t="s">
        <v>337</v>
      </c>
      <c r="D244" t="s">
        <v>32</v>
      </c>
      <c r="E244" t="s">
        <v>17</v>
      </c>
      <c r="F244" s="3">
        <v>60</v>
      </c>
      <c r="G244">
        <v>39</v>
      </c>
      <c r="H244">
        <v>10.86</v>
      </c>
      <c r="I244">
        <v>20</v>
      </c>
      <c r="J244" t="s">
        <v>19</v>
      </c>
      <c r="K244" t="s">
        <v>20</v>
      </c>
      <c r="L244" t="s">
        <v>21</v>
      </c>
      <c r="M244" s="3">
        <v>42</v>
      </c>
      <c r="N244" s="2">
        <v>4500</v>
      </c>
      <c r="O244" t="str">
        <f t="shared" si="6"/>
        <v>&lt;=100</v>
      </c>
      <c r="P244" t="str">
        <f t="shared" si="7"/>
        <v>&lt;=5000$</v>
      </c>
    </row>
    <row r="245" spans="1:16" x14ac:dyDescent="0.25">
      <c r="A245">
        <v>244</v>
      </c>
      <c r="B245" t="s">
        <v>93</v>
      </c>
      <c r="C245" t="s">
        <v>338</v>
      </c>
      <c r="D245" t="s">
        <v>32</v>
      </c>
      <c r="E245" t="s">
        <v>17</v>
      </c>
      <c r="F245" s="3">
        <v>60</v>
      </c>
      <c r="G245">
        <v>40</v>
      </c>
      <c r="H245">
        <v>10.8</v>
      </c>
      <c r="I245">
        <v>20</v>
      </c>
      <c r="J245" t="s">
        <v>19</v>
      </c>
      <c r="K245" t="s">
        <v>20</v>
      </c>
      <c r="L245" t="s">
        <v>21</v>
      </c>
      <c r="M245" s="3">
        <v>42</v>
      </c>
      <c r="N245" s="2">
        <v>4200</v>
      </c>
      <c r="O245" t="str">
        <f t="shared" si="6"/>
        <v>&lt;=100</v>
      </c>
      <c r="P245" t="str">
        <f t="shared" si="7"/>
        <v>&lt;=5000$</v>
      </c>
    </row>
    <row r="246" spans="1:16" x14ac:dyDescent="0.25">
      <c r="A246">
        <v>245</v>
      </c>
      <c r="B246" t="s">
        <v>93</v>
      </c>
      <c r="C246" t="s">
        <v>338</v>
      </c>
      <c r="D246" t="s">
        <v>32</v>
      </c>
      <c r="E246" t="s">
        <v>17</v>
      </c>
      <c r="F246" s="3">
        <v>60</v>
      </c>
      <c r="G246">
        <v>40</v>
      </c>
      <c r="H246">
        <v>10.8</v>
      </c>
      <c r="I246">
        <v>20</v>
      </c>
      <c r="J246" t="s">
        <v>19</v>
      </c>
      <c r="K246" t="s">
        <v>20</v>
      </c>
      <c r="L246" t="s">
        <v>21</v>
      </c>
      <c r="M246" s="3">
        <v>42</v>
      </c>
      <c r="N246" s="2">
        <v>3900</v>
      </c>
      <c r="O246" t="str">
        <f t="shared" si="6"/>
        <v>&lt;=100</v>
      </c>
      <c r="P246" t="str">
        <f t="shared" si="7"/>
        <v>&lt;=5000$</v>
      </c>
    </row>
    <row r="247" spans="1:16" x14ac:dyDescent="0.25">
      <c r="A247">
        <v>246</v>
      </c>
      <c r="B247" t="s">
        <v>93</v>
      </c>
      <c r="C247" t="s">
        <v>335</v>
      </c>
      <c r="D247" t="s">
        <v>32</v>
      </c>
      <c r="E247" t="s">
        <v>17</v>
      </c>
      <c r="F247" s="3">
        <v>60</v>
      </c>
      <c r="G247">
        <v>41</v>
      </c>
      <c r="H247">
        <v>10.86</v>
      </c>
      <c r="I247">
        <v>20</v>
      </c>
      <c r="J247" t="s">
        <v>19</v>
      </c>
      <c r="K247" t="s">
        <v>20</v>
      </c>
      <c r="L247" t="s">
        <v>21</v>
      </c>
      <c r="M247" s="3">
        <v>42</v>
      </c>
      <c r="N247" s="2">
        <v>3800</v>
      </c>
      <c r="O247" t="str">
        <f t="shared" si="6"/>
        <v>&lt;=100</v>
      </c>
      <c r="P247" t="str">
        <f t="shared" si="7"/>
        <v>&lt;=5000$</v>
      </c>
    </row>
    <row r="248" spans="1:16" x14ac:dyDescent="0.25">
      <c r="A248">
        <v>247</v>
      </c>
      <c r="B248" t="s">
        <v>47</v>
      </c>
      <c r="C248" t="s">
        <v>339</v>
      </c>
      <c r="D248" t="s">
        <v>32</v>
      </c>
      <c r="E248" t="s">
        <v>17</v>
      </c>
      <c r="F248" s="3">
        <v>50</v>
      </c>
      <c r="G248">
        <v>39</v>
      </c>
      <c r="H248">
        <v>7.58</v>
      </c>
      <c r="I248">
        <v>20</v>
      </c>
      <c r="J248" t="s">
        <v>44</v>
      </c>
      <c r="K248" t="s">
        <v>20</v>
      </c>
      <c r="L248" t="s">
        <v>21</v>
      </c>
      <c r="M248" s="3">
        <v>70</v>
      </c>
      <c r="N248" s="2">
        <v>8900</v>
      </c>
      <c r="O248" t="str">
        <f t="shared" si="6"/>
        <v>&lt;=100</v>
      </c>
      <c r="P248" t="str">
        <f t="shared" si="7"/>
        <v>&lt;= 10000$</v>
      </c>
    </row>
    <row r="249" spans="1:16" x14ac:dyDescent="0.25">
      <c r="A249">
        <v>248</v>
      </c>
      <c r="B249" t="s">
        <v>47</v>
      </c>
      <c r="C249" t="s">
        <v>340</v>
      </c>
      <c r="D249" t="s">
        <v>32</v>
      </c>
      <c r="E249" t="s">
        <v>17</v>
      </c>
      <c r="F249" s="3">
        <v>50</v>
      </c>
      <c r="G249">
        <v>40</v>
      </c>
      <c r="H249">
        <v>8.7799999999999994</v>
      </c>
      <c r="I249">
        <v>20</v>
      </c>
      <c r="J249" t="s">
        <v>44</v>
      </c>
      <c r="K249" t="s">
        <v>20</v>
      </c>
      <c r="L249" t="s">
        <v>147</v>
      </c>
      <c r="M249" s="3">
        <v>70</v>
      </c>
      <c r="N249" s="2">
        <v>8500</v>
      </c>
      <c r="O249" t="str">
        <f t="shared" si="6"/>
        <v>&lt;=100</v>
      </c>
      <c r="P249" t="str">
        <f t="shared" si="7"/>
        <v>&lt;= 10000$</v>
      </c>
    </row>
    <row r="250" spans="1:16" x14ac:dyDescent="0.25">
      <c r="A250">
        <v>249</v>
      </c>
      <c r="B250" t="s">
        <v>47</v>
      </c>
      <c r="C250" t="s">
        <v>341</v>
      </c>
      <c r="D250" t="s">
        <v>32</v>
      </c>
      <c r="E250" t="s">
        <v>17</v>
      </c>
      <c r="F250" s="3">
        <v>50</v>
      </c>
      <c r="G250">
        <v>39</v>
      </c>
      <c r="H250">
        <v>8.5</v>
      </c>
      <c r="I250">
        <v>20</v>
      </c>
      <c r="J250" t="s">
        <v>44</v>
      </c>
      <c r="K250" t="s">
        <v>20</v>
      </c>
      <c r="L250" t="s">
        <v>232</v>
      </c>
      <c r="M250" s="3">
        <v>70</v>
      </c>
      <c r="N250" s="2">
        <v>8200</v>
      </c>
      <c r="O250" t="str">
        <f t="shared" si="6"/>
        <v>&lt;=100</v>
      </c>
      <c r="P250" t="str">
        <f t="shared" si="7"/>
        <v>&lt;= 10000$</v>
      </c>
    </row>
    <row r="251" spans="1:16" x14ac:dyDescent="0.25">
      <c r="A251">
        <v>250</v>
      </c>
      <c r="B251" t="s">
        <v>47</v>
      </c>
      <c r="C251" t="s">
        <v>339</v>
      </c>
      <c r="D251" t="s">
        <v>32</v>
      </c>
      <c r="E251" t="s">
        <v>17</v>
      </c>
      <c r="F251" s="3">
        <v>50</v>
      </c>
      <c r="G251">
        <v>39</v>
      </c>
      <c r="H251">
        <v>7.58</v>
      </c>
      <c r="I251">
        <v>20</v>
      </c>
      <c r="J251" t="s">
        <v>44</v>
      </c>
      <c r="K251" t="s">
        <v>20</v>
      </c>
      <c r="L251" t="s">
        <v>45</v>
      </c>
      <c r="M251" s="3">
        <v>70</v>
      </c>
      <c r="N251" s="2">
        <v>7500</v>
      </c>
      <c r="O251" t="str">
        <f t="shared" si="6"/>
        <v>&lt;=100</v>
      </c>
      <c r="P251" t="str">
        <f t="shared" si="7"/>
        <v>&lt;= 10000$</v>
      </c>
    </row>
    <row r="252" spans="1:16" x14ac:dyDescent="0.25">
      <c r="A252">
        <v>251</v>
      </c>
      <c r="B252" t="s">
        <v>47</v>
      </c>
      <c r="C252" t="s">
        <v>340</v>
      </c>
      <c r="D252" t="s">
        <v>32</v>
      </c>
      <c r="E252" t="s">
        <v>17</v>
      </c>
      <c r="F252" s="3">
        <v>50</v>
      </c>
      <c r="G252">
        <v>40</v>
      </c>
      <c r="H252">
        <v>8.8000000000000007</v>
      </c>
      <c r="I252">
        <v>20</v>
      </c>
      <c r="J252" t="s">
        <v>44</v>
      </c>
      <c r="K252" t="s">
        <v>20</v>
      </c>
      <c r="L252" t="s">
        <v>21</v>
      </c>
      <c r="M252" s="3">
        <v>70</v>
      </c>
      <c r="N252" s="2">
        <v>7500</v>
      </c>
      <c r="O252" t="str">
        <f t="shared" si="6"/>
        <v>&lt;=100</v>
      </c>
      <c r="P252" t="str">
        <f t="shared" si="7"/>
        <v>&lt;= 10000$</v>
      </c>
    </row>
    <row r="253" spans="1:16" x14ac:dyDescent="0.25">
      <c r="A253">
        <v>252</v>
      </c>
      <c r="B253" t="s">
        <v>47</v>
      </c>
      <c r="C253" t="s">
        <v>341</v>
      </c>
      <c r="D253" t="s">
        <v>32</v>
      </c>
      <c r="E253" t="s">
        <v>17</v>
      </c>
      <c r="F253" s="3">
        <v>50</v>
      </c>
      <c r="G253">
        <v>39</v>
      </c>
      <c r="H253">
        <v>8.5</v>
      </c>
      <c r="I253">
        <v>20</v>
      </c>
      <c r="J253" t="s">
        <v>44</v>
      </c>
      <c r="K253" t="s">
        <v>20</v>
      </c>
      <c r="L253" t="s">
        <v>21</v>
      </c>
      <c r="M253" s="3">
        <v>70</v>
      </c>
      <c r="N253" s="2">
        <v>7500</v>
      </c>
      <c r="O253" t="str">
        <f t="shared" si="6"/>
        <v>&lt;=100</v>
      </c>
      <c r="P253" t="str">
        <f t="shared" si="7"/>
        <v>&lt;= 10000$</v>
      </c>
    </row>
    <row r="254" spans="1:16" x14ac:dyDescent="0.25">
      <c r="A254">
        <v>253</v>
      </c>
      <c r="B254" t="s">
        <v>47</v>
      </c>
      <c r="C254" t="s">
        <v>339</v>
      </c>
      <c r="D254" t="s">
        <v>32</v>
      </c>
      <c r="E254" t="s">
        <v>17</v>
      </c>
      <c r="F254" s="3">
        <v>50</v>
      </c>
      <c r="G254">
        <v>39</v>
      </c>
      <c r="H254">
        <v>7.58</v>
      </c>
      <c r="I254">
        <v>20</v>
      </c>
      <c r="J254" t="s">
        <v>44</v>
      </c>
      <c r="K254" t="s">
        <v>20</v>
      </c>
      <c r="L254" t="s">
        <v>45</v>
      </c>
      <c r="M254" s="3">
        <v>43</v>
      </c>
      <c r="N254" s="2">
        <v>6800</v>
      </c>
      <c r="O254" t="str">
        <f t="shared" si="6"/>
        <v>&lt;=100</v>
      </c>
      <c r="P254" t="str">
        <f t="shared" si="7"/>
        <v>&lt;= 10000$</v>
      </c>
    </row>
    <row r="255" spans="1:16" x14ac:dyDescent="0.25">
      <c r="A255">
        <v>254</v>
      </c>
      <c r="B255" t="s">
        <v>47</v>
      </c>
      <c r="C255" t="s">
        <v>340</v>
      </c>
      <c r="D255" t="s">
        <v>32</v>
      </c>
      <c r="E255" t="s">
        <v>17</v>
      </c>
      <c r="F255" s="3">
        <v>50</v>
      </c>
      <c r="G255">
        <v>40</v>
      </c>
      <c r="H255">
        <v>8.8000000000000007</v>
      </c>
      <c r="I255">
        <v>20</v>
      </c>
      <c r="J255" t="s">
        <v>44</v>
      </c>
      <c r="K255" t="s">
        <v>20</v>
      </c>
      <c r="L255" t="s">
        <v>21</v>
      </c>
      <c r="M255" s="3">
        <v>70</v>
      </c>
      <c r="N255" s="2">
        <v>6500</v>
      </c>
      <c r="O255" t="str">
        <f t="shared" si="6"/>
        <v>&lt;=100</v>
      </c>
      <c r="P255" t="str">
        <f t="shared" si="7"/>
        <v>&lt;= 10000$</v>
      </c>
    </row>
    <row r="256" spans="1:16" x14ac:dyDescent="0.25">
      <c r="A256">
        <v>255</v>
      </c>
      <c r="B256" t="s">
        <v>47</v>
      </c>
      <c r="C256" t="s">
        <v>340</v>
      </c>
      <c r="D256" t="s">
        <v>32</v>
      </c>
      <c r="E256" t="s">
        <v>17</v>
      </c>
      <c r="F256" s="3">
        <v>50</v>
      </c>
      <c r="G256">
        <v>40</v>
      </c>
      <c r="H256">
        <v>8.5</v>
      </c>
      <c r="I256">
        <v>20</v>
      </c>
      <c r="J256" t="s">
        <v>44</v>
      </c>
      <c r="K256" t="s">
        <v>20</v>
      </c>
      <c r="L256" t="s">
        <v>232</v>
      </c>
      <c r="M256" s="3">
        <v>70</v>
      </c>
      <c r="N256" s="2">
        <v>6500</v>
      </c>
      <c r="O256" t="str">
        <f t="shared" si="6"/>
        <v>&lt;=100</v>
      </c>
      <c r="P256" t="str">
        <f t="shared" si="7"/>
        <v>&lt;= 10000$</v>
      </c>
    </row>
    <row r="257" spans="1:16" x14ac:dyDescent="0.25">
      <c r="A257">
        <v>256</v>
      </c>
      <c r="B257" t="s">
        <v>47</v>
      </c>
      <c r="C257" t="s">
        <v>339</v>
      </c>
      <c r="D257" t="s">
        <v>32</v>
      </c>
      <c r="E257" t="s">
        <v>17</v>
      </c>
      <c r="F257" s="3">
        <v>50</v>
      </c>
      <c r="G257">
        <v>39</v>
      </c>
      <c r="H257">
        <v>7.8</v>
      </c>
      <c r="I257">
        <v>20</v>
      </c>
      <c r="J257" t="s">
        <v>44</v>
      </c>
      <c r="K257" t="s">
        <v>20</v>
      </c>
      <c r="L257" t="s">
        <v>45</v>
      </c>
      <c r="M257" s="3">
        <v>70</v>
      </c>
      <c r="N257" s="2">
        <v>6500</v>
      </c>
      <c r="O257" t="str">
        <f t="shared" si="6"/>
        <v>&lt;=100</v>
      </c>
      <c r="P257" t="str">
        <f t="shared" si="7"/>
        <v>&lt;= 10000$</v>
      </c>
    </row>
    <row r="258" spans="1:16" x14ac:dyDescent="0.25">
      <c r="A258">
        <v>257</v>
      </c>
      <c r="B258" t="s">
        <v>47</v>
      </c>
      <c r="C258" t="s">
        <v>342</v>
      </c>
      <c r="D258" t="s">
        <v>32</v>
      </c>
      <c r="E258" t="s">
        <v>17</v>
      </c>
      <c r="F258" s="3">
        <v>50</v>
      </c>
      <c r="G258">
        <v>40</v>
      </c>
      <c r="H258">
        <v>7.45</v>
      </c>
      <c r="I258">
        <v>20</v>
      </c>
      <c r="J258" t="s">
        <v>44</v>
      </c>
      <c r="K258" t="s">
        <v>20</v>
      </c>
      <c r="L258" t="s">
        <v>45</v>
      </c>
      <c r="M258" s="3">
        <v>43</v>
      </c>
      <c r="N258" s="2">
        <v>6300</v>
      </c>
      <c r="O258" t="str">
        <f t="shared" si="6"/>
        <v>&lt;=100</v>
      </c>
      <c r="P258" t="str">
        <f t="shared" si="7"/>
        <v>&lt;= 10000$</v>
      </c>
    </row>
    <row r="259" spans="1:16" x14ac:dyDescent="0.25">
      <c r="A259">
        <v>258</v>
      </c>
      <c r="B259" t="s">
        <v>47</v>
      </c>
      <c r="C259" t="s">
        <v>339</v>
      </c>
      <c r="D259" t="s">
        <v>32</v>
      </c>
      <c r="E259" t="s">
        <v>17</v>
      </c>
      <c r="F259" s="3">
        <v>50</v>
      </c>
      <c r="G259">
        <v>39</v>
      </c>
      <c r="H259">
        <v>7.5</v>
      </c>
      <c r="I259">
        <v>20</v>
      </c>
      <c r="J259" t="s">
        <v>34</v>
      </c>
      <c r="K259" t="s">
        <v>20</v>
      </c>
      <c r="L259" t="s">
        <v>21</v>
      </c>
      <c r="M259" s="3">
        <v>38</v>
      </c>
      <c r="N259" s="2">
        <v>6200</v>
      </c>
      <c r="O259" t="str">
        <f t="shared" ref="O259:O322" si="8">IF($F259&lt;=100, "&lt;=100", IF($F259&lt;=200, "100-200", IF($F259&lt;=300, "200-300", IF($F259&lt;=500, "300-500", IF($F259&lt;1000, "500-1000", "1000+")))))</f>
        <v>&lt;=100</v>
      </c>
      <c r="P259" t="str">
        <f t="shared" ref="P259:P322" si="9">IF(N259&lt;=1000, "&lt;= 1000$", IF(N259&lt;=2000, " &lt;=2000$", IF(N259&lt;=5000, "&lt;=5000$", IF(N259&lt;=10000, "&lt;= 10000$", IF(N259&lt;=20000, "&lt;= 20000$", IF(N259&lt;40000, "&lt;= 40000$", "40000$ +"))))))</f>
        <v>&lt;= 10000$</v>
      </c>
    </row>
    <row r="260" spans="1:16" x14ac:dyDescent="0.25">
      <c r="A260">
        <v>259</v>
      </c>
      <c r="B260" t="s">
        <v>47</v>
      </c>
      <c r="C260" t="s">
        <v>340</v>
      </c>
      <c r="D260" t="s">
        <v>32</v>
      </c>
      <c r="E260" t="s">
        <v>17</v>
      </c>
      <c r="F260" s="3">
        <v>50</v>
      </c>
      <c r="G260">
        <v>40</v>
      </c>
      <c r="H260">
        <v>8.8000000000000007</v>
      </c>
      <c r="I260">
        <v>20</v>
      </c>
      <c r="J260" t="s">
        <v>44</v>
      </c>
      <c r="K260" t="s">
        <v>20</v>
      </c>
      <c r="L260" t="s">
        <v>169</v>
      </c>
      <c r="M260" s="3">
        <v>70</v>
      </c>
      <c r="N260" s="2">
        <v>6000</v>
      </c>
      <c r="O260" t="str">
        <f t="shared" si="8"/>
        <v>&lt;=100</v>
      </c>
      <c r="P260" t="str">
        <f t="shared" si="9"/>
        <v>&lt;= 10000$</v>
      </c>
    </row>
    <row r="261" spans="1:16" x14ac:dyDescent="0.25">
      <c r="A261">
        <v>260</v>
      </c>
      <c r="B261" t="s">
        <v>47</v>
      </c>
      <c r="C261" t="s">
        <v>343</v>
      </c>
      <c r="D261" t="s">
        <v>32</v>
      </c>
      <c r="E261" t="s">
        <v>49</v>
      </c>
      <c r="F261" s="3">
        <v>30</v>
      </c>
      <c r="G261">
        <v>42.9</v>
      </c>
      <c r="H261">
        <v>9.1999999999999993</v>
      </c>
      <c r="I261">
        <v>20</v>
      </c>
      <c r="J261" t="s">
        <v>19</v>
      </c>
      <c r="K261" t="s">
        <v>20</v>
      </c>
      <c r="L261" t="s">
        <v>45</v>
      </c>
      <c r="M261" s="3">
        <v>45</v>
      </c>
      <c r="N261" s="2">
        <v>5500</v>
      </c>
      <c r="O261" t="str">
        <f t="shared" si="8"/>
        <v>&lt;=100</v>
      </c>
      <c r="P261" t="str">
        <f t="shared" si="9"/>
        <v>&lt;= 10000$</v>
      </c>
    </row>
    <row r="262" spans="1:16" x14ac:dyDescent="0.25">
      <c r="A262">
        <v>261</v>
      </c>
      <c r="B262" t="s">
        <v>47</v>
      </c>
      <c r="C262" t="s">
        <v>343</v>
      </c>
      <c r="D262" t="s">
        <v>32</v>
      </c>
      <c r="E262" t="s">
        <v>49</v>
      </c>
      <c r="F262" s="3">
        <v>30</v>
      </c>
      <c r="G262">
        <v>42.9</v>
      </c>
      <c r="H262">
        <v>9.1999999999999993</v>
      </c>
      <c r="I262">
        <v>20</v>
      </c>
      <c r="J262" t="s">
        <v>19</v>
      </c>
      <c r="K262" t="s">
        <v>20</v>
      </c>
      <c r="L262" t="s">
        <v>45</v>
      </c>
      <c r="M262" s="3">
        <v>45</v>
      </c>
      <c r="N262" s="2">
        <v>5500</v>
      </c>
      <c r="O262" t="str">
        <f t="shared" si="8"/>
        <v>&lt;=100</v>
      </c>
      <c r="P262" t="str">
        <f t="shared" si="9"/>
        <v>&lt;= 10000$</v>
      </c>
    </row>
    <row r="263" spans="1:16" x14ac:dyDescent="0.25">
      <c r="A263">
        <v>262</v>
      </c>
      <c r="B263" t="s">
        <v>47</v>
      </c>
      <c r="C263" t="s">
        <v>344</v>
      </c>
      <c r="D263" t="s">
        <v>32</v>
      </c>
      <c r="E263" t="s">
        <v>17</v>
      </c>
      <c r="F263" s="3">
        <v>50</v>
      </c>
      <c r="G263">
        <v>38</v>
      </c>
      <c r="H263">
        <v>7.58</v>
      </c>
      <c r="I263">
        <v>20</v>
      </c>
      <c r="J263" t="s">
        <v>44</v>
      </c>
      <c r="K263" t="s">
        <v>20</v>
      </c>
      <c r="L263" t="s">
        <v>45</v>
      </c>
      <c r="M263" s="3">
        <v>70</v>
      </c>
      <c r="N263" s="2">
        <v>4500</v>
      </c>
      <c r="O263" t="str">
        <f t="shared" si="8"/>
        <v>&lt;=100</v>
      </c>
      <c r="P263" t="str">
        <f t="shared" si="9"/>
        <v>&lt;=5000$</v>
      </c>
    </row>
    <row r="264" spans="1:16" x14ac:dyDescent="0.25">
      <c r="A264">
        <v>263</v>
      </c>
      <c r="B264" t="s">
        <v>120</v>
      </c>
      <c r="C264" t="s">
        <v>345</v>
      </c>
      <c r="D264" t="s">
        <v>32</v>
      </c>
      <c r="E264" t="s">
        <v>17</v>
      </c>
      <c r="F264" s="3">
        <v>30</v>
      </c>
      <c r="G264">
        <v>43</v>
      </c>
      <c r="H264">
        <v>12.48</v>
      </c>
      <c r="I264">
        <v>23</v>
      </c>
      <c r="J264" t="s">
        <v>44</v>
      </c>
      <c r="K264" t="s">
        <v>20</v>
      </c>
      <c r="L264" t="s">
        <v>45</v>
      </c>
      <c r="M264" s="3">
        <v>68</v>
      </c>
      <c r="N264" s="2">
        <v>10000</v>
      </c>
      <c r="O264" t="str">
        <f t="shared" si="8"/>
        <v>&lt;=100</v>
      </c>
      <c r="P264" t="str">
        <f t="shared" si="9"/>
        <v>&lt;= 10000$</v>
      </c>
    </row>
    <row r="265" spans="1:16" x14ac:dyDescent="0.25">
      <c r="A265">
        <v>264</v>
      </c>
      <c r="B265" t="s">
        <v>120</v>
      </c>
      <c r="C265" t="s">
        <v>345</v>
      </c>
      <c r="D265" t="s">
        <v>32</v>
      </c>
      <c r="E265" t="s">
        <v>17</v>
      </c>
      <c r="F265" s="3">
        <v>30</v>
      </c>
      <c r="G265">
        <v>43</v>
      </c>
      <c r="H265">
        <v>12.27</v>
      </c>
      <c r="I265">
        <v>23</v>
      </c>
      <c r="J265" t="s">
        <v>19</v>
      </c>
      <c r="K265" t="s">
        <v>20</v>
      </c>
      <c r="L265" t="s">
        <v>45</v>
      </c>
      <c r="M265" s="3">
        <v>68</v>
      </c>
      <c r="N265" s="2">
        <v>9800</v>
      </c>
      <c r="O265" t="str">
        <f t="shared" si="8"/>
        <v>&lt;=100</v>
      </c>
      <c r="P265" t="str">
        <f t="shared" si="9"/>
        <v>&lt;= 10000$</v>
      </c>
    </row>
    <row r="266" spans="1:16" x14ac:dyDescent="0.25">
      <c r="A266">
        <v>265</v>
      </c>
      <c r="B266" t="s">
        <v>120</v>
      </c>
      <c r="C266" t="s">
        <v>345</v>
      </c>
      <c r="D266" t="s">
        <v>32</v>
      </c>
      <c r="E266" t="s">
        <v>17</v>
      </c>
      <c r="F266" s="3">
        <v>30</v>
      </c>
      <c r="G266">
        <v>43</v>
      </c>
      <c r="H266">
        <v>11.48</v>
      </c>
      <c r="I266">
        <v>23</v>
      </c>
      <c r="J266" t="s">
        <v>19</v>
      </c>
      <c r="K266" t="s">
        <v>20</v>
      </c>
      <c r="L266" t="s">
        <v>45</v>
      </c>
      <c r="M266" s="3">
        <v>68</v>
      </c>
      <c r="N266" s="2">
        <v>9500</v>
      </c>
      <c r="O266" t="str">
        <f t="shared" si="8"/>
        <v>&lt;=100</v>
      </c>
      <c r="P266" t="str">
        <f t="shared" si="9"/>
        <v>&lt;= 10000$</v>
      </c>
    </row>
    <row r="267" spans="1:16" x14ac:dyDescent="0.25">
      <c r="A267">
        <v>266</v>
      </c>
      <c r="B267" t="s">
        <v>120</v>
      </c>
      <c r="C267" t="s">
        <v>345</v>
      </c>
      <c r="D267" t="s">
        <v>32</v>
      </c>
      <c r="E267" t="s">
        <v>17</v>
      </c>
      <c r="F267" s="3">
        <v>30</v>
      </c>
      <c r="G267">
        <v>43</v>
      </c>
      <c r="H267">
        <v>11.48</v>
      </c>
      <c r="I267">
        <v>22</v>
      </c>
      <c r="J267" t="s">
        <v>34</v>
      </c>
      <c r="K267" t="s">
        <v>20</v>
      </c>
      <c r="L267" t="s">
        <v>45</v>
      </c>
      <c r="M267" s="3">
        <v>68</v>
      </c>
      <c r="N267" s="2">
        <v>8500</v>
      </c>
      <c r="O267" t="str">
        <f t="shared" si="8"/>
        <v>&lt;=100</v>
      </c>
      <c r="P267" t="str">
        <f t="shared" si="9"/>
        <v>&lt;= 10000$</v>
      </c>
    </row>
    <row r="268" spans="1:16" x14ac:dyDescent="0.25">
      <c r="A268">
        <v>267</v>
      </c>
      <c r="B268" t="s">
        <v>120</v>
      </c>
      <c r="C268" t="s">
        <v>345</v>
      </c>
      <c r="D268" t="s">
        <v>32</v>
      </c>
      <c r="E268" t="s">
        <v>17</v>
      </c>
      <c r="F268" s="3">
        <v>30</v>
      </c>
      <c r="G268">
        <v>43</v>
      </c>
      <c r="H268">
        <v>12.13</v>
      </c>
      <c r="I268">
        <v>23</v>
      </c>
      <c r="J268" t="s">
        <v>44</v>
      </c>
      <c r="K268" t="s">
        <v>20</v>
      </c>
      <c r="L268" t="s">
        <v>45</v>
      </c>
      <c r="M268" s="3">
        <v>68</v>
      </c>
      <c r="N268" s="2">
        <v>6200</v>
      </c>
      <c r="O268" t="str">
        <f t="shared" si="8"/>
        <v>&lt;=100</v>
      </c>
      <c r="P268" t="str">
        <f t="shared" si="9"/>
        <v>&lt;= 10000$</v>
      </c>
    </row>
    <row r="269" spans="1:16" x14ac:dyDescent="0.25">
      <c r="A269">
        <v>268</v>
      </c>
      <c r="B269" t="s">
        <v>62</v>
      </c>
      <c r="C269" t="s">
        <v>346</v>
      </c>
      <c r="D269" t="s">
        <v>32</v>
      </c>
      <c r="E269" t="s">
        <v>17</v>
      </c>
      <c r="F269" s="3">
        <v>30</v>
      </c>
      <c r="G269">
        <v>40</v>
      </c>
      <c r="H269">
        <v>10.25</v>
      </c>
      <c r="I269">
        <v>20</v>
      </c>
      <c r="J269" t="s">
        <v>19</v>
      </c>
      <c r="K269" t="s">
        <v>20</v>
      </c>
      <c r="L269" t="s">
        <v>21</v>
      </c>
      <c r="M269" s="3">
        <v>64</v>
      </c>
      <c r="N269" s="2">
        <v>2500</v>
      </c>
      <c r="O269" t="str">
        <f t="shared" si="8"/>
        <v>&lt;=100</v>
      </c>
      <c r="P269" t="str">
        <f t="shared" si="9"/>
        <v>&lt;=5000$</v>
      </c>
    </row>
    <row r="270" spans="1:16" x14ac:dyDescent="0.25">
      <c r="A270">
        <v>269</v>
      </c>
      <c r="B270" t="s">
        <v>62</v>
      </c>
      <c r="C270" t="s">
        <v>347</v>
      </c>
      <c r="D270" t="s">
        <v>16</v>
      </c>
      <c r="E270" t="s">
        <v>17</v>
      </c>
      <c r="F270" s="3">
        <v>300</v>
      </c>
      <c r="G270">
        <v>41</v>
      </c>
      <c r="H270">
        <v>13.2</v>
      </c>
      <c r="I270">
        <v>20</v>
      </c>
      <c r="J270" t="s">
        <v>19</v>
      </c>
      <c r="K270" t="s">
        <v>20</v>
      </c>
      <c r="L270" t="s">
        <v>35</v>
      </c>
      <c r="M270" s="3">
        <v>54</v>
      </c>
      <c r="N270" s="2">
        <v>2200</v>
      </c>
      <c r="O270" t="str">
        <f t="shared" si="8"/>
        <v>200-300</v>
      </c>
      <c r="P270" t="str">
        <f t="shared" si="9"/>
        <v>&lt;=5000$</v>
      </c>
    </row>
    <row r="271" spans="1:16" x14ac:dyDescent="0.25">
      <c r="A271">
        <v>270</v>
      </c>
      <c r="B271" t="s">
        <v>62</v>
      </c>
      <c r="C271" t="s">
        <v>348</v>
      </c>
      <c r="D271" t="s">
        <v>32</v>
      </c>
      <c r="E271" t="s">
        <v>17</v>
      </c>
      <c r="F271" s="3">
        <v>50</v>
      </c>
      <c r="G271">
        <v>40</v>
      </c>
      <c r="H271">
        <v>10.75</v>
      </c>
      <c r="I271">
        <v>20</v>
      </c>
      <c r="J271" t="s">
        <v>44</v>
      </c>
      <c r="K271" t="s">
        <v>20</v>
      </c>
      <c r="L271" t="s">
        <v>21</v>
      </c>
      <c r="M271" s="3">
        <v>54</v>
      </c>
      <c r="N271" s="2">
        <v>1850</v>
      </c>
      <c r="O271" t="str">
        <f t="shared" si="8"/>
        <v>&lt;=100</v>
      </c>
      <c r="P271" t="str">
        <f t="shared" si="9"/>
        <v xml:space="preserve"> &lt;=2000$</v>
      </c>
    </row>
    <row r="272" spans="1:16" x14ac:dyDescent="0.25">
      <c r="A272">
        <v>271</v>
      </c>
      <c r="B272" t="s">
        <v>62</v>
      </c>
      <c r="C272" t="s">
        <v>349</v>
      </c>
      <c r="D272" t="s">
        <v>16</v>
      </c>
      <c r="E272" t="s">
        <v>17</v>
      </c>
      <c r="F272" s="3">
        <v>300</v>
      </c>
      <c r="G272">
        <v>41</v>
      </c>
      <c r="H272">
        <v>12.65</v>
      </c>
      <c r="I272">
        <v>20</v>
      </c>
      <c r="J272" t="s">
        <v>19</v>
      </c>
      <c r="K272" t="s">
        <v>20</v>
      </c>
      <c r="L272" t="s">
        <v>21</v>
      </c>
      <c r="M272" s="3">
        <v>64</v>
      </c>
      <c r="N272" s="2">
        <v>1800</v>
      </c>
      <c r="O272" t="str">
        <f t="shared" si="8"/>
        <v>200-300</v>
      </c>
      <c r="P272" t="str">
        <f t="shared" si="9"/>
        <v xml:space="preserve"> &lt;=2000$</v>
      </c>
    </row>
    <row r="273" spans="1:16" x14ac:dyDescent="0.25">
      <c r="A273">
        <v>272</v>
      </c>
      <c r="B273" t="s">
        <v>62</v>
      </c>
      <c r="C273" t="s">
        <v>350</v>
      </c>
      <c r="D273" t="s">
        <v>32</v>
      </c>
      <c r="E273" t="s">
        <v>17</v>
      </c>
      <c r="F273" s="3">
        <v>30</v>
      </c>
      <c r="G273">
        <v>38.5</v>
      </c>
      <c r="H273">
        <v>9.6999999999999993</v>
      </c>
      <c r="I273">
        <v>20</v>
      </c>
      <c r="J273" t="s">
        <v>28</v>
      </c>
      <c r="K273" t="s">
        <v>20</v>
      </c>
      <c r="L273" t="s">
        <v>21</v>
      </c>
      <c r="M273" s="3">
        <v>64</v>
      </c>
      <c r="N273" s="2">
        <v>1800</v>
      </c>
      <c r="O273" t="str">
        <f t="shared" si="8"/>
        <v>&lt;=100</v>
      </c>
      <c r="P273" t="str">
        <f t="shared" si="9"/>
        <v xml:space="preserve"> &lt;=2000$</v>
      </c>
    </row>
    <row r="274" spans="1:16" x14ac:dyDescent="0.25">
      <c r="A274">
        <v>273</v>
      </c>
      <c r="B274" t="s">
        <v>62</v>
      </c>
      <c r="C274" t="s">
        <v>350</v>
      </c>
      <c r="D274" t="s">
        <v>32</v>
      </c>
      <c r="E274" t="s">
        <v>17</v>
      </c>
      <c r="F274" s="3">
        <v>30</v>
      </c>
      <c r="G274">
        <v>38.5</v>
      </c>
      <c r="H274">
        <v>9.3000000000000007</v>
      </c>
      <c r="I274">
        <v>20</v>
      </c>
      <c r="J274" t="s">
        <v>28</v>
      </c>
      <c r="K274" t="s">
        <v>20</v>
      </c>
      <c r="L274" t="s">
        <v>21</v>
      </c>
      <c r="M274" s="3">
        <v>42</v>
      </c>
      <c r="N274" s="2">
        <v>1600</v>
      </c>
      <c r="O274" t="str">
        <f t="shared" si="8"/>
        <v>&lt;=100</v>
      </c>
      <c r="P274" t="str">
        <f t="shared" si="9"/>
        <v xml:space="preserve"> &lt;=2000$</v>
      </c>
    </row>
    <row r="275" spans="1:16" x14ac:dyDescent="0.25">
      <c r="A275">
        <v>274</v>
      </c>
      <c r="B275" t="s">
        <v>62</v>
      </c>
      <c r="C275" t="s">
        <v>351</v>
      </c>
      <c r="D275" t="s">
        <v>16</v>
      </c>
      <c r="E275" t="s">
        <v>43</v>
      </c>
      <c r="F275" s="3">
        <v>50</v>
      </c>
      <c r="G275">
        <v>41</v>
      </c>
      <c r="H275">
        <v>12.1</v>
      </c>
      <c r="I275">
        <v>20</v>
      </c>
      <c r="J275" t="s">
        <v>19</v>
      </c>
      <c r="K275" t="s">
        <v>20</v>
      </c>
      <c r="L275" t="s">
        <v>141</v>
      </c>
      <c r="M275" s="3" t="s">
        <v>46</v>
      </c>
      <c r="N275" s="2">
        <v>1500</v>
      </c>
      <c r="O275" t="str">
        <f t="shared" si="8"/>
        <v>&lt;=100</v>
      </c>
      <c r="P275" t="str">
        <f t="shared" si="9"/>
        <v xml:space="preserve"> &lt;=2000$</v>
      </c>
    </row>
    <row r="276" spans="1:16" x14ac:dyDescent="0.25">
      <c r="A276">
        <v>275</v>
      </c>
      <c r="B276" t="s">
        <v>62</v>
      </c>
      <c r="C276" t="s">
        <v>346</v>
      </c>
      <c r="D276" t="s">
        <v>32</v>
      </c>
      <c r="E276" t="s">
        <v>17</v>
      </c>
      <c r="F276" s="3">
        <v>30</v>
      </c>
      <c r="G276">
        <v>40</v>
      </c>
      <c r="H276">
        <v>9.35</v>
      </c>
      <c r="I276">
        <v>20</v>
      </c>
      <c r="J276" t="s">
        <v>44</v>
      </c>
      <c r="K276" t="s">
        <v>20</v>
      </c>
      <c r="L276" t="s">
        <v>21</v>
      </c>
      <c r="M276" s="3">
        <v>64</v>
      </c>
      <c r="N276" s="2">
        <v>1500</v>
      </c>
      <c r="O276" t="str">
        <f t="shared" si="8"/>
        <v>&lt;=100</v>
      </c>
      <c r="P276" t="str">
        <f t="shared" si="9"/>
        <v xml:space="preserve"> &lt;=2000$</v>
      </c>
    </row>
    <row r="277" spans="1:16" x14ac:dyDescent="0.25">
      <c r="A277">
        <v>276</v>
      </c>
      <c r="B277" t="s">
        <v>62</v>
      </c>
      <c r="C277" t="s">
        <v>352</v>
      </c>
      <c r="D277" t="s">
        <v>16</v>
      </c>
      <c r="E277" t="s">
        <v>17</v>
      </c>
      <c r="F277" s="3">
        <v>300</v>
      </c>
      <c r="G277">
        <v>43</v>
      </c>
      <c r="H277">
        <v>12.75</v>
      </c>
      <c r="I277">
        <v>22</v>
      </c>
      <c r="J277" t="s">
        <v>28</v>
      </c>
      <c r="K277" t="s">
        <v>20</v>
      </c>
      <c r="L277" t="s">
        <v>21</v>
      </c>
      <c r="M277" s="3">
        <v>64</v>
      </c>
      <c r="N277" s="2">
        <v>1400</v>
      </c>
      <c r="O277" t="str">
        <f t="shared" si="8"/>
        <v>200-300</v>
      </c>
      <c r="P277" t="str">
        <f t="shared" si="9"/>
        <v xml:space="preserve"> &lt;=2000$</v>
      </c>
    </row>
    <row r="278" spans="1:16" x14ac:dyDescent="0.25">
      <c r="A278">
        <v>277</v>
      </c>
      <c r="B278" t="s">
        <v>62</v>
      </c>
      <c r="C278" t="s">
        <v>350</v>
      </c>
      <c r="D278" t="s">
        <v>32</v>
      </c>
      <c r="E278" t="s">
        <v>17</v>
      </c>
      <c r="F278" s="3">
        <v>30</v>
      </c>
      <c r="G278">
        <v>38.5</v>
      </c>
      <c r="H278">
        <v>9.6999999999999993</v>
      </c>
      <c r="I278">
        <v>20</v>
      </c>
      <c r="J278" t="s">
        <v>44</v>
      </c>
      <c r="K278" t="s">
        <v>20</v>
      </c>
      <c r="L278" t="s">
        <v>21</v>
      </c>
      <c r="M278" s="3">
        <v>64</v>
      </c>
      <c r="N278" s="2">
        <v>1150</v>
      </c>
      <c r="O278" t="str">
        <f t="shared" si="8"/>
        <v>&lt;=100</v>
      </c>
      <c r="P278" t="str">
        <f t="shared" si="9"/>
        <v xml:space="preserve"> &lt;=2000$</v>
      </c>
    </row>
    <row r="279" spans="1:16" x14ac:dyDescent="0.25">
      <c r="A279">
        <v>278</v>
      </c>
      <c r="B279" t="s">
        <v>99</v>
      </c>
      <c r="C279" t="s">
        <v>353</v>
      </c>
      <c r="D279" t="s">
        <v>32</v>
      </c>
      <c r="E279" t="s">
        <v>17</v>
      </c>
      <c r="F279" s="3">
        <v>100</v>
      </c>
      <c r="G279">
        <v>42</v>
      </c>
      <c r="H279">
        <v>12.8</v>
      </c>
      <c r="I279">
        <v>22</v>
      </c>
      <c r="J279" t="s">
        <v>19</v>
      </c>
      <c r="K279" t="s">
        <v>20</v>
      </c>
      <c r="L279" t="s">
        <v>92</v>
      </c>
      <c r="M279" s="3">
        <v>42</v>
      </c>
      <c r="N279" s="2">
        <v>6500</v>
      </c>
      <c r="O279" t="str">
        <f t="shared" si="8"/>
        <v>&lt;=100</v>
      </c>
      <c r="P279" t="str">
        <f t="shared" si="9"/>
        <v>&lt;= 10000$</v>
      </c>
    </row>
    <row r="280" spans="1:16" x14ac:dyDescent="0.25">
      <c r="A280">
        <v>279</v>
      </c>
      <c r="B280" t="s">
        <v>99</v>
      </c>
      <c r="C280" t="s">
        <v>354</v>
      </c>
      <c r="D280" t="s">
        <v>32</v>
      </c>
      <c r="E280" t="s">
        <v>17</v>
      </c>
      <c r="F280" s="3">
        <v>100</v>
      </c>
      <c r="G280">
        <v>42</v>
      </c>
      <c r="H280">
        <v>11.2</v>
      </c>
      <c r="I280">
        <v>22</v>
      </c>
      <c r="J280" t="s">
        <v>19</v>
      </c>
      <c r="K280" t="s">
        <v>20</v>
      </c>
      <c r="L280" t="s">
        <v>101</v>
      </c>
      <c r="M280" s="3">
        <v>42</v>
      </c>
      <c r="N280" s="2">
        <v>6200</v>
      </c>
      <c r="O280" t="str">
        <f t="shared" si="8"/>
        <v>&lt;=100</v>
      </c>
      <c r="P280" t="str">
        <f t="shared" si="9"/>
        <v>&lt;= 10000$</v>
      </c>
    </row>
    <row r="281" spans="1:16" x14ac:dyDescent="0.25">
      <c r="A281">
        <v>280</v>
      </c>
      <c r="B281" t="s">
        <v>99</v>
      </c>
      <c r="C281" t="s">
        <v>355</v>
      </c>
      <c r="D281" t="s">
        <v>32</v>
      </c>
      <c r="E281" t="s">
        <v>17</v>
      </c>
      <c r="F281" s="3">
        <v>100</v>
      </c>
      <c r="G281">
        <v>44</v>
      </c>
      <c r="H281">
        <v>12.8</v>
      </c>
      <c r="I281">
        <v>22</v>
      </c>
      <c r="J281" t="s">
        <v>19</v>
      </c>
      <c r="K281" t="s">
        <v>20</v>
      </c>
      <c r="L281" t="s">
        <v>45</v>
      </c>
      <c r="M281" s="3">
        <v>42</v>
      </c>
      <c r="N281" s="2">
        <v>5300</v>
      </c>
      <c r="O281" t="str">
        <f t="shared" si="8"/>
        <v>&lt;=100</v>
      </c>
      <c r="P281" t="str">
        <f t="shared" si="9"/>
        <v>&lt;= 10000$</v>
      </c>
    </row>
    <row r="282" spans="1:16" x14ac:dyDescent="0.25">
      <c r="A282">
        <v>281</v>
      </c>
      <c r="B282" t="s">
        <v>99</v>
      </c>
      <c r="C282" t="s">
        <v>356</v>
      </c>
      <c r="D282" t="s">
        <v>32</v>
      </c>
      <c r="E282" t="s">
        <v>17</v>
      </c>
      <c r="F282" s="3">
        <v>50</v>
      </c>
      <c r="G282">
        <v>42</v>
      </c>
      <c r="H282">
        <v>11.4</v>
      </c>
      <c r="I282">
        <v>22</v>
      </c>
      <c r="J282" t="s">
        <v>34</v>
      </c>
      <c r="K282" t="s">
        <v>20</v>
      </c>
      <c r="L282" t="s">
        <v>232</v>
      </c>
      <c r="M282" s="3">
        <v>42</v>
      </c>
      <c r="N282" s="2">
        <v>3900</v>
      </c>
      <c r="O282" t="str">
        <f t="shared" si="8"/>
        <v>&lt;=100</v>
      </c>
      <c r="P282" t="str">
        <f t="shared" si="9"/>
        <v>&lt;=5000$</v>
      </c>
    </row>
    <row r="283" spans="1:16" x14ac:dyDescent="0.25">
      <c r="A283">
        <v>282</v>
      </c>
      <c r="B283" t="s">
        <v>99</v>
      </c>
      <c r="C283" t="s">
        <v>357</v>
      </c>
      <c r="D283" t="s">
        <v>32</v>
      </c>
      <c r="E283" t="s">
        <v>17</v>
      </c>
      <c r="F283" s="3">
        <v>100</v>
      </c>
      <c r="G283">
        <v>42</v>
      </c>
      <c r="H283">
        <v>12.8</v>
      </c>
      <c r="I283">
        <v>22</v>
      </c>
      <c r="J283" t="s">
        <v>19</v>
      </c>
      <c r="K283" t="s">
        <v>20</v>
      </c>
      <c r="L283" t="s">
        <v>45</v>
      </c>
      <c r="M283" s="3">
        <v>38</v>
      </c>
      <c r="N283" s="2">
        <v>3600</v>
      </c>
      <c r="O283" t="str">
        <f t="shared" si="8"/>
        <v>&lt;=100</v>
      </c>
      <c r="P283" t="str">
        <f t="shared" si="9"/>
        <v>&lt;=5000$</v>
      </c>
    </row>
    <row r="284" spans="1:16" x14ac:dyDescent="0.25">
      <c r="A284">
        <v>283</v>
      </c>
      <c r="B284" t="s">
        <v>99</v>
      </c>
      <c r="C284" t="s">
        <v>358</v>
      </c>
      <c r="D284" t="s">
        <v>32</v>
      </c>
      <c r="E284" t="s">
        <v>49</v>
      </c>
      <c r="F284" s="3">
        <v>30</v>
      </c>
      <c r="G284">
        <v>44</v>
      </c>
      <c r="H284">
        <v>12.3</v>
      </c>
      <c r="I284">
        <v>22</v>
      </c>
      <c r="J284" t="s">
        <v>19</v>
      </c>
      <c r="K284" t="s">
        <v>20</v>
      </c>
      <c r="L284" t="s">
        <v>45</v>
      </c>
      <c r="M284" s="3">
        <v>50</v>
      </c>
      <c r="N284" s="2">
        <v>3500</v>
      </c>
      <c r="O284" t="str">
        <f t="shared" si="8"/>
        <v>&lt;=100</v>
      </c>
      <c r="P284" t="str">
        <f t="shared" si="9"/>
        <v>&lt;=5000$</v>
      </c>
    </row>
    <row r="285" spans="1:16" x14ac:dyDescent="0.25">
      <c r="A285">
        <v>284</v>
      </c>
      <c r="B285" t="s">
        <v>99</v>
      </c>
      <c r="C285" t="s">
        <v>359</v>
      </c>
      <c r="D285" t="s">
        <v>32</v>
      </c>
      <c r="E285" t="s">
        <v>17</v>
      </c>
      <c r="F285" s="3">
        <v>50</v>
      </c>
      <c r="G285">
        <v>39</v>
      </c>
      <c r="H285">
        <v>9.9</v>
      </c>
      <c r="I285">
        <v>19</v>
      </c>
      <c r="J285" t="s">
        <v>44</v>
      </c>
      <c r="K285" t="s">
        <v>20</v>
      </c>
      <c r="L285" t="s">
        <v>21</v>
      </c>
      <c r="M285" s="3">
        <v>42</v>
      </c>
      <c r="N285" s="2">
        <v>3500</v>
      </c>
      <c r="O285" t="str">
        <f t="shared" si="8"/>
        <v>&lt;=100</v>
      </c>
      <c r="P285" t="str">
        <f t="shared" si="9"/>
        <v>&lt;=5000$</v>
      </c>
    </row>
    <row r="286" spans="1:16" x14ac:dyDescent="0.25">
      <c r="A286">
        <v>285</v>
      </c>
      <c r="B286" t="s">
        <v>99</v>
      </c>
      <c r="C286" t="s">
        <v>360</v>
      </c>
      <c r="D286" t="s">
        <v>32</v>
      </c>
      <c r="E286" t="s">
        <v>17</v>
      </c>
      <c r="F286" s="3">
        <v>50</v>
      </c>
      <c r="G286">
        <v>40</v>
      </c>
      <c r="H286">
        <v>9.85</v>
      </c>
      <c r="I286">
        <v>20</v>
      </c>
      <c r="J286" t="s">
        <v>44</v>
      </c>
      <c r="K286" t="s">
        <v>20</v>
      </c>
      <c r="L286" t="s">
        <v>21</v>
      </c>
      <c r="M286" s="3">
        <v>42</v>
      </c>
      <c r="N286" s="2">
        <v>2750</v>
      </c>
      <c r="O286" t="str">
        <f t="shared" si="8"/>
        <v>&lt;=100</v>
      </c>
      <c r="P286" t="str">
        <f t="shared" si="9"/>
        <v>&lt;=5000$</v>
      </c>
    </row>
    <row r="287" spans="1:16" x14ac:dyDescent="0.25">
      <c r="A287">
        <v>286</v>
      </c>
      <c r="B287" t="s">
        <v>99</v>
      </c>
      <c r="C287" t="s">
        <v>360</v>
      </c>
      <c r="D287" t="s">
        <v>32</v>
      </c>
      <c r="E287" t="s">
        <v>17</v>
      </c>
      <c r="F287" s="3">
        <v>50</v>
      </c>
      <c r="G287">
        <v>40</v>
      </c>
      <c r="H287">
        <v>9.85</v>
      </c>
      <c r="I287">
        <v>20</v>
      </c>
      <c r="J287" t="s">
        <v>19</v>
      </c>
      <c r="K287" t="s">
        <v>20</v>
      </c>
      <c r="L287" t="s">
        <v>21</v>
      </c>
      <c r="M287" s="3">
        <v>38</v>
      </c>
      <c r="N287" s="2">
        <v>2700</v>
      </c>
      <c r="O287" t="str">
        <f t="shared" si="8"/>
        <v>&lt;=100</v>
      </c>
      <c r="P287" t="str">
        <f t="shared" si="9"/>
        <v>&lt;=5000$</v>
      </c>
    </row>
    <row r="288" spans="1:16" x14ac:dyDescent="0.25">
      <c r="A288">
        <v>287</v>
      </c>
      <c r="B288" t="s">
        <v>23</v>
      </c>
      <c r="C288" t="s">
        <v>361</v>
      </c>
      <c r="D288" t="s">
        <v>16</v>
      </c>
      <c r="E288" t="s">
        <v>17</v>
      </c>
      <c r="F288" s="3">
        <v>50</v>
      </c>
      <c r="G288">
        <v>42</v>
      </c>
      <c r="H288">
        <v>13.5</v>
      </c>
      <c r="I288">
        <v>20</v>
      </c>
      <c r="J288" t="s">
        <v>19</v>
      </c>
      <c r="K288" t="s">
        <v>20</v>
      </c>
      <c r="L288" t="s">
        <v>35</v>
      </c>
      <c r="M288" s="3">
        <v>60</v>
      </c>
      <c r="N288" s="2">
        <v>6800</v>
      </c>
      <c r="O288" t="str">
        <f t="shared" si="8"/>
        <v>&lt;=100</v>
      </c>
      <c r="P288" t="str">
        <f t="shared" si="9"/>
        <v>&lt;= 10000$</v>
      </c>
    </row>
    <row r="289" spans="1:16" x14ac:dyDescent="0.25">
      <c r="A289">
        <v>288</v>
      </c>
      <c r="B289" t="s">
        <v>23</v>
      </c>
      <c r="C289" t="s">
        <v>361</v>
      </c>
      <c r="D289" t="s">
        <v>16</v>
      </c>
      <c r="E289" t="s">
        <v>17</v>
      </c>
      <c r="F289" s="3">
        <v>50</v>
      </c>
      <c r="G289">
        <v>42</v>
      </c>
      <c r="H289">
        <v>13.5</v>
      </c>
      <c r="I289">
        <v>20</v>
      </c>
      <c r="J289" t="s">
        <v>19</v>
      </c>
      <c r="K289" t="s">
        <v>20</v>
      </c>
      <c r="L289" t="s">
        <v>35</v>
      </c>
      <c r="M289" s="3">
        <v>60</v>
      </c>
      <c r="N289" s="2">
        <v>6500</v>
      </c>
      <c r="O289" t="str">
        <f t="shared" si="8"/>
        <v>&lt;=100</v>
      </c>
      <c r="P289" t="str">
        <f t="shared" si="9"/>
        <v>&lt;= 10000$</v>
      </c>
    </row>
    <row r="290" spans="1:16" x14ac:dyDescent="0.25">
      <c r="A290">
        <v>289</v>
      </c>
      <c r="B290" t="s">
        <v>23</v>
      </c>
      <c r="C290" t="s">
        <v>361</v>
      </c>
      <c r="D290" t="s">
        <v>16</v>
      </c>
      <c r="E290" t="s">
        <v>17</v>
      </c>
      <c r="F290" s="3">
        <v>50</v>
      </c>
      <c r="G290">
        <v>42</v>
      </c>
      <c r="H290">
        <v>13.7</v>
      </c>
      <c r="I290">
        <v>20</v>
      </c>
      <c r="J290" t="s">
        <v>19</v>
      </c>
      <c r="K290" t="s">
        <v>20</v>
      </c>
      <c r="L290" t="s">
        <v>83</v>
      </c>
      <c r="M290" s="3">
        <v>60</v>
      </c>
      <c r="N290" s="2">
        <v>6500</v>
      </c>
      <c r="O290" t="str">
        <f t="shared" si="8"/>
        <v>&lt;=100</v>
      </c>
      <c r="P290" t="str">
        <f t="shared" si="9"/>
        <v>&lt;= 10000$</v>
      </c>
    </row>
    <row r="291" spans="1:16" x14ac:dyDescent="0.25">
      <c r="A291">
        <v>290</v>
      </c>
      <c r="B291" t="s">
        <v>23</v>
      </c>
      <c r="C291" t="s">
        <v>362</v>
      </c>
      <c r="D291" t="s">
        <v>26</v>
      </c>
      <c r="E291" t="s">
        <v>17</v>
      </c>
      <c r="F291" s="3">
        <v>600</v>
      </c>
      <c r="G291">
        <v>43.5</v>
      </c>
      <c r="H291">
        <v>14.47</v>
      </c>
      <c r="I291">
        <v>21</v>
      </c>
      <c r="J291" t="s">
        <v>28</v>
      </c>
      <c r="K291" t="s">
        <v>20</v>
      </c>
      <c r="L291" t="s">
        <v>21</v>
      </c>
      <c r="M291" s="3">
        <v>60</v>
      </c>
      <c r="N291" s="2">
        <v>5800</v>
      </c>
      <c r="O291" t="str">
        <f t="shared" si="8"/>
        <v>500-1000</v>
      </c>
      <c r="P291" t="str">
        <f t="shared" si="9"/>
        <v>&lt;= 10000$</v>
      </c>
    </row>
    <row r="292" spans="1:16" x14ac:dyDescent="0.25">
      <c r="A292">
        <v>291</v>
      </c>
      <c r="B292" t="s">
        <v>23</v>
      </c>
      <c r="C292" t="s">
        <v>362</v>
      </c>
      <c r="D292" t="s">
        <v>26</v>
      </c>
      <c r="E292" t="s">
        <v>17</v>
      </c>
      <c r="F292" s="3">
        <v>600</v>
      </c>
      <c r="G292">
        <v>43.5</v>
      </c>
      <c r="H292">
        <v>14.47</v>
      </c>
      <c r="I292">
        <v>21</v>
      </c>
      <c r="J292" t="s">
        <v>28</v>
      </c>
      <c r="K292" t="s">
        <v>20</v>
      </c>
      <c r="L292" t="s">
        <v>21</v>
      </c>
      <c r="M292" s="3">
        <v>60</v>
      </c>
      <c r="N292" s="2">
        <v>5800</v>
      </c>
      <c r="O292" t="str">
        <f t="shared" si="8"/>
        <v>500-1000</v>
      </c>
      <c r="P292" t="str">
        <f t="shared" si="9"/>
        <v>&lt;= 10000$</v>
      </c>
    </row>
    <row r="293" spans="1:16" x14ac:dyDescent="0.25">
      <c r="A293">
        <v>292</v>
      </c>
      <c r="B293" t="s">
        <v>23</v>
      </c>
      <c r="C293" t="s">
        <v>361</v>
      </c>
      <c r="D293" t="s">
        <v>16</v>
      </c>
      <c r="E293" t="s">
        <v>49</v>
      </c>
      <c r="F293" s="3">
        <v>50</v>
      </c>
      <c r="G293">
        <v>42</v>
      </c>
      <c r="H293">
        <v>14.3</v>
      </c>
      <c r="I293">
        <v>20</v>
      </c>
      <c r="J293" t="s">
        <v>19</v>
      </c>
      <c r="K293" t="s">
        <v>106</v>
      </c>
      <c r="L293" t="s">
        <v>83</v>
      </c>
      <c r="M293" s="3">
        <v>48</v>
      </c>
      <c r="N293" s="2">
        <v>5500</v>
      </c>
      <c r="O293" t="str">
        <f t="shared" si="8"/>
        <v>&lt;=100</v>
      </c>
      <c r="P293" t="str">
        <f t="shared" si="9"/>
        <v>&lt;= 10000$</v>
      </c>
    </row>
    <row r="294" spans="1:16" x14ac:dyDescent="0.25">
      <c r="A294">
        <v>293</v>
      </c>
      <c r="B294" t="s">
        <v>23</v>
      </c>
      <c r="C294" t="s">
        <v>363</v>
      </c>
      <c r="D294" t="s">
        <v>16</v>
      </c>
      <c r="E294" t="s">
        <v>49</v>
      </c>
      <c r="F294" s="3">
        <v>50</v>
      </c>
      <c r="G294">
        <v>42</v>
      </c>
      <c r="H294">
        <v>13.2</v>
      </c>
      <c r="I294">
        <v>20</v>
      </c>
      <c r="J294" t="s">
        <v>19</v>
      </c>
      <c r="K294" t="s">
        <v>106</v>
      </c>
      <c r="L294" t="s">
        <v>83</v>
      </c>
      <c r="M294" s="3">
        <v>48</v>
      </c>
      <c r="N294" s="2">
        <v>5500</v>
      </c>
      <c r="O294" t="str">
        <f t="shared" si="8"/>
        <v>&lt;=100</v>
      </c>
      <c r="P294" t="str">
        <f t="shared" si="9"/>
        <v>&lt;= 10000$</v>
      </c>
    </row>
    <row r="295" spans="1:16" x14ac:dyDescent="0.25">
      <c r="A295">
        <v>294</v>
      </c>
      <c r="B295" t="s">
        <v>23</v>
      </c>
      <c r="C295" t="s">
        <v>361</v>
      </c>
      <c r="D295" t="s">
        <v>32</v>
      </c>
      <c r="E295" t="s">
        <v>49</v>
      </c>
      <c r="F295" s="3">
        <v>50</v>
      </c>
      <c r="G295">
        <v>42</v>
      </c>
      <c r="H295">
        <v>13.7</v>
      </c>
      <c r="I295">
        <v>20</v>
      </c>
      <c r="J295" t="s">
        <v>19</v>
      </c>
      <c r="K295" t="s">
        <v>106</v>
      </c>
      <c r="L295" t="s">
        <v>35</v>
      </c>
      <c r="M295" s="3">
        <v>48</v>
      </c>
      <c r="N295" s="2">
        <v>5500</v>
      </c>
      <c r="O295" t="str">
        <f t="shared" si="8"/>
        <v>&lt;=100</v>
      </c>
      <c r="P295" t="str">
        <f t="shared" si="9"/>
        <v>&lt;= 10000$</v>
      </c>
    </row>
    <row r="296" spans="1:16" x14ac:dyDescent="0.25">
      <c r="A296">
        <v>295</v>
      </c>
      <c r="B296" t="s">
        <v>23</v>
      </c>
      <c r="C296" t="s">
        <v>361</v>
      </c>
      <c r="D296" t="s">
        <v>16</v>
      </c>
      <c r="E296" t="s">
        <v>49</v>
      </c>
      <c r="F296" s="3">
        <v>50</v>
      </c>
      <c r="G296">
        <v>42</v>
      </c>
      <c r="H296">
        <v>14.3</v>
      </c>
      <c r="I296">
        <v>20</v>
      </c>
      <c r="J296" t="s">
        <v>19</v>
      </c>
      <c r="K296" t="s">
        <v>20</v>
      </c>
      <c r="L296" t="s">
        <v>35</v>
      </c>
      <c r="M296" s="3">
        <v>48</v>
      </c>
      <c r="N296" s="2">
        <v>5400</v>
      </c>
      <c r="O296" t="str">
        <f t="shared" si="8"/>
        <v>&lt;=100</v>
      </c>
      <c r="P296" t="str">
        <f t="shared" si="9"/>
        <v>&lt;= 10000$</v>
      </c>
    </row>
    <row r="297" spans="1:16" x14ac:dyDescent="0.25">
      <c r="A297">
        <v>296</v>
      </c>
      <c r="B297" t="s">
        <v>23</v>
      </c>
      <c r="C297" t="s">
        <v>363</v>
      </c>
      <c r="D297" t="s">
        <v>16</v>
      </c>
      <c r="E297" t="s">
        <v>49</v>
      </c>
      <c r="F297" s="3">
        <v>50</v>
      </c>
      <c r="G297">
        <v>42</v>
      </c>
      <c r="H297">
        <v>14.3</v>
      </c>
      <c r="I297">
        <v>20</v>
      </c>
      <c r="J297" t="s">
        <v>19</v>
      </c>
      <c r="K297" t="s">
        <v>106</v>
      </c>
      <c r="L297" t="s">
        <v>35</v>
      </c>
      <c r="M297" s="3">
        <v>48</v>
      </c>
      <c r="N297" s="2">
        <v>5400</v>
      </c>
      <c r="O297" t="str">
        <f t="shared" si="8"/>
        <v>&lt;=100</v>
      </c>
      <c r="P297" t="str">
        <f t="shared" si="9"/>
        <v>&lt;= 10000$</v>
      </c>
    </row>
    <row r="298" spans="1:16" x14ac:dyDescent="0.25">
      <c r="A298">
        <v>297</v>
      </c>
      <c r="B298" t="s">
        <v>23</v>
      </c>
      <c r="C298" t="s">
        <v>363</v>
      </c>
      <c r="D298" t="s">
        <v>16</v>
      </c>
      <c r="E298" t="s">
        <v>49</v>
      </c>
      <c r="F298" s="3">
        <v>50</v>
      </c>
      <c r="G298">
        <v>42</v>
      </c>
      <c r="H298">
        <v>13.75</v>
      </c>
      <c r="I298">
        <v>20</v>
      </c>
      <c r="J298" t="s">
        <v>19</v>
      </c>
      <c r="K298" t="s">
        <v>106</v>
      </c>
      <c r="L298" t="s">
        <v>83</v>
      </c>
      <c r="M298" s="3">
        <v>48</v>
      </c>
      <c r="N298" s="2">
        <v>5350</v>
      </c>
      <c r="O298" t="str">
        <f t="shared" si="8"/>
        <v>&lt;=100</v>
      </c>
      <c r="P298" t="str">
        <f t="shared" si="9"/>
        <v>&lt;= 10000$</v>
      </c>
    </row>
    <row r="299" spans="1:16" x14ac:dyDescent="0.25">
      <c r="A299">
        <v>298</v>
      </c>
      <c r="B299" t="s">
        <v>23</v>
      </c>
      <c r="C299" t="s">
        <v>361</v>
      </c>
      <c r="D299" t="s">
        <v>16</v>
      </c>
      <c r="E299" t="s">
        <v>49</v>
      </c>
      <c r="F299" s="3">
        <v>50</v>
      </c>
      <c r="G299">
        <v>42</v>
      </c>
      <c r="H299">
        <v>14.3</v>
      </c>
      <c r="I299">
        <v>20</v>
      </c>
      <c r="J299" t="s">
        <v>19</v>
      </c>
      <c r="K299" t="s">
        <v>106</v>
      </c>
      <c r="L299" t="s">
        <v>35</v>
      </c>
      <c r="M299" s="3">
        <v>48</v>
      </c>
      <c r="N299" s="2">
        <v>5350</v>
      </c>
      <c r="O299" t="str">
        <f t="shared" si="8"/>
        <v>&lt;=100</v>
      </c>
      <c r="P299" t="str">
        <f t="shared" si="9"/>
        <v>&lt;= 10000$</v>
      </c>
    </row>
    <row r="300" spans="1:16" x14ac:dyDescent="0.25">
      <c r="A300">
        <v>299</v>
      </c>
      <c r="B300" t="s">
        <v>23</v>
      </c>
      <c r="C300" t="s">
        <v>361</v>
      </c>
      <c r="D300" t="s">
        <v>16</v>
      </c>
      <c r="E300" t="s">
        <v>17</v>
      </c>
      <c r="F300" s="3">
        <v>50</v>
      </c>
      <c r="G300">
        <v>42</v>
      </c>
      <c r="H300">
        <v>13.75</v>
      </c>
      <c r="I300">
        <v>20</v>
      </c>
      <c r="J300" t="s">
        <v>19</v>
      </c>
      <c r="K300" t="s">
        <v>20</v>
      </c>
      <c r="L300" t="s">
        <v>141</v>
      </c>
      <c r="M300" s="3">
        <v>48</v>
      </c>
      <c r="N300" s="2">
        <v>5300</v>
      </c>
      <c r="O300" t="str">
        <f t="shared" si="8"/>
        <v>&lt;=100</v>
      </c>
      <c r="P300" t="str">
        <f t="shared" si="9"/>
        <v>&lt;= 10000$</v>
      </c>
    </row>
    <row r="301" spans="1:16" x14ac:dyDescent="0.25">
      <c r="A301">
        <v>300</v>
      </c>
      <c r="B301" t="s">
        <v>23</v>
      </c>
      <c r="C301" t="s">
        <v>363</v>
      </c>
      <c r="D301" t="s">
        <v>16</v>
      </c>
      <c r="E301" t="s">
        <v>49</v>
      </c>
      <c r="F301" s="3">
        <v>50</v>
      </c>
      <c r="G301">
        <v>42</v>
      </c>
      <c r="H301">
        <v>14.3</v>
      </c>
      <c r="I301">
        <v>20</v>
      </c>
      <c r="J301" t="s">
        <v>19</v>
      </c>
      <c r="K301" t="s">
        <v>106</v>
      </c>
      <c r="L301" t="s">
        <v>83</v>
      </c>
      <c r="M301" s="3">
        <v>48</v>
      </c>
      <c r="N301" s="2">
        <v>5250</v>
      </c>
      <c r="O301" t="str">
        <f t="shared" si="8"/>
        <v>&lt;=100</v>
      </c>
      <c r="P301" t="str">
        <f t="shared" si="9"/>
        <v>&lt;= 10000$</v>
      </c>
    </row>
    <row r="302" spans="1:16" x14ac:dyDescent="0.25">
      <c r="A302">
        <v>301</v>
      </c>
      <c r="B302" t="s">
        <v>23</v>
      </c>
      <c r="C302" t="s">
        <v>361</v>
      </c>
      <c r="D302" t="s">
        <v>16</v>
      </c>
      <c r="E302" t="s">
        <v>49</v>
      </c>
      <c r="F302" s="3">
        <v>50</v>
      </c>
      <c r="G302">
        <v>42</v>
      </c>
      <c r="H302">
        <v>14.3</v>
      </c>
      <c r="I302">
        <v>20</v>
      </c>
      <c r="J302" t="s">
        <v>19</v>
      </c>
      <c r="K302" t="s">
        <v>106</v>
      </c>
      <c r="L302" t="s">
        <v>35</v>
      </c>
      <c r="M302" s="3">
        <v>48</v>
      </c>
      <c r="N302" s="2">
        <v>5200</v>
      </c>
      <c r="O302" t="str">
        <f t="shared" si="8"/>
        <v>&lt;=100</v>
      </c>
      <c r="P302" t="str">
        <f t="shared" si="9"/>
        <v>&lt;= 10000$</v>
      </c>
    </row>
    <row r="303" spans="1:16" x14ac:dyDescent="0.25">
      <c r="A303">
        <v>302</v>
      </c>
      <c r="B303" t="s">
        <v>23</v>
      </c>
      <c r="C303" t="s">
        <v>361</v>
      </c>
      <c r="D303" t="s">
        <v>16</v>
      </c>
      <c r="E303" t="s">
        <v>17</v>
      </c>
      <c r="F303" s="3">
        <v>50</v>
      </c>
      <c r="G303">
        <v>42</v>
      </c>
      <c r="H303">
        <v>14.3</v>
      </c>
      <c r="I303">
        <v>20</v>
      </c>
      <c r="J303" t="s">
        <v>19</v>
      </c>
      <c r="K303" t="s">
        <v>106</v>
      </c>
      <c r="L303" t="s">
        <v>35</v>
      </c>
      <c r="M303" s="3">
        <v>48</v>
      </c>
      <c r="N303" s="2">
        <v>5000</v>
      </c>
      <c r="O303" t="str">
        <f t="shared" si="8"/>
        <v>&lt;=100</v>
      </c>
      <c r="P303" t="str">
        <f t="shared" si="9"/>
        <v>&lt;=5000$</v>
      </c>
    </row>
    <row r="304" spans="1:16" x14ac:dyDescent="0.25">
      <c r="A304">
        <v>303</v>
      </c>
      <c r="B304" t="s">
        <v>23</v>
      </c>
      <c r="C304" t="s">
        <v>361</v>
      </c>
      <c r="D304" t="s">
        <v>16</v>
      </c>
      <c r="E304" t="s">
        <v>17</v>
      </c>
      <c r="F304" s="3">
        <v>50</v>
      </c>
      <c r="G304">
        <v>42</v>
      </c>
      <c r="H304">
        <v>13.7</v>
      </c>
      <c r="I304">
        <v>20</v>
      </c>
      <c r="J304" t="s">
        <v>19</v>
      </c>
      <c r="K304" t="s">
        <v>106</v>
      </c>
      <c r="L304" t="s">
        <v>35</v>
      </c>
      <c r="M304" s="3">
        <v>48</v>
      </c>
      <c r="N304" s="2">
        <v>4950</v>
      </c>
      <c r="O304" t="str">
        <f t="shared" si="8"/>
        <v>&lt;=100</v>
      </c>
      <c r="P304" t="str">
        <f t="shared" si="9"/>
        <v>&lt;=5000$</v>
      </c>
    </row>
    <row r="305" spans="1:16" x14ac:dyDescent="0.25">
      <c r="A305">
        <v>304</v>
      </c>
      <c r="B305" t="s">
        <v>23</v>
      </c>
      <c r="C305" t="s">
        <v>364</v>
      </c>
      <c r="D305" t="s">
        <v>16</v>
      </c>
      <c r="E305" t="s">
        <v>17</v>
      </c>
      <c r="F305" s="3">
        <v>100</v>
      </c>
      <c r="G305">
        <v>39</v>
      </c>
      <c r="H305">
        <v>10.6</v>
      </c>
      <c r="I305">
        <v>20</v>
      </c>
      <c r="J305" t="s">
        <v>19</v>
      </c>
      <c r="K305" t="s">
        <v>20</v>
      </c>
      <c r="L305" t="s">
        <v>21</v>
      </c>
      <c r="M305" s="3">
        <v>50</v>
      </c>
      <c r="N305" s="2">
        <v>4800</v>
      </c>
      <c r="O305" t="str">
        <f t="shared" si="8"/>
        <v>&lt;=100</v>
      </c>
      <c r="P305" t="str">
        <f t="shared" si="9"/>
        <v>&lt;=5000$</v>
      </c>
    </row>
    <row r="306" spans="1:16" x14ac:dyDescent="0.25">
      <c r="A306">
        <v>305</v>
      </c>
      <c r="B306" t="s">
        <v>23</v>
      </c>
      <c r="C306" t="s">
        <v>365</v>
      </c>
      <c r="D306" t="s">
        <v>16</v>
      </c>
      <c r="E306" t="s">
        <v>17</v>
      </c>
      <c r="F306" s="3">
        <v>150</v>
      </c>
      <c r="G306">
        <v>41.5</v>
      </c>
      <c r="H306">
        <v>13</v>
      </c>
      <c r="I306">
        <v>20</v>
      </c>
      <c r="J306" t="s">
        <v>44</v>
      </c>
      <c r="K306" t="s">
        <v>20</v>
      </c>
      <c r="L306" t="s">
        <v>21</v>
      </c>
      <c r="M306" s="3">
        <v>60</v>
      </c>
      <c r="N306" s="2">
        <v>4700</v>
      </c>
      <c r="O306" t="str">
        <f t="shared" si="8"/>
        <v>100-200</v>
      </c>
      <c r="P306" t="str">
        <f t="shared" si="9"/>
        <v>&lt;=5000$</v>
      </c>
    </row>
    <row r="307" spans="1:16" x14ac:dyDescent="0.25">
      <c r="A307">
        <v>306</v>
      </c>
      <c r="B307" t="s">
        <v>23</v>
      </c>
      <c r="C307" t="s">
        <v>361</v>
      </c>
      <c r="D307" t="s">
        <v>16</v>
      </c>
      <c r="E307" t="s">
        <v>17</v>
      </c>
      <c r="F307" s="3">
        <v>50</v>
      </c>
      <c r="G307">
        <v>42</v>
      </c>
      <c r="H307">
        <v>14.5</v>
      </c>
      <c r="I307">
        <v>20</v>
      </c>
      <c r="J307" t="s">
        <v>19</v>
      </c>
      <c r="K307" t="s">
        <v>20</v>
      </c>
      <c r="L307" t="s">
        <v>83</v>
      </c>
      <c r="M307" s="3">
        <v>60</v>
      </c>
      <c r="N307" s="2">
        <v>4500</v>
      </c>
      <c r="O307" t="str">
        <f t="shared" si="8"/>
        <v>&lt;=100</v>
      </c>
      <c r="P307" t="str">
        <f t="shared" si="9"/>
        <v>&lt;=5000$</v>
      </c>
    </row>
    <row r="308" spans="1:16" x14ac:dyDescent="0.25">
      <c r="A308">
        <v>307</v>
      </c>
      <c r="B308" t="s">
        <v>23</v>
      </c>
      <c r="C308" t="s">
        <v>361</v>
      </c>
      <c r="D308" t="s">
        <v>16</v>
      </c>
      <c r="E308" t="s">
        <v>49</v>
      </c>
      <c r="F308" s="3">
        <v>50</v>
      </c>
      <c r="G308">
        <v>42</v>
      </c>
      <c r="H308">
        <v>14.3</v>
      </c>
      <c r="I308">
        <v>20</v>
      </c>
      <c r="J308" t="s">
        <v>19</v>
      </c>
      <c r="K308" t="s">
        <v>106</v>
      </c>
      <c r="L308" t="s">
        <v>83</v>
      </c>
      <c r="M308" s="3">
        <v>48</v>
      </c>
      <c r="N308" s="2">
        <v>4500</v>
      </c>
      <c r="O308" t="str">
        <f t="shared" si="8"/>
        <v>&lt;=100</v>
      </c>
      <c r="P308" t="str">
        <f t="shared" si="9"/>
        <v>&lt;=5000$</v>
      </c>
    </row>
    <row r="309" spans="1:16" x14ac:dyDescent="0.25">
      <c r="A309">
        <v>308</v>
      </c>
      <c r="B309" t="s">
        <v>23</v>
      </c>
      <c r="C309" t="s">
        <v>361</v>
      </c>
      <c r="D309" t="s">
        <v>16</v>
      </c>
      <c r="E309" t="s">
        <v>49</v>
      </c>
      <c r="F309" s="3">
        <v>50</v>
      </c>
      <c r="G309">
        <v>42</v>
      </c>
      <c r="H309">
        <v>14.3</v>
      </c>
      <c r="I309">
        <v>20</v>
      </c>
      <c r="J309" t="s">
        <v>19</v>
      </c>
      <c r="K309" t="s">
        <v>106</v>
      </c>
      <c r="L309" t="s">
        <v>35</v>
      </c>
      <c r="M309" s="3">
        <v>48</v>
      </c>
      <c r="N309" s="2">
        <v>4500</v>
      </c>
      <c r="O309" t="str">
        <f t="shared" si="8"/>
        <v>&lt;=100</v>
      </c>
      <c r="P309" t="str">
        <f t="shared" si="9"/>
        <v>&lt;=5000$</v>
      </c>
    </row>
    <row r="310" spans="1:16" x14ac:dyDescent="0.25">
      <c r="A310">
        <v>309</v>
      </c>
      <c r="B310" t="s">
        <v>23</v>
      </c>
      <c r="C310" t="s">
        <v>361</v>
      </c>
      <c r="D310" t="s">
        <v>16</v>
      </c>
      <c r="E310" t="s">
        <v>49</v>
      </c>
      <c r="F310" s="3">
        <v>50</v>
      </c>
      <c r="G310">
        <v>42</v>
      </c>
      <c r="H310">
        <v>14.3</v>
      </c>
      <c r="I310">
        <v>20</v>
      </c>
      <c r="J310" t="s">
        <v>19</v>
      </c>
      <c r="K310" t="s">
        <v>106</v>
      </c>
      <c r="L310" t="s">
        <v>35</v>
      </c>
      <c r="M310" s="3">
        <v>48</v>
      </c>
      <c r="N310" s="2">
        <v>4300</v>
      </c>
      <c r="O310" t="str">
        <f t="shared" si="8"/>
        <v>&lt;=100</v>
      </c>
      <c r="P310" t="str">
        <f t="shared" si="9"/>
        <v>&lt;=5000$</v>
      </c>
    </row>
    <row r="311" spans="1:16" x14ac:dyDescent="0.25">
      <c r="A311">
        <v>310</v>
      </c>
      <c r="B311" t="s">
        <v>65</v>
      </c>
      <c r="C311" t="s">
        <v>366</v>
      </c>
      <c r="D311" t="s">
        <v>67</v>
      </c>
      <c r="E311" t="s">
        <v>17</v>
      </c>
      <c r="F311" s="3">
        <v>100</v>
      </c>
      <c r="G311">
        <v>41</v>
      </c>
      <c r="H311">
        <v>12</v>
      </c>
      <c r="I311">
        <v>20</v>
      </c>
      <c r="J311" t="s">
        <v>19</v>
      </c>
      <c r="K311" t="s">
        <v>20</v>
      </c>
      <c r="L311" t="s">
        <v>68</v>
      </c>
      <c r="M311" s="3">
        <v>38</v>
      </c>
      <c r="N311" s="2">
        <v>1800</v>
      </c>
      <c r="O311" t="str">
        <f t="shared" si="8"/>
        <v>&lt;=100</v>
      </c>
      <c r="P311" t="str">
        <f t="shared" si="9"/>
        <v xml:space="preserve"> &lt;=2000$</v>
      </c>
    </row>
    <row r="312" spans="1:16" x14ac:dyDescent="0.25">
      <c r="A312">
        <v>311</v>
      </c>
      <c r="B312" t="s">
        <v>65</v>
      </c>
      <c r="C312" t="s">
        <v>367</v>
      </c>
      <c r="D312" t="s">
        <v>32</v>
      </c>
      <c r="E312" t="s">
        <v>17</v>
      </c>
      <c r="F312" s="3">
        <v>100</v>
      </c>
      <c r="G312">
        <v>40</v>
      </c>
      <c r="H312">
        <v>12.9</v>
      </c>
      <c r="I312">
        <v>20</v>
      </c>
      <c r="J312" t="s">
        <v>28</v>
      </c>
      <c r="K312" t="s">
        <v>20</v>
      </c>
      <c r="L312" t="s">
        <v>21</v>
      </c>
      <c r="M312" s="3">
        <v>38</v>
      </c>
      <c r="N312" s="2">
        <v>1500</v>
      </c>
      <c r="O312" t="str">
        <f t="shared" si="8"/>
        <v>&lt;=100</v>
      </c>
      <c r="P312" t="str">
        <f t="shared" si="9"/>
        <v xml:space="preserve"> &lt;=2000$</v>
      </c>
    </row>
    <row r="313" spans="1:16" x14ac:dyDescent="0.25">
      <c r="A313">
        <v>312</v>
      </c>
      <c r="B313" t="s">
        <v>86</v>
      </c>
      <c r="C313" t="s">
        <v>368</v>
      </c>
      <c r="D313" t="s">
        <v>26</v>
      </c>
      <c r="E313" t="s">
        <v>17</v>
      </c>
      <c r="F313" s="3">
        <v>300</v>
      </c>
      <c r="G313">
        <v>44</v>
      </c>
      <c r="H313">
        <v>15.65</v>
      </c>
      <c r="I313">
        <v>24</v>
      </c>
      <c r="J313" t="s">
        <v>19</v>
      </c>
      <c r="K313" t="s">
        <v>20</v>
      </c>
      <c r="L313" t="s">
        <v>21</v>
      </c>
      <c r="M313" s="3">
        <v>72</v>
      </c>
      <c r="N313" s="2">
        <v>9600</v>
      </c>
      <c r="O313" t="str">
        <f t="shared" si="8"/>
        <v>200-300</v>
      </c>
      <c r="P313" t="str">
        <f t="shared" si="9"/>
        <v>&lt;= 10000$</v>
      </c>
    </row>
    <row r="314" spans="1:16" x14ac:dyDescent="0.25">
      <c r="A314">
        <v>313</v>
      </c>
      <c r="B314" t="s">
        <v>86</v>
      </c>
      <c r="C314" t="s">
        <v>368</v>
      </c>
      <c r="D314" t="s">
        <v>32</v>
      </c>
      <c r="E314" t="s">
        <v>17</v>
      </c>
      <c r="F314" s="3">
        <v>300</v>
      </c>
      <c r="G314">
        <v>44</v>
      </c>
      <c r="H314">
        <v>16.149999999999999</v>
      </c>
      <c r="I314">
        <v>24</v>
      </c>
      <c r="J314" t="s">
        <v>19</v>
      </c>
      <c r="K314" t="s">
        <v>20</v>
      </c>
      <c r="L314" t="s">
        <v>45</v>
      </c>
      <c r="M314" s="3">
        <v>72</v>
      </c>
      <c r="N314" s="2">
        <v>9500</v>
      </c>
      <c r="O314" t="str">
        <f t="shared" si="8"/>
        <v>200-300</v>
      </c>
      <c r="P314" t="str">
        <f t="shared" si="9"/>
        <v>&lt;= 10000$</v>
      </c>
    </row>
    <row r="315" spans="1:16" x14ac:dyDescent="0.25">
      <c r="A315">
        <v>314</v>
      </c>
      <c r="B315" t="s">
        <v>86</v>
      </c>
      <c r="C315" t="s">
        <v>369</v>
      </c>
      <c r="D315" t="s">
        <v>26</v>
      </c>
      <c r="E315" t="s">
        <v>17</v>
      </c>
      <c r="F315" s="3">
        <v>300</v>
      </c>
      <c r="G315">
        <v>44</v>
      </c>
      <c r="H315">
        <v>15.65</v>
      </c>
      <c r="I315">
        <v>24</v>
      </c>
      <c r="J315" t="s">
        <v>19</v>
      </c>
      <c r="K315" t="s">
        <v>20</v>
      </c>
      <c r="L315" t="s">
        <v>45</v>
      </c>
      <c r="M315" s="3">
        <v>72</v>
      </c>
      <c r="N315" s="2">
        <v>9500</v>
      </c>
      <c r="O315" t="str">
        <f t="shared" si="8"/>
        <v>200-300</v>
      </c>
      <c r="P315" t="str">
        <f t="shared" si="9"/>
        <v>&lt;= 10000$</v>
      </c>
    </row>
    <row r="316" spans="1:16" x14ac:dyDescent="0.25">
      <c r="A316">
        <v>315</v>
      </c>
      <c r="B316" t="s">
        <v>86</v>
      </c>
      <c r="C316" t="s">
        <v>370</v>
      </c>
      <c r="D316" t="s">
        <v>32</v>
      </c>
      <c r="E316" t="s">
        <v>17</v>
      </c>
      <c r="F316" s="3">
        <v>300</v>
      </c>
      <c r="G316">
        <v>44</v>
      </c>
      <c r="H316">
        <v>13.05</v>
      </c>
      <c r="I316">
        <v>24</v>
      </c>
      <c r="J316" t="s">
        <v>19</v>
      </c>
      <c r="K316" t="s">
        <v>20</v>
      </c>
      <c r="L316" t="s">
        <v>144</v>
      </c>
      <c r="M316" s="3">
        <v>72</v>
      </c>
      <c r="N316" s="2">
        <v>8900</v>
      </c>
      <c r="O316" t="str">
        <f t="shared" si="8"/>
        <v>200-300</v>
      </c>
      <c r="P316" t="str">
        <f t="shared" si="9"/>
        <v>&lt;= 10000$</v>
      </c>
    </row>
    <row r="317" spans="1:16" x14ac:dyDescent="0.25">
      <c r="A317">
        <v>316</v>
      </c>
      <c r="B317" t="s">
        <v>86</v>
      </c>
      <c r="C317" t="s">
        <v>370</v>
      </c>
      <c r="D317" t="s">
        <v>32</v>
      </c>
      <c r="E317" t="s">
        <v>17</v>
      </c>
      <c r="F317" s="3">
        <v>300</v>
      </c>
      <c r="G317">
        <v>44</v>
      </c>
      <c r="H317">
        <v>13.05</v>
      </c>
      <c r="I317">
        <v>22</v>
      </c>
      <c r="J317" t="s">
        <v>19</v>
      </c>
      <c r="K317" t="s">
        <v>20</v>
      </c>
      <c r="L317" t="s">
        <v>21</v>
      </c>
      <c r="M317" s="3">
        <v>72</v>
      </c>
      <c r="N317" s="2">
        <v>8900</v>
      </c>
      <c r="O317" t="str">
        <f t="shared" si="8"/>
        <v>200-300</v>
      </c>
      <c r="P317" t="str">
        <f t="shared" si="9"/>
        <v>&lt;= 10000$</v>
      </c>
    </row>
    <row r="318" spans="1:16" x14ac:dyDescent="0.25">
      <c r="A318">
        <v>317</v>
      </c>
      <c r="B318" t="s">
        <v>86</v>
      </c>
      <c r="C318" t="s">
        <v>370</v>
      </c>
      <c r="D318" t="s">
        <v>32</v>
      </c>
      <c r="E318" t="s">
        <v>17</v>
      </c>
      <c r="F318" s="3">
        <v>300</v>
      </c>
      <c r="G318">
        <v>44</v>
      </c>
      <c r="H318">
        <v>15.65</v>
      </c>
      <c r="I318">
        <v>24</v>
      </c>
      <c r="J318" t="s">
        <v>19</v>
      </c>
      <c r="K318" t="s">
        <v>20</v>
      </c>
      <c r="L318" t="s">
        <v>45</v>
      </c>
      <c r="M318" s="3">
        <v>72</v>
      </c>
      <c r="N318" s="2">
        <v>8500</v>
      </c>
      <c r="O318" t="str">
        <f t="shared" si="8"/>
        <v>200-300</v>
      </c>
      <c r="P318" t="str">
        <f t="shared" si="9"/>
        <v>&lt;= 10000$</v>
      </c>
    </row>
    <row r="319" spans="1:16" x14ac:dyDescent="0.25">
      <c r="A319">
        <v>318</v>
      </c>
      <c r="B319" t="s">
        <v>86</v>
      </c>
      <c r="C319" t="s">
        <v>368</v>
      </c>
      <c r="D319" t="s">
        <v>26</v>
      </c>
      <c r="E319" t="s">
        <v>17</v>
      </c>
      <c r="F319" s="3">
        <v>300</v>
      </c>
      <c r="G319">
        <v>44</v>
      </c>
      <c r="H319">
        <v>13.05</v>
      </c>
      <c r="I319">
        <v>24</v>
      </c>
      <c r="J319" t="s">
        <v>19</v>
      </c>
      <c r="K319" t="s">
        <v>20</v>
      </c>
      <c r="L319" t="s">
        <v>45</v>
      </c>
      <c r="M319" s="3">
        <v>72</v>
      </c>
      <c r="N319" s="2">
        <v>8500</v>
      </c>
      <c r="O319" t="str">
        <f t="shared" si="8"/>
        <v>200-300</v>
      </c>
      <c r="P319" t="str">
        <f t="shared" si="9"/>
        <v>&lt;= 10000$</v>
      </c>
    </row>
    <row r="320" spans="1:16" x14ac:dyDescent="0.25">
      <c r="A320">
        <v>319</v>
      </c>
      <c r="B320" t="s">
        <v>86</v>
      </c>
      <c r="C320" t="s">
        <v>368</v>
      </c>
      <c r="D320" t="s">
        <v>26</v>
      </c>
      <c r="E320" t="s">
        <v>49</v>
      </c>
      <c r="F320" s="3">
        <v>300</v>
      </c>
      <c r="G320">
        <v>44</v>
      </c>
      <c r="H320">
        <v>15.6</v>
      </c>
      <c r="I320">
        <v>24</v>
      </c>
      <c r="J320" t="s">
        <v>19</v>
      </c>
      <c r="K320" t="s">
        <v>20</v>
      </c>
      <c r="L320" t="s">
        <v>45</v>
      </c>
      <c r="M320" s="3">
        <v>72</v>
      </c>
      <c r="N320" s="2">
        <v>8500</v>
      </c>
      <c r="O320" t="str">
        <f t="shared" si="8"/>
        <v>200-300</v>
      </c>
      <c r="P320" t="str">
        <f t="shared" si="9"/>
        <v>&lt;= 10000$</v>
      </c>
    </row>
    <row r="321" spans="1:16" x14ac:dyDescent="0.25">
      <c r="A321">
        <v>320</v>
      </c>
      <c r="B321" t="s">
        <v>86</v>
      </c>
      <c r="C321" t="s">
        <v>370</v>
      </c>
      <c r="D321" t="s">
        <v>32</v>
      </c>
      <c r="E321" t="s">
        <v>17</v>
      </c>
      <c r="F321" s="3">
        <v>300</v>
      </c>
      <c r="G321">
        <v>44</v>
      </c>
      <c r="H321">
        <v>15.65</v>
      </c>
      <c r="I321">
        <v>24</v>
      </c>
      <c r="J321" t="s">
        <v>19</v>
      </c>
      <c r="K321" t="s">
        <v>20</v>
      </c>
      <c r="L321" t="s">
        <v>21</v>
      </c>
      <c r="M321" s="3">
        <v>72</v>
      </c>
      <c r="N321" s="2">
        <v>8000</v>
      </c>
      <c r="O321" t="str">
        <f t="shared" si="8"/>
        <v>200-300</v>
      </c>
      <c r="P321" t="str">
        <f t="shared" si="9"/>
        <v>&lt;= 10000$</v>
      </c>
    </row>
    <row r="322" spans="1:16" x14ac:dyDescent="0.25">
      <c r="A322">
        <v>321</v>
      </c>
      <c r="B322" t="s">
        <v>86</v>
      </c>
      <c r="C322" t="s">
        <v>371</v>
      </c>
      <c r="D322" t="s">
        <v>32</v>
      </c>
      <c r="E322" t="s">
        <v>49</v>
      </c>
      <c r="F322" s="3">
        <v>100</v>
      </c>
      <c r="G322">
        <v>44</v>
      </c>
      <c r="H322">
        <v>13.05</v>
      </c>
      <c r="I322">
        <v>24</v>
      </c>
      <c r="J322" t="s">
        <v>19</v>
      </c>
      <c r="K322" t="s">
        <v>20</v>
      </c>
      <c r="L322" t="s">
        <v>45</v>
      </c>
      <c r="M322" s="3">
        <v>56</v>
      </c>
      <c r="N322" s="2">
        <v>7500</v>
      </c>
      <c r="O322" t="str">
        <f t="shared" si="8"/>
        <v>&lt;=100</v>
      </c>
      <c r="P322" t="str">
        <f t="shared" si="9"/>
        <v>&lt;= 10000$</v>
      </c>
    </row>
    <row r="323" spans="1:16" x14ac:dyDescent="0.25">
      <c r="A323">
        <v>322</v>
      </c>
      <c r="B323" t="s">
        <v>86</v>
      </c>
      <c r="C323" t="s">
        <v>372</v>
      </c>
      <c r="D323" t="s">
        <v>32</v>
      </c>
      <c r="E323" t="s">
        <v>17</v>
      </c>
      <c r="F323" s="3">
        <v>300</v>
      </c>
      <c r="G323">
        <v>42</v>
      </c>
      <c r="H323">
        <v>13.2</v>
      </c>
      <c r="I323">
        <v>22</v>
      </c>
      <c r="J323" t="s">
        <v>19</v>
      </c>
      <c r="K323" t="s">
        <v>20</v>
      </c>
      <c r="L323" t="s">
        <v>21</v>
      </c>
      <c r="M323" s="3">
        <v>72</v>
      </c>
      <c r="N323" s="2">
        <v>7500</v>
      </c>
      <c r="O323" t="str">
        <f t="shared" ref="O323:O386" si="10">IF($F323&lt;=100, "&lt;=100", IF($F323&lt;=200, "100-200", IF($F323&lt;=300, "200-300", IF($F323&lt;=500, "300-500", IF($F323&lt;1000, "500-1000", "1000+")))))</f>
        <v>200-300</v>
      </c>
      <c r="P323" t="str">
        <f t="shared" ref="P323:P386" si="11">IF(N323&lt;=1000, "&lt;= 1000$", IF(N323&lt;=2000, " &lt;=2000$", IF(N323&lt;=5000, "&lt;=5000$", IF(N323&lt;=10000, "&lt;= 10000$", IF(N323&lt;=20000, "&lt;= 20000$", IF(N323&lt;40000, "&lt;= 40000$", "40000$ +"))))))</f>
        <v>&lt;= 10000$</v>
      </c>
    </row>
    <row r="324" spans="1:16" x14ac:dyDescent="0.25">
      <c r="A324">
        <v>323</v>
      </c>
      <c r="B324" t="s">
        <v>86</v>
      </c>
      <c r="C324" t="s">
        <v>368</v>
      </c>
      <c r="D324" t="s">
        <v>32</v>
      </c>
      <c r="E324" t="s">
        <v>17</v>
      </c>
      <c r="F324" s="3">
        <v>100</v>
      </c>
      <c r="G324">
        <v>44</v>
      </c>
      <c r="H324">
        <v>15.65</v>
      </c>
      <c r="I324">
        <v>24</v>
      </c>
      <c r="J324" t="s">
        <v>19</v>
      </c>
      <c r="K324" t="s">
        <v>20</v>
      </c>
      <c r="L324" t="s">
        <v>45</v>
      </c>
      <c r="M324" s="3">
        <v>72</v>
      </c>
      <c r="N324" s="2">
        <v>7500</v>
      </c>
      <c r="O324" t="str">
        <f t="shared" si="10"/>
        <v>&lt;=100</v>
      </c>
      <c r="P324" t="str">
        <f t="shared" si="11"/>
        <v>&lt;= 10000$</v>
      </c>
    </row>
    <row r="325" spans="1:16" x14ac:dyDescent="0.25">
      <c r="A325">
        <v>324</v>
      </c>
      <c r="B325" t="s">
        <v>86</v>
      </c>
      <c r="C325" t="s">
        <v>370</v>
      </c>
      <c r="D325" t="s">
        <v>32</v>
      </c>
      <c r="E325" t="s">
        <v>17</v>
      </c>
      <c r="F325" s="3">
        <v>300</v>
      </c>
      <c r="G325">
        <v>44</v>
      </c>
      <c r="H325">
        <v>15.65</v>
      </c>
      <c r="I325">
        <v>22</v>
      </c>
      <c r="J325" t="s">
        <v>19</v>
      </c>
      <c r="K325" t="s">
        <v>20</v>
      </c>
      <c r="L325" t="s">
        <v>68</v>
      </c>
      <c r="M325" s="3">
        <v>72</v>
      </c>
      <c r="N325" s="2">
        <v>7500</v>
      </c>
      <c r="O325" t="str">
        <f t="shared" si="10"/>
        <v>200-300</v>
      </c>
      <c r="P325" t="str">
        <f t="shared" si="11"/>
        <v>&lt;= 10000$</v>
      </c>
    </row>
    <row r="326" spans="1:16" x14ac:dyDescent="0.25">
      <c r="A326">
        <v>325</v>
      </c>
      <c r="B326" t="s">
        <v>86</v>
      </c>
      <c r="C326" t="s">
        <v>368</v>
      </c>
      <c r="D326" t="s">
        <v>26</v>
      </c>
      <c r="E326" t="s">
        <v>17</v>
      </c>
      <c r="F326" s="3">
        <v>300</v>
      </c>
      <c r="G326">
        <v>44</v>
      </c>
      <c r="H326">
        <v>13.05</v>
      </c>
      <c r="I326">
        <v>24</v>
      </c>
      <c r="J326" t="s">
        <v>19</v>
      </c>
      <c r="K326" t="s">
        <v>20</v>
      </c>
      <c r="L326" t="s">
        <v>238</v>
      </c>
      <c r="M326" s="3">
        <v>72</v>
      </c>
      <c r="N326" s="2">
        <v>7500</v>
      </c>
      <c r="O326" t="str">
        <f t="shared" si="10"/>
        <v>200-300</v>
      </c>
      <c r="P326" t="str">
        <f t="shared" si="11"/>
        <v>&lt;= 10000$</v>
      </c>
    </row>
    <row r="327" spans="1:16" x14ac:dyDescent="0.25">
      <c r="A327">
        <v>326</v>
      </c>
      <c r="B327" t="s">
        <v>86</v>
      </c>
      <c r="C327" t="s">
        <v>370</v>
      </c>
      <c r="D327" t="s">
        <v>32</v>
      </c>
      <c r="E327" t="s">
        <v>49</v>
      </c>
      <c r="F327" s="3">
        <v>300</v>
      </c>
      <c r="G327">
        <v>44</v>
      </c>
      <c r="H327">
        <v>15.65</v>
      </c>
      <c r="I327">
        <v>24</v>
      </c>
      <c r="J327" t="s">
        <v>19</v>
      </c>
      <c r="K327" t="s">
        <v>20</v>
      </c>
      <c r="L327" t="s">
        <v>45</v>
      </c>
      <c r="M327" s="3">
        <v>56</v>
      </c>
      <c r="N327" s="2">
        <v>7200</v>
      </c>
      <c r="O327" t="str">
        <f t="shared" si="10"/>
        <v>200-300</v>
      </c>
      <c r="P327" t="str">
        <f t="shared" si="11"/>
        <v>&lt;= 10000$</v>
      </c>
    </row>
    <row r="328" spans="1:16" x14ac:dyDescent="0.25">
      <c r="A328">
        <v>327</v>
      </c>
      <c r="B328" t="s">
        <v>86</v>
      </c>
      <c r="C328" t="s">
        <v>372</v>
      </c>
      <c r="D328" t="s">
        <v>32</v>
      </c>
      <c r="E328" t="s">
        <v>17</v>
      </c>
      <c r="F328" s="3">
        <v>300</v>
      </c>
      <c r="G328">
        <v>42</v>
      </c>
      <c r="H328">
        <v>14.5</v>
      </c>
      <c r="I328">
        <v>22</v>
      </c>
      <c r="J328" t="s">
        <v>19</v>
      </c>
      <c r="K328" t="s">
        <v>20</v>
      </c>
      <c r="L328" t="s">
        <v>21</v>
      </c>
      <c r="M328" s="3">
        <v>50</v>
      </c>
      <c r="N328" s="2">
        <v>7200</v>
      </c>
      <c r="O328" t="str">
        <f t="shared" si="10"/>
        <v>200-300</v>
      </c>
      <c r="P328" t="str">
        <f t="shared" si="11"/>
        <v>&lt;= 10000$</v>
      </c>
    </row>
    <row r="329" spans="1:16" x14ac:dyDescent="0.25">
      <c r="A329">
        <v>328</v>
      </c>
      <c r="B329" t="s">
        <v>86</v>
      </c>
      <c r="C329" t="s">
        <v>368</v>
      </c>
      <c r="D329" t="s">
        <v>32</v>
      </c>
      <c r="E329" t="s">
        <v>49</v>
      </c>
      <c r="F329" s="3">
        <v>100</v>
      </c>
      <c r="G329">
        <v>44</v>
      </c>
      <c r="H329">
        <v>13.05</v>
      </c>
      <c r="I329">
        <v>24</v>
      </c>
      <c r="J329" t="s">
        <v>19</v>
      </c>
      <c r="K329" t="s">
        <v>20</v>
      </c>
      <c r="L329" t="s">
        <v>45</v>
      </c>
      <c r="M329" s="3">
        <v>56</v>
      </c>
      <c r="N329" s="2">
        <v>6900</v>
      </c>
      <c r="O329" t="str">
        <f t="shared" si="10"/>
        <v>&lt;=100</v>
      </c>
      <c r="P329" t="str">
        <f t="shared" si="11"/>
        <v>&lt;= 10000$</v>
      </c>
    </row>
    <row r="330" spans="1:16" x14ac:dyDescent="0.25">
      <c r="A330">
        <v>329</v>
      </c>
      <c r="B330" t="s">
        <v>86</v>
      </c>
      <c r="C330" t="s">
        <v>373</v>
      </c>
      <c r="D330" t="s">
        <v>32</v>
      </c>
      <c r="E330" t="s">
        <v>17</v>
      </c>
      <c r="F330" s="3">
        <v>30</v>
      </c>
      <c r="G330">
        <v>38</v>
      </c>
      <c r="H330">
        <v>11.2</v>
      </c>
      <c r="I330">
        <v>20</v>
      </c>
      <c r="J330" t="s">
        <v>19</v>
      </c>
      <c r="K330" t="s">
        <v>20</v>
      </c>
      <c r="L330" t="s">
        <v>45</v>
      </c>
      <c r="M330" s="3">
        <v>72</v>
      </c>
      <c r="N330" s="2">
        <v>6500</v>
      </c>
      <c r="O330" t="str">
        <f t="shared" si="10"/>
        <v>&lt;=100</v>
      </c>
      <c r="P330" t="str">
        <f t="shared" si="11"/>
        <v>&lt;= 10000$</v>
      </c>
    </row>
    <row r="331" spans="1:16" x14ac:dyDescent="0.25">
      <c r="A331">
        <v>330</v>
      </c>
      <c r="B331" t="s">
        <v>86</v>
      </c>
      <c r="C331" t="s">
        <v>370</v>
      </c>
      <c r="D331" t="s">
        <v>32</v>
      </c>
      <c r="E331" t="s">
        <v>17</v>
      </c>
      <c r="F331" s="3">
        <v>300</v>
      </c>
      <c r="G331">
        <v>44</v>
      </c>
      <c r="H331">
        <v>13.05</v>
      </c>
      <c r="I331">
        <v>24</v>
      </c>
      <c r="J331" t="s">
        <v>19</v>
      </c>
      <c r="K331" t="s">
        <v>20</v>
      </c>
      <c r="L331" t="s">
        <v>45</v>
      </c>
      <c r="M331" s="3">
        <v>72</v>
      </c>
      <c r="N331" s="2">
        <v>6500</v>
      </c>
      <c r="O331" t="str">
        <f t="shared" si="10"/>
        <v>200-300</v>
      </c>
      <c r="P331" t="str">
        <f t="shared" si="11"/>
        <v>&lt;= 10000$</v>
      </c>
    </row>
    <row r="332" spans="1:16" x14ac:dyDescent="0.25">
      <c r="A332">
        <v>331</v>
      </c>
      <c r="B332" t="s">
        <v>86</v>
      </c>
      <c r="C332" t="s">
        <v>370</v>
      </c>
      <c r="D332" t="s">
        <v>32</v>
      </c>
      <c r="E332" t="s">
        <v>17</v>
      </c>
      <c r="F332" s="3">
        <v>300</v>
      </c>
      <c r="G332">
        <v>44</v>
      </c>
      <c r="H332">
        <v>15.65</v>
      </c>
      <c r="I332">
        <v>24</v>
      </c>
      <c r="J332" t="s">
        <v>19</v>
      </c>
      <c r="K332" t="s">
        <v>20</v>
      </c>
      <c r="L332" t="s">
        <v>21</v>
      </c>
      <c r="M332" s="3">
        <v>72</v>
      </c>
      <c r="N332" s="2">
        <v>6500</v>
      </c>
      <c r="O332" t="str">
        <f t="shared" si="10"/>
        <v>200-300</v>
      </c>
      <c r="P332" t="str">
        <f t="shared" si="11"/>
        <v>&lt;= 10000$</v>
      </c>
    </row>
    <row r="333" spans="1:16" x14ac:dyDescent="0.25">
      <c r="A333">
        <v>332</v>
      </c>
      <c r="B333" t="s">
        <v>86</v>
      </c>
      <c r="C333" t="s">
        <v>371</v>
      </c>
      <c r="D333" t="s">
        <v>32</v>
      </c>
      <c r="E333" t="s">
        <v>49</v>
      </c>
      <c r="F333" s="3">
        <v>100</v>
      </c>
      <c r="G333">
        <v>44</v>
      </c>
      <c r="H333">
        <v>13.05</v>
      </c>
      <c r="I333">
        <v>24</v>
      </c>
      <c r="J333" t="s">
        <v>19</v>
      </c>
      <c r="K333" t="s">
        <v>20</v>
      </c>
      <c r="L333" t="s">
        <v>45</v>
      </c>
      <c r="M333" s="3">
        <v>56</v>
      </c>
      <c r="N333" s="2">
        <v>6400</v>
      </c>
      <c r="O333" t="str">
        <f t="shared" si="10"/>
        <v>&lt;=100</v>
      </c>
      <c r="P333" t="str">
        <f t="shared" si="11"/>
        <v>&lt;= 10000$</v>
      </c>
    </row>
    <row r="334" spans="1:16" x14ac:dyDescent="0.25">
      <c r="A334">
        <v>333</v>
      </c>
      <c r="B334" t="s">
        <v>86</v>
      </c>
      <c r="C334" t="s">
        <v>374</v>
      </c>
      <c r="D334" t="s">
        <v>32</v>
      </c>
      <c r="E334" t="s">
        <v>49</v>
      </c>
      <c r="F334" s="3">
        <v>100</v>
      </c>
      <c r="G334">
        <v>44</v>
      </c>
      <c r="H334">
        <v>10.5</v>
      </c>
      <c r="I334">
        <v>24</v>
      </c>
      <c r="J334" t="s">
        <v>19</v>
      </c>
      <c r="K334" t="s">
        <v>20</v>
      </c>
      <c r="L334" t="s">
        <v>45</v>
      </c>
      <c r="M334" s="3">
        <v>56</v>
      </c>
      <c r="N334" s="2">
        <v>5800</v>
      </c>
      <c r="O334" t="str">
        <f t="shared" si="10"/>
        <v>&lt;=100</v>
      </c>
      <c r="P334" t="str">
        <f t="shared" si="11"/>
        <v>&lt;= 10000$</v>
      </c>
    </row>
    <row r="335" spans="1:16" x14ac:dyDescent="0.25">
      <c r="A335">
        <v>334</v>
      </c>
      <c r="B335" t="s">
        <v>86</v>
      </c>
      <c r="C335" t="s">
        <v>369</v>
      </c>
      <c r="D335" t="s">
        <v>32</v>
      </c>
      <c r="E335" t="s">
        <v>49</v>
      </c>
      <c r="F335" s="3">
        <v>300</v>
      </c>
      <c r="G335">
        <v>44</v>
      </c>
      <c r="H335">
        <v>13.05</v>
      </c>
      <c r="I335">
        <v>24</v>
      </c>
      <c r="J335" t="s">
        <v>19</v>
      </c>
      <c r="K335" t="s">
        <v>20</v>
      </c>
      <c r="L335" t="s">
        <v>45</v>
      </c>
      <c r="M335" s="3">
        <v>56</v>
      </c>
      <c r="N335" s="2">
        <v>5700</v>
      </c>
      <c r="O335" t="str">
        <f t="shared" si="10"/>
        <v>200-300</v>
      </c>
      <c r="P335" t="str">
        <f t="shared" si="11"/>
        <v>&lt;= 10000$</v>
      </c>
    </row>
    <row r="336" spans="1:16" x14ac:dyDescent="0.25">
      <c r="A336">
        <v>335</v>
      </c>
      <c r="B336" t="s">
        <v>86</v>
      </c>
      <c r="C336" t="s">
        <v>370</v>
      </c>
      <c r="D336" t="s">
        <v>32</v>
      </c>
      <c r="E336" t="s">
        <v>49</v>
      </c>
      <c r="F336" s="3">
        <v>300</v>
      </c>
      <c r="G336">
        <v>44</v>
      </c>
      <c r="H336">
        <v>13.05</v>
      </c>
      <c r="I336">
        <v>24</v>
      </c>
      <c r="J336" t="s">
        <v>19</v>
      </c>
      <c r="K336" t="s">
        <v>20</v>
      </c>
      <c r="L336" t="s">
        <v>45</v>
      </c>
      <c r="M336" s="3">
        <v>56</v>
      </c>
      <c r="N336" s="2">
        <v>5200</v>
      </c>
      <c r="O336" t="str">
        <f t="shared" si="10"/>
        <v>200-300</v>
      </c>
      <c r="P336" t="str">
        <f t="shared" si="11"/>
        <v>&lt;= 10000$</v>
      </c>
    </row>
    <row r="337" spans="1:16" x14ac:dyDescent="0.25">
      <c r="A337">
        <v>336</v>
      </c>
      <c r="B337" t="s">
        <v>86</v>
      </c>
      <c r="C337" t="s">
        <v>375</v>
      </c>
      <c r="D337" t="s">
        <v>32</v>
      </c>
      <c r="E337" t="s">
        <v>49</v>
      </c>
      <c r="F337" s="3">
        <v>100</v>
      </c>
      <c r="G337">
        <v>44</v>
      </c>
      <c r="H337">
        <v>10.5</v>
      </c>
      <c r="I337">
        <v>22</v>
      </c>
      <c r="J337" t="s">
        <v>19</v>
      </c>
      <c r="K337" t="s">
        <v>20</v>
      </c>
      <c r="L337" t="s">
        <v>45</v>
      </c>
      <c r="M337" s="3">
        <v>56</v>
      </c>
      <c r="N337" s="2">
        <v>3900</v>
      </c>
      <c r="O337" t="str">
        <f t="shared" si="10"/>
        <v>&lt;=100</v>
      </c>
      <c r="P337" t="str">
        <f t="shared" si="11"/>
        <v>&lt;=5000$</v>
      </c>
    </row>
    <row r="338" spans="1:16" x14ac:dyDescent="0.25">
      <c r="A338">
        <v>337</v>
      </c>
      <c r="B338" t="s">
        <v>135</v>
      </c>
      <c r="C338" t="s">
        <v>376</v>
      </c>
      <c r="D338" t="s">
        <v>16</v>
      </c>
      <c r="E338" t="s">
        <v>17</v>
      </c>
      <c r="F338" s="3">
        <v>120</v>
      </c>
      <c r="G338">
        <v>40.5</v>
      </c>
      <c r="H338">
        <v>8.3000000000000007</v>
      </c>
      <c r="I338">
        <v>22</v>
      </c>
      <c r="J338" t="s">
        <v>28</v>
      </c>
      <c r="K338" t="s">
        <v>20</v>
      </c>
      <c r="L338" t="s">
        <v>139</v>
      </c>
      <c r="M338" s="3">
        <v>45</v>
      </c>
      <c r="N338" s="2">
        <v>70000</v>
      </c>
      <c r="O338" t="str">
        <f t="shared" si="10"/>
        <v>100-200</v>
      </c>
      <c r="P338" t="str">
        <f t="shared" si="11"/>
        <v>40000$ +</v>
      </c>
    </row>
    <row r="339" spans="1:16" x14ac:dyDescent="0.25">
      <c r="A339">
        <v>338</v>
      </c>
      <c r="B339" t="s">
        <v>135</v>
      </c>
      <c r="C339" t="s">
        <v>376</v>
      </c>
      <c r="D339" t="s">
        <v>16</v>
      </c>
      <c r="E339" t="s">
        <v>17</v>
      </c>
      <c r="F339" s="3">
        <v>120</v>
      </c>
      <c r="G339">
        <v>40.5</v>
      </c>
      <c r="H339">
        <v>8.3000000000000007</v>
      </c>
      <c r="I339">
        <v>20</v>
      </c>
      <c r="J339" t="s">
        <v>28</v>
      </c>
      <c r="K339" t="s">
        <v>20</v>
      </c>
      <c r="L339" t="s">
        <v>148</v>
      </c>
      <c r="M339" s="3">
        <v>55</v>
      </c>
      <c r="N339" s="2">
        <v>67000</v>
      </c>
      <c r="O339" t="str">
        <f t="shared" si="10"/>
        <v>100-200</v>
      </c>
      <c r="P339" t="str">
        <f t="shared" si="11"/>
        <v>40000$ +</v>
      </c>
    </row>
    <row r="340" spans="1:16" x14ac:dyDescent="0.25">
      <c r="A340">
        <v>339</v>
      </c>
      <c r="B340" t="s">
        <v>135</v>
      </c>
      <c r="C340" t="s">
        <v>377</v>
      </c>
      <c r="D340" t="s">
        <v>16</v>
      </c>
      <c r="E340" t="s">
        <v>17</v>
      </c>
      <c r="F340" s="3">
        <v>120</v>
      </c>
      <c r="G340">
        <v>40.799999999999997</v>
      </c>
      <c r="H340">
        <v>8.3000000000000007</v>
      </c>
      <c r="I340">
        <v>21</v>
      </c>
      <c r="J340" t="s">
        <v>28</v>
      </c>
      <c r="K340" t="s">
        <v>20</v>
      </c>
      <c r="L340" t="s">
        <v>21</v>
      </c>
      <c r="M340" s="3">
        <v>45</v>
      </c>
      <c r="N340" s="2">
        <v>62500</v>
      </c>
      <c r="O340" t="str">
        <f t="shared" si="10"/>
        <v>100-200</v>
      </c>
      <c r="P340" t="str">
        <f t="shared" si="11"/>
        <v>40000$ +</v>
      </c>
    </row>
    <row r="341" spans="1:16" x14ac:dyDescent="0.25">
      <c r="A341">
        <v>340</v>
      </c>
      <c r="B341" t="s">
        <v>135</v>
      </c>
      <c r="C341" t="s">
        <v>377</v>
      </c>
      <c r="D341" t="s">
        <v>16</v>
      </c>
      <c r="E341" t="s">
        <v>17</v>
      </c>
      <c r="F341" s="3">
        <v>120</v>
      </c>
      <c r="G341">
        <v>40.799999999999997</v>
      </c>
      <c r="H341">
        <v>8.3000000000000007</v>
      </c>
      <c r="I341">
        <v>20</v>
      </c>
      <c r="J341" t="s">
        <v>28</v>
      </c>
      <c r="K341" t="s">
        <v>20</v>
      </c>
      <c r="L341" t="s">
        <v>21</v>
      </c>
      <c r="M341" s="3">
        <v>45</v>
      </c>
      <c r="N341" s="2">
        <v>57000</v>
      </c>
      <c r="O341" t="str">
        <f t="shared" si="10"/>
        <v>100-200</v>
      </c>
      <c r="P341" t="str">
        <f t="shared" si="11"/>
        <v>40000$ +</v>
      </c>
    </row>
    <row r="342" spans="1:16" x14ac:dyDescent="0.25">
      <c r="A342">
        <v>341</v>
      </c>
      <c r="B342" t="s">
        <v>135</v>
      </c>
      <c r="C342" t="s">
        <v>377</v>
      </c>
      <c r="D342" t="s">
        <v>16</v>
      </c>
      <c r="E342" t="s">
        <v>17</v>
      </c>
      <c r="F342" s="3">
        <v>120</v>
      </c>
      <c r="G342">
        <v>40.799999999999997</v>
      </c>
      <c r="H342">
        <v>8.3000000000000007</v>
      </c>
      <c r="I342">
        <v>20</v>
      </c>
      <c r="J342" t="s">
        <v>28</v>
      </c>
      <c r="K342" t="s">
        <v>20</v>
      </c>
      <c r="L342" t="s">
        <v>21</v>
      </c>
      <c r="M342" s="3">
        <v>45</v>
      </c>
      <c r="N342" s="2">
        <v>52000</v>
      </c>
      <c r="O342" t="str">
        <f t="shared" si="10"/>
        <v>100-200</v>
      </c>
      <c r="P342" t="str">
        <f t="shared" si="11"/>
        <v>40000$ +</v>
      </c>
    </row>
    <row r="343" spans="1:16" x14ac:dyDescent="0.25">
      <c r="A343">
        <v>342</v>
      </c>
      <c r="B343" t="s">
        <v>135</v>
      </c>
      <c r="C343" t="s">
        <v>377</v>
      </c>
      <c r="D343" t="s">
        <v>16</v>
      </c>
      <c r="E343" t="s">
        <v>17</v>
      </c>
      <c r="F343" s="3">
        <v>120</v>
      </c>
      <c r="G343">
        <v>40.799999999999997</v>
      </c>
      <c r="H343">
        <v>8.3000000000000007</v>
      </c>
      <c r="I343">
        <v>21</v>
      </c>
      <c r="J343" t="s">
        <v>28</v>
      </c>
      <c r="K343" t="s">
        <v>20</v>
      </c>
      <c r="L343" t="s">
        <v>21</v>
      </c>
      <c r="M343" s="3">
        <v>55</v>
      </c>
      <c r="N343" s="2">
        <v>51000</v>
      </c>
      <c r="O343" t="str">
        <f t="shared" si="10"/>
        <v>100-200</v>
      </c>
      <c r="P343" t="str">
        <f t="shared" si="11"/>
        <v>40000$ +</v>
      </c>
    </row>
    <row r="344" spans="1:16" x14ac:dyDescent="0.25">
      <c r="A344">
        <v>343</v>
      </c>
      <c r="B344" t="s">
        <v>135</v>
      </c>
      <c r="C344" t="s">
        <v>376</v>
      </c>
      <c r="D344" t="s">
        <v>16</v>
      </c>
      <c r="E344" t="s">
        <v>17</v>
      </c>
      <c r="F344" s="3">
        <v>120</v>
      </c>
      <c r="G344">
        <v>40.5</v>
      </c>
      <c r="H344">
        <v>8.3000000000000007</v>
      </c>
      <c r="I344">
        <v>22</v>
      </c>
      <c r="J344" t="s">
        <v>28</v>
      </c>
      <c r="K344" t="s">
        <v>20</v>
      </c>
      <c r="L344" t="s">
        <v>21</v>
      </c>
      <c r="M344" s="3">
        <v>45</v>
      </c>
      <c r="N344" s="2">
        <v>51000</v>
      </c>
      <c r="O344" t="str">
        <f t="shared" si="10"/>
        <v>100-200</v>
      </c>
      <c r="P344" t="str">
        <f t="shared" si="11"/>
        <v>40000$ +</v>
      </c>
    </row>
    <row r="345" spans="1:16" x14ac:dyDescent="0.25">
      <c r="A345">
        <v>344</v>
      </c>
      <c r="B345" t="s">
        <v>135</v>
      </c>
      <c r="C345" t="s">
        <v>376</v>
      </c>
      <c r="D345" t="s">
        <v>16</v>
      </c>
      <c r="E345" t="s">
        <v>17</v>
      </c>
      <c r="F345" s="3">
        <v>120</v>
      </c>
      <c r="G345">
        <v>40.5</v>
      </c>
      <c r="H345">
        <v>8.3000000000000007</v>
      </c>
      <c r="I345">
        <v>20</v>
      </c>
      <c r="J345" t="s">
        <v>28</v>
      </c>
      <c r="K345" t="s">
        <v>20</v>
      </c>
      <c r="L345" t="s">
        <v>21</v>
      </c>
      <c r="M345" s="3">
        <v>45</v>
      </c>
      <c r="N345" s="2">
        <v>49800</v>
      </c>
      <c r="O345" t="str">
        <f t="shared" si="10"/>
        <v>100-200</v>
      </c>
      <c r="P345" t="str">
        <f t="shared" si="11"/>
        <v>40000$ +</v>
      </c>
    </row>
    <row r="346" spans="1:16" x14ac:dyDescent="0.25">
      <c r="A346">
        <v>345</v>
      </c>
      <c r="B346" t="s">
        <v>135</v>
      </c>
      <c r="C346" t="s">
        <v>377</v>
      </c>
      <c r="D346" t="s">
        <v>16</v>
      </c>
      <c r="E346" t="s">
        <v>17</v>
      </c>
      <c r="F346" s="3">
        <v>120</v>
      </c>
      <c r="G346">
        <v>40.799999999999997</v>
      </c>
      <c r="H346">
        <v>8.3000000000000007</v>
      </c>
      <c r="I346">
        <v>20</v>
      </c>
      <c r="J346" t="s">
        <v>28</v>
      </c>
      <c r="K346" t="s">
        <v>20</v>
      </c>
      <c r="L346" t="s">
        <v>21</v>
      </c>
      <c r="M346" s="3">
        <v>45</v>
      </c>
      <c r="N346" s="2">
        <v>47000</v>
      </c>
      <c r="O346" t="str">
        <f t="shared" si="10"/>
        <v>100-200</v>
      </c>
      <c r="P346" t="str">
        <f t="shared" si="11"/>
        <v>40000$ +</v>
      </c>
    </row>
    <row r="347" spans="1:16" x14ac:dyDescent="0.25">
      <c r="A347">
        <v>346</v>
      </c>
      <c r="B347" t="s">
        <v>135</v>
      </c>
      <c r="C347" t="s">
        <v>377</v>
      </c>
      <c r="D347" t="s">
        <v>16</v>
      </c>
      <c r="E347" t="s">
        <v>17</v>
      </c>
      <c r="F347" s="3">
        <v>120</v>
      </c>
      <c r="G347">
        <v>40.799999999999997</v>
      </c>
      <c r="H347">
        <v>8.3000000000000007</v>
      </c>
      <c r="I347">
        <v>20</v>
      </c>
      <c r="J347" t="s">
        <v>28</v>
      </c>
      <c r="K347" t="s">
        <v>20</v>
      </c>
      <c r="L347" t="s">
        <v>139</v>
      </c>
      <c r="M347" s="3">
        <v>48</v>
      </c>
      <c r="N347" s="2">
        <v>44500</v>
      </c>
      <c r="O347" t="str">
        <f t="shared" si="10"/>
        <v>100-200</v>
      </c>
      <c r="P347" t="str">
        <f t="shared" si="11"/>
        <v>40000$ +</v>
      </c>
    </row>
    <row r="348" spans="1:16" x14ac:dyDescent="0.25">
      <c r="A348">
        <v>347</v>
      </c>
      <c r="B348" t="s">
        <v>135</v>
      </c>
      <c r="C348" t="s">
        <v>376</v>
      </c>
      <c r="D348" t="s">
        <v>16</v>
      </c>
      <c r="E348" t="s">
        <v>17</v>
      </c>
      <c r="F348" s="3">
        <v>120</v>
      </c>
      <c r="G348">
        <v>40.5</v>
      </c>
      <c r="H348">
        <v>8.3000000000000007</v>
      </c>
      <c r="I348">
        <v>20</v>
      </c>
      <c r="J348" t="s">
        <v>28</v>
      </c>
      <c r="K348" t="s">
        <v>20</v>
      </c>
      <c r="L348" t="s">
        <v>21</v>
      </c>
      <c r="M348" s="3">
        <v>55</v>
      </c>
      <c r="N348" s="2">
        <v>44000</v>
      </c>
      <c r="O348" t="str">
        <f t="shared" si="10"/>
        <v>100-200</v>
      </c>
      <c r="P348" t="str">
        <f t="shared" si="11"/>
        <v>40000$ +</v>
      </c>
    </row>
    <row r="349" spans="1:16" x14ac:dyDescent="0.25">
      <c r="A349">
        <v>348</v>
      </c>
      <c r="B349" t="s">
        <v>135</v>
      </c>
      <c r="C349" t="s">
        <v>376</v>
      </c>
      <c r="D349" t="s">
        <v>16</v>
      </c>
      <c r="E349" t="s">
        <v>17</v>
      </c>
      <c r="F349" s="3">
        <v>120</v>
      </c>
      <c r="G349">
        <v>40.5</v>
      </c>
      <c r="H349">
        <v>8.3000000000000007</v>
      </c>
      <c r="I349">
        <v>21</v>
      </c>
      <c r="J349" t="s">
        <v>28</v>
      </c>
      <c r="K349" t="s">
        <v>20</v>
      </c>
      <c r="L349" t="s">
        <v>21</v>
      </c>
      <c r="M349" s="3">
        <v>45</v>
      </c>
      <c r="N349" s="2">
        <v>40000</v>
      </c>
      <c r="O349" t="str">
        <f t="shared" si="10"/>
        <v>100-200</v>
      </c>
      <c r="P349" t="str">
        <f t="shared" si="11"/>
        <v>40000$ +</v>
      </c>
    </row>
    <row r="350" spans="1:16" x14ac:dyDescent="0.25">
      <c r="A350">
        <v>349</v>
      </c>
      <c r="B350" t="s">
        <v>135</v>
      </c>
      <c r="C350" t="s">
        <v>376</v>
      </c>
      <c r="D350" t="s">
        <v>16</v>
      </c>
      <c r="E350" t="s">
        <v>17</v>
      </c>
      <c r="F350" s="3">
        <v>120</v>
      </c>
      <c r="G350">
        <v>40.5</v>
      </c>
      <c r="H350">
        <v>8.3000000000000007</v>
      </c>
      <c r="I350">
        <v>20</v>
      </c>
      <c r="J350" t="s">
        <v>28</v>
      </c>
      <c r="K350" t="s">
        <v>20</v>
      </c>
      <c r="L350" t="s">
        <v>21</v>
      </c>
      <c r="M350" s="3">
        <v>45</v>
      </c>
      <c r="N350" s="2">
        <v>39000</v>
      </c>
      <c r="O350" t="str">
        <f t="shared" si="10"/>
        <v>100-200</v>
      </c>
      <c r="P350" t="str">
        <f t="shared" si="11"/>
        <v>&lt;= 40000$</v>
      </c>
    </row>
    <row r="351" spans="1:16" x14ac:dyDescent="0.25">
      <c r="A351">
        <v>350</v>
      </c>
      <c r="B351" t="s">
        <v>135</v>
      </c>
      <c r="C351" t="s">
        <v>377</v>
      </c>
      <c r="D351" t="s">
        <v>16</v>
      </c>
      <c r="E351" t="s">
        <v>17</v>
      </c>
      <c r="F351" s="3">
        <v>120</v>
      </c>
      <c r="G351">
        <v>40.799999999999997</v>
      </c>
      <c r="H351">
        <v>8.3000000000000007</v>
      </c>
      <c r="I351">
        <v>20</v>
      </c>
      <c r="J351" t="s">
        <v>28</v>
      </c>
      <c r="K351" t="s">
        <v>20</v>
      </c>
      <c r="L351" t="s">
        <v>167</v>
      </c>
      <c r="M351" s="3">
        <v>45</v>
      </c>
      <c r="N351" s="2">
        <v>38000</v>
      </c>
      <c r="O351" t="str">
        <f t="shared" si="10"/>
        <v>100-200</v>
      </c>
      <c r="P351" t="str">
        <f t="shared" si="11"/>
        <v>&lt;= 40000$</v>
      </c>
    </row>
    <row r="352" spans="1:16" x14ac:dyDescent="0.25">
      <c r="A352">
        <v>351</v>
      </c>
      <c r="B352" t="s">
        <v>135</v>
      </c>
      <c r="C352" t="s">
        <v>377</v>
      </c>
      <c r="D352" t="s">
        <v>16</v>
      </c>
      <c r="E352" t="s">
        <v>17</v>
      </c>
      <c r="F352" s="3">
        <v>120</v>
      </c>
      <c r="G352">
        <v>40.799999999999997</v>
      </c>
      <c r="H352">
        <v>8.3000000000000007</v>
      </c>
      <c r="I352">
        <v>20</v>
      </c>
      <c r="J352" t="s">
        <v>28</v>
      </c>
      <c r="K352" t="s">
        <v>20</v>
      </c>
      <c r="L352" t="s">
        <v>21</v>
      </c>
      <c r="M352" s="3">
        <v>45</v>
      </c>
      <c r="N352" s="2">
        <v>38000</v>
      </c>
      <c r="O352" t="str">
        <f t="shared" si="10"/>
        <v>100-200</v>
      </c>
      <c r="P352" t="str">
        <f t="shared" si="11"/>
        <v>&lt;= 40000$</v>
      </c>
    </row>
    <row r="353" spans="1:16" x14ac:dyDescent="0.25">
      <c r="A353">
        <v>352</v>
      </c>
      <c r="B353" t="s">
        <v>135</v>
      </c>
      <c r="C353" t="s">
        <v>378</v>
      </c>
      <c r="D353" t="s">
        <v>16</v>
      </c>
      <c r="E353" t="s">
        <v>17</v>
      </c>
      <c r="F353" s="3">
        <v>120</v>
      </c>
      <c r="G353">
        <v>40</v>
      </c>
      <c r="H353">
        <v>8.3000000000000007</v>
      </c>
      <c r="I353">
        <v>22</v>
      </c>
      <c r="J353" t="s">
        <v>28</v>
      </c>
      <c r="K353" t="s">
        <v>20</v>
      </c>
      <c r="L353" t="s">
        <v>21</v>
      </c>
      <c r="M353" s="3">
        <v>45</v>
      </c>
      <c r="N353" s="2">
        <v>36000</v>
      </c>
      <c r="O353" t="str">
        <f t="shared" si="10"/>
        <v>100-200</v>
      </c>
      <c r="P353" t="str">
        <f t="shared" si="11"/>
        <v>&lt;= 40000$</v>
      </c>
    </row>
    <row r="354" spans="1:16" x14ac:dyDescent="0.25">
      <c r="A354">
        <v>353</v>
      </c>
      <c r="B354" t="s">
        <v>135</v>
      </c>
      <c r="C354" t="s">
        <v>376</v>
      </c>
      <c r="D354" t="s">
        <v>16</v>
      </c>
      <c r="E354" t="s">
        <v>17</v>
      </c>
      <c r="F354" s="3">
        <v>120</v>
      </c>
      <c r="G354">
        <v>40.5</v>
      </c>
      <c r="H354">
        <v>8.3000000000000007</v>
      </c>
      <c r="I354">
        <v>20</v>
      </c>
      <c r="J354" t="s">
        <v>28</v>
      </c>
      <c r="K354" t="s">
        <v>20</v>
      </c>
      <c r="L354" t="s">
        <v>21</v>
      </c>
      <c r="M354" s="3">
        <v>45</v>
      </c>
      <c r="N354" s="2">
        <v>35000</v>
      </c>
      <c r="O354" t="str">
        <f t="shared" si="10"/>
        <v>100-200</v>
      </c>
      <c r="P354" t="str">
        <f t="shared" si="11"/>
        <v>&lt;= 40000$</v>
      </c>
    </row>
    <row r="355" spans="1:16" x14ac:dyDescent="0.25">
      <c r="A355">
        <v>354</v>
      </c>
      <c r="B355" t="s">
        <v>135</v>
      </c>
      <c r="C355" t="s">
        <v>376</v>
      </c>
      <c r="D355" t="s">
        <v>16</v>
      </c>
      <c r="E355" t="s">
        <v>17</v>
      </c>
      <c r="F355" s="3">
        <v>120</v>
      </c>
      <c r="G355">
        <v>40.5</v>
      </c>
      <c r="H355">
        <v>8.3000000000000007</v>
      </c>
      <c r="I355">
        <v>22</v>
      </c>
      <c r="J355" t="s">
        <v>28</v>
      </c>
      <c r="K355" t="s">
        <v>20</v>
      </c>
      <c r="L355" t="s">
        <v>21</v>
      </c>
      <c r="M355" s="3">
        <v>45</v>
      </c>
      <c r="N355" s="2">
        <v>34000</v>
      </c>
      <c r="O355" t="str">
        <f t="shared" si="10"/>
        <v>100-200</v>
      </c>
      <c r="P355" t="str">
        <f t="shared" si="11"/>
        <v>&lt;= 40000$</v>
      </c>
    </row>
    <row r="356" spans="1:16" x14ac:dyDescent="0.25">
      <c r="A356">
        <v>355</v>
      </c>
      <c r="B356" t="s">
        <v>135</v>
      </c>
      <c r="C356" t="s">
        <v>376</v>
      </c>
      <c r="D356" t="s">
        <v>16</v>
      </c>
      <c r="E356" t="s">
        <v>17</v>
      </c>
      <c r="F356" s="3">
        <v>120</v>
      </c>
      <c r="G356">
        <v>40.5</v>
      </c>
      <c r="H356">
        <v>8.3000000000000007</v>
      </c>
      <c r="I356">
        <v>22</v>
      </c>
      <c r="J356" t="s">
        <v>28</v>
      </c>
      <c r="K356" t="s">
        <v>20</v>
      </c>
      <c r="L356" t="s">
        <v>21</v>
      </c>
      <c r="M356" s="3">
        <v>45</v>
      </c>
      <c r="N356" s="2">
        <v>34000</v>
      </c>
      <c r="O356" t="str">
        <f t="shared" si="10"/>
        <v>100-200</v>
      </c>
      <c r="P356" t="str">
        <f t="shared" si="11"/>
        <v>&lt;= 40000$</v>
      </c>
    </row>
    <row r="357" spans="1:16" x14ac:dyDescent="0.25">
      <c r="A357">
        <v>356</v>
      </c>
      <c r="B357" t="s">
        <v>135</v>
      </c>
      <c r="C357" t="s">
        <v>376</v>
      </c>
      <c r="D357" t="s">
        <v>16</v>
      </c>
      <c r="E357" t="s">
        <v>17</v>
      </c>
      <c r="F357" s="3">
        <v>120</v>
      </c>
      <c r="G357">
        <v>40.5</v>
      </c>
      <c r="H357">
        <v>8.3000000000000007</v>
      </c>
      <c r="I357">
        <v>21</v>
      </c>
      <c r="J357" t="s">
        <v>28</v>
      </c>
      <c r="K357" t="s">
        <v>20</v>
      </c>
      <c r="L357" t="s">
        <v>21</v>
      </c>
      <c r="M357" s="3">
        <v>45</v>
      </c>
      <c r="N357" s="2">
        <v>34000</v>
      </c>
      <c r="O357" t="str">
        <f t="shared" si="10"/>
        <v>100-200</v>
      </c>
      <c r="P357" t="str">
        <f t="shared" si="11"/>
        <v>&lt;= 40000$</v>
      </c>
    </row>
    <row r="358" spans="1:16" x14ac:dyDescent="0.25">
      <c r="A358">
        <v>357</v>
      </c>
      <c r="B358" t="s">
        <v>135</v>
      </c>
      <c r="C358" t="s">
        <v>376</v>
      </c>
      <c r="D358" t="s">
        <v>16</v>
      </c>
      <c r="E358" t="s">
        <v>17</v>
      </c>
      <c r="F358" s="3">
        <v>120</v>
      </c>
      <c r="G358">
        <v>40.5</v>
      </c>
      <c r="H358">
        <v>8.3000000000000007</v>
      </c>
      <c r="I358">
        <v>20</v>
      </c>
      <c r="J358" t="s">
        <v>28</v>
      </c>
      <c r="K358" t="s">
        <v>20</v>
      </c>
      <c r="L358" t="s">
        <v>21</v>
      </c>
      <c r="M358" s="3">
        <v>45</v>
      </c>
      <c r="N358" s="2">
        <v>29800</v>
      </c>
      <c r="O358" t="str">
        <f t="shared" si="10"/>
        <v>100-200</v>
      </c>
      <c r="P358" t="str">
        <f t="shared" si="11"/>
        <v>&lt;= 40000$</v>
      </c>
    </row>
    <row r="359" spans="1:16" x14ac:dyDescent="0.25">
      <c r="A359">
        <v>358</v>
      </c>
      <c r="B359" t="s">
        <v>135</v>
      </c>
      <c r="C359" t="s">
        <v>376</v>
      </c>
      <c r="D359" t="s">
        <v>16</v>
      </c>
      <c r="E359" t="s">
        <v>17</v>
      </c>
      <c r="F359" s="3">
        <v>120</v>
      </c>
      <c r="G359">
        <v>40.5</v>
      </c>
      <c r="H359">
        <v>8.3000000000000007</v>
      </c>
      <c r="I359">
        <v>22</v>
      </c>
      <c r="J359" t="s">
        <v>28</v>
      </c>
      <c r="K359" t="s">
        <v>20</v>
      </c>
      <c r="L359" t="s">
        <v>21</v>
      </c>
      <c r="M359" s="3">
        <v>45</v>
      </c>
      <c r="N359" s="2">
        <v>29800</v>
      </c>
      <c r="O359" t="str">
        <f t="shared" si="10"/>
        <v>100-200</v>
      </c>
      <c r="P359" t="str">
        <f t="shared" si="11"/>
        <v>&lt;= 40000$</v>
      </c>
    </row>
    <row r="360" spans="1:16" x14ac:dyDescent="0.25">
      <c r="A360">
        <v>359</v>
      </c>
      <c r="B360" t="s">
        <v>135</v>
      </c>
      <c r="C360" t="s">
        <v>376</v>
      </c>
      <c r="D360" t="s">
        <v>16</v>
      </c>
      <c r="E360" t="s">
        <v>17</v>
      </c>
      <c r="F360" s="3">
        <v>120</v>
      </c>
      <c r="G360">
        <v>40.5</v>
      </c>
      <c r="H360">
        <v>8.3000000000000007</v>
      </c>
      <c r="I360">
        <v>21</v>
      </c>
      <c r="J360" t="s">
        <v>28</v>
      </c>
      <c r="K360" t="s">
        <v>20</v>
      </c>
      <c r="L360" t="s">
        <v>21</v>
      </c>
      <c r="M360" s="3">
        <v>45</v>
      </c>
      <c r="N360" s="2">
        <v>29800</v>
      </c>
      <c r="O360" t="str">
        <f t="shared" si="10"/>
        <v>100-200</v>
      </c>
      <c r="P360" t="str">
        <f t="shared" si="11"/>
        <v>&lt;= 40000$</v>
      </c>
    </row>
    <row r="361" spans="1:16" x14ac:dyDescent="0.25">
      <c r="A361">
        <v>360</v>
      </c>
      <c r="B361" t="s">
        <v>135</v>
      </c>
      <c r="C361" t="s">
        <v>377</v>
      </c>
      <c r="D361" t="s">
        <v>16</v>
      </c>
      <c r="E361" t="s">
        <v>17</v>
      </c>
      <c r="F361" s="3">
        <v>120</v>
      </c>
      <c r="G361">
        <v>40.799999999999997</v>
      </c>
      <c r="H361">
        <v>8.3000000000000007</v>
      </c>
      <c r="I361">
        <v>21</v>
      </c>
      <c r="J361" t="s">
        <v>28</v>
      </c>
      <c r="K361" t="s">
        <v>20</v>
      </c>
      <c r="L361" t="s">
        <v>21</v>
      </c>
      <c r="M361" s="3">
        <v>55</v>
      </c>
      <c r="N361" s="2">
        <v>29800</v>
      </c>
      <c r="O361" t="str">
        <f t="shared" si="10"/>
        <v>100-200</v>
      </c>
      <c r="P361" t="str">
        <f t="shared" si="11"/>
        <v>&lt;= 40000$</v>
      </c>
    </row>
    <row r="362" spans="1:16" x14ac:dyDescent="0.25">
      <c r="A362">
        <v>361</v>
      </c>
      <c r="B362" t="s">
        <v>135</v>
      </c>
      <c r="C362" t="s">
        <v>376</v>
      </c>
      <c r="D362" t="s">
        <v>16</v>
      </c>
      <c r="E362" t="s">
        <v>17</v>
      </c>
      <c r="F362" s="3">
        <v>120</v>
      </c>
      <c r="G362">
        <v>40.5</v>
      </c>
      <c r="H362">
        <v>8.3000000000000007</v>
      </c>
      <c r="I362">
        <v>22</v>
      </c>
      <c r="J362" t="s">
        <v>28</v>
      </c>
      <c r="K362" t="s">
        <v>20</v>
      </c>
      <c r="L362" t="s">
        <v>21</v>
      </c>
      <c r="M362" s="3">
        <v>45</v>
      </c>
      <c r="N362" s="2">
        <v>29000</v>
      </c>
      <c r="O362" t="str">
        <f t="shared" si="10"/>
        <v>100-200</v>
      </c>
      <c r="P362" t="str">
        <f t="shared" si="11"/>
        <v>&lt;= 40000$</v>
      </c>
    </row>
    <row r="363" spans="1:16" x14ac:dyDescent="0.25">
      <c r="A363">
        <v>362</v>
      </c>
      <c r="B363" t="s">
        <v>135</v>
      </c>
      <c r="C363" t="s">
        <v>378</v>
      </c>
      <c r="D363" t="s">
        <v>16</v>
      </c>
      <c r="E363" t="s">
        <v>17</v>
      </c>
      <c r="F363" s="3">
        <v>120</v>
      </c>
      <c r="G363">
        <v>40</v>
      </c>
      <c r="H363">
        <v>8.3000000000000007</v>
      </c>
      <c r="I363">
        <v>20</v>
      </c>
      <c r="J363" t="s">
        <v>28</v>
      </c>
      <c r="K363" t="s">
        <v>20</v>
      </c>
      <c r="L363" t="s">
        <v>21</v>
      </c>
      <c r="M363" s="3">
        <v>45</v>
      </c>
      <c r="N363" s="2">
        <v>26000</v>
      </c>
      <c r="O363" t="str">
        <f t="shared" si="10"/>
        <v>100-200</v>
      </c>
      <c r="P363" t="str">
        <f t="shared" si="11"/>
        <v>&lt;= 40000$</v>
      </c>
    </row>
    <row r="364" spans="1:16" x14ac:dyDescent="0.25">
      <c r="A364">
        <v>363</v>
      </c>
      <c r="B364" t="s">
        <v>135</v>
      </c>
      <c r="C364" t="s">
        <v>379</v>
      </c>
      <c r="D364" t="s">
        <v>32</v>
      </c>
      <c r="E364" t="s">
        <v>17</v>
      </c>
      <c r="F364" s="3">
        <v>30</v>
      </c>
      <c r="G364">
        <v>39</v>
      </c>
      <c r="H364">
        <v>8.25</v>
      </c>
      <c r="I364">
        <v>20</v>
      </c>
      <c r="J364" t="s">
        <v>44</v>
      </c>
      <c r="K364" t="s">
        <v>20</v>
      </c>
      <c r="L364" t="s">
        <v>45</v>
      </c>
      <c r="M364" s="3">
        <v>48</v>
      </c>
      <c r="N364" s="2">
        <v>25800</v>
      </c>
      <c r="O364" t="str">
        <f t="shared" si="10"/>
        <v>&lt;=100</v>
      </c>
      <c r="P364" t="str">
        <f t="shared" si="11"/>
        <v>&lt;= 40000$</v>
      </c>
    </row>
    <row r="365" spans="1:16" x14ac:dyDescent="0.25">
      <c r="A365">
        <v>364</v>
      </c>
      <c r="B365" t="s">
        <v>135</v>
      </c>
      <c r="C365" t="s">
        <v>380</v>
      </c>
      <c r="D365" t="s">
        <v>32</v>
      </c>
      <c r="E365" t="s">
        <v>49</v>
      </c>
      <c r="F365" s="3">
        <v>30</v>
      </c>
      <c r="G365">
        <v>37</v>
      </c>
      <c r="H365">
        <v>7.7</v>
      </c>
      <c r="I365">
        <v>20</v>
      </c>
      <c r="J365" t="s">
        <v>34</v>
      </c>
      <c r="K365" t="s">
        <v>20</v>
      </c>
      <c r="L365" t="s">
        <v>45</v>
      </c>
      <c r="M365" s="3">
        <v>44</v>
      </c>
      <c r="N365" s="2">
        <v>25000</v>
      </c>
      <c r="O365" t="str">
        <f t="shared" si="10"/>
        <v>&lt;=100</v>
      </c>
      <c r="P365" t="str">
        <f t="shared" si="11"/>
        <v>&lt;= 40000$</v>
      </c>
    </row>
    <row r="366" spans="1:16" x14ac:dyDescent="0.25">
      <c r="A366">
        <v>365</v>
      </c>
      <c r="B366" t="s">
        <v>135</v>
      </c>
      <c r="C366" t="s">
        <v>381</v>
      </c>
      <c r="D366" t="s">
        <v>32</v>
      </c>
      <c r="E366" t="s">
        <v>49</v>
      </c>
      <c r="F366" s="3">
        <v>30</v>
      </c>
      <c r="G366">
        <v>38</v>
      </c>
      <c r="H366">
        <v>8.25</v>
      </c>
      <c r="I366">
        <v>20</v>
      </c>
      <c r="J366" t="s">
        <v>34</v>
      </c>
      <c r="K366" t="s">
        <v>20</v>
      </c>
      <c r="L366" t="s">
        <v>45</v>
      </c>
      <c r="M366" s="3">
        <v>44</v>
      </c>
      <c r="N366" s="2">
        <v>25000</v>
      </c>
      <c r="O366" t="str">
        <f t="shared" si="10"/>
        <v>&lt;=100</v>
      </c>
      <c r="P366" t="str">
        <f t="shared" si="11"/>
        <v>&lt;= 40000$</v>
      </c>
    </row>
    <row r="367" spans="1:16" x14ac:dyDescent="0.25">
      <c r="A367">
        <v>366</v>
      </c>
      <c r="B367" t="s">
        <v>135</v>
      </c>
      <c r="C367" t="s">
        <v>380</v>
      </c>
      <c r="D367" t="s">
        <v>32</v>
      </c>
      <c r="E367" t="s">
        <v>17</v>
      </c>
      <c r="F367" s="3">
        <v>30</v>
      </c>
      <c r="G367">
        <v>37</v>
      </c>
      <c r="H367">
        <v>8.5</v>
      </c>
      <c r="I367">
        <v>18</v>
      </c>
      <c r="J367" t="s">
        <v>34</v>
      </c>
      <c r="K367" t="s">
        <v>20</v>
      </c>
      <c r="L367" t="s">
        <v>21</v>
      </c>
      <c r="M367" s="3">
        <v>45</v>
      </c>
      <c r="N367" s="2">
        <v>25000</v>
      </c>
      <c r="O367" t="str">
        <f t="shared" si="10"/>
        <v>&lt;=100</v>
      </c>
      <c r="P367" t="str">
        <f t="shared" si="11"/>
        <v>&lt;= 40000$</v>
      </c>
    </row>
    <row r="368" spans="1:16" x14ac:dyDescent="0.25">
      <c r="A368">
        <v>367</v>
      </c>
      <c r="B368" t="s">
        <v>135</v>
      </c>
      <c r="C368" t="s">
        <v>382</v>
      </c>
      <c r="D368" t="s">
        <v>32</v>
      </c>
      <c r="E368" t="s">
        <v>49</v>
      </c>
      <c r="F368" s="3">
        <v>30</v>
      </c>
      <c r="G368">
        <v>38</v>
      </c>
      <c r="H368">
        <v>7.68</v>
      </c>
      <c r="I368">
        <v>19</v>
      </c>
      <c r="J368" t="s">
        <v>34</v>
      </c>
      <c r="K368" t="s">
        <v>20</v>
      </c>
      <c r="L368" t="s">
        <v>45</v>
      </c>
      <c r="M368" s="3">
        <v>44</v>
      </c>
      <c r="N368" s="2">
        <v>22900</v>
      </c>
      <c r="O368" t="str">
        <f t="shared" si="10"/>
        <v>&lt;=100</v>
      </c>
      <c r="P368" t="str">
        <f t="shared" si="11"/>
        <v>&lt;= 40000$</v>
      </c>
    </row>
    <row r="369" spans="1:16" x14ac:dyDescent="0.25">
      <c r="A369">
        <v>368</v>
      </c>
      <c r="B369" t="s">
        <v>135</v>
      </c>
      <c r="C369" t="s">
        <v>383</v>
      </c>
      <c r="D369" t="s">
        <v>32</v>
      </c>
      <c r="E369" t="s">
        <v>17</v>
      </c>
      <c r="F369" s="3">
        <v>30</v>
      </c>
      <c r="G369">
        <v>39</v>
      </c>
      <c r="H369">
        <v>8.6</v>
      </c>
      <c r="I369">
        <v>20</v>
      </c>
      <c r="J369" t="s">
        <v>44</v>
      </c>
      <c r="K369" t="s">
        <v>20</v>
      </c>
      <c r="L369" t="s">
        <v>21</v>
      </c>
      <c r="M369" s="3">
        <v>48</v>
      </c>
      <c r="N369" s="2">
        <v>22000</v>
      </c>
      <c r="O369" t="str">
        <f t="shared" si="10"/>
        <v>&lt;=100</v>
      </c>
      <c r="P369" t="str">
        <f t="shared" si="11"/>
        <v>&lt;= 40000$</v>
      </c>
    </row>
    <row r="370" spans="1:16" x14ac:dyDescent="0.25">
      <c r="A370">
        <v>369</v>
      </c>
      <c r="B370" t="s">
        <v>135</v>
      </c>
      <c r="C370" t="s">
        <v>384</v>
      </c>
      <c r="D370" t="s">
        <v>32</v>
      </c>
      <c r="E370" t="s">
        <v>49</v>
      </c>
      <c r="F370" s="3">
        <v>30</v>
      </c>
      <c r="G370">
        <v>36</v>
      </c>
      <c r="H370">
        <v>7.45</v>
      </c>
      <c r="I370">
        <v>18</v>
      </c>
      <c r="J370" t="s">
        <v>34</v>
      </c>
      <c r="K370" t="s">
        <v>20</v>
      </c>
      <c r="L370" t="s">
        <v>45</v>
      </c>
      <c r="M370" s="3">
        <v>44</v>
      </c>
      <c r="N370" s="2">
        <v>18000</v>
      </c>
      <c r="O370" t="str">
        <f t="shared" si="10"/>
        <v>&lt;=100</v>
      </c>
      <c r="P370" t="str">
        <f t="shared" si="11"/>
        <v>&lt;= 20000$</v>
      </c>
    </row>
    <row r="371" spans="1:16" x14ac:dyDescent="0.25">
      <c r="A371">
        <v>370</v>
      </c>
      <c r="B371" t="s">
        <v>116</v>
      </c>
      <c r="C371" t="s">
        <v>385</v>
      </c>
      <c r="D371" t="s">
        <v>32</v>
      </c>
      <c r="E371" t="s">
        <v>49</v>
      </c>
      <c r="F371" s="3">
        <v>30</v>
      </c>
      <c r="G371">
        <v>40</v>
      </c>
      <c r="H371">
        <v>6.36</v>
      </c>
      <c r="I371">
        <v>20</v>
      </c>
      <c r="J371" t="s">
        <v>44</v>
      </c>
      <c r="K371" t="s">
        <v>20</v>
      </c>
      <c r="L371" t="s">
        <v>45</v>
      </c>
      <c r="M371" s="3">
        <v>44</v>
      </c>
      <c r="N371" s="2">
        <v>22000</v>
      </c>
      <c r="O371" t="str">
        <f t="shared" si="10"/>
        <v>&lt;=100</v>
      </c>
      <c r="P371" t="str">
        <f t="shared" si="11"/>
        <v>&lt;= 40000$</v>
      </c>
    </row>
    <row r="372" spans="1:16" x14ac:dyDescent="0.25">
      <c r="A372">
        <v>371</v>
      </c>
      <c r="B372" t="s">
        <v>116</v>
      </c>
      <c r="C372" t="s">
        <v>386</v>
      </c>
      <c r="D372" t="s">
        <v>32</v>
      </c>
      <c r="E372" t="s">
        <v>49</v>
      </c>
      <c r="F372" s="3">
        <v>30</v>
      </c>
      <c r="G372">
        <v>38</v>
      </c>
      <c r="H372">
        <v>6</v>
      </c>
      <c r="I372">
        <v>20</v>
      </c>
      <c r="J372" t="s">
        <v>34</v>
      </c>
      <c r="K372" t="s">
        <v>20</v>
      </c>
      <c r="L372" t="s">
        <v>45</v>
      </c>
      <c r="M372" s="3">
        <v>43</v>
      </c>
      <c r="N372" s="2">
        <v>20800</v>
      </c>
      <c r="O372" t="str">
        <f t="shared" si="10"/>
        <v>&lt;=100</v>
      </c>
      <c r="P372" t="str">
        <f t="shared" si="11"/>
        <v>&lt;= 40000$</v>
      </c>
    </row>
    <row r="373" spans="1:16" x14ac:dyDescent="0.25">
      <c r="A373">
        <v>372</v>
      </c>
      <c r="B373" t="s">
        <v>116</v>
      </c>
      <c r="C373" t="s">
        <v>387</v>
      </c>
      <c r="D373" t="s">
        <v>32</v>
      </c>
      <c r="E373" t="s">
        <v>49</v>
      </c>
      <c r="F373" s="3">
        <v>30</v>
      </c>
      <c r="G373">
        <v>40</v>
      </c>
      <c r="H373">
        <v>6.36</v>
      </c>
      <c r="I373">
        <v>20</v>
      </c>
      <c r="J373" t="s">
        <v>44</v>
      </c>
      <c r="K373" t="s">
        <v>20</v>
      </c>
      <c r="L373" t="s">
        <v>45</v>
      </c>
      <c r="M373" s="3">
        <v>43</v>
      </c>
      <c r="N373" s="2">
        <v>18500</v>
      </c>
      <c r="O373" t="str">
        <f t="shared" si="10"/>
        <v>&lt;=100</v>
      </c>
      <c r="P373" t="str">
        <f t="shared" si="11"/>
        <v>&lt;= 20000$</v>
      </c>
    </row>
    <row r="374" spans="1:16" x14ac:dyDescent="0.25">
      <c r="A374">
        <v>373</v>
      </c>
      <c r="B374" t="s">
        <v>116</v>
      </c>
      <c r="C374" t="s">
        <v>388</v>
      </c>
      <c r="D374" t="s">
        <v>32</v>
      </c>
      <c r="E374" t="s">
        <v>49</v>
      </c>
      <c r="F374" s="3">
        <v>30</v>
      </c>
      <c r="G374">
        <v>38</v>
      </c>
      <c r="H374">
        <v>6.1</v>
      </c>
      <c r="I374">
        <v>20</v>
      </c>
      <c r="J374" t="s">
        <v>44</v>
      </c>
      <c r="K374" t="s">
        <v>20</v>
      </c>
      <c r="L374" t="s">
        <v>45</v>
      </c>
      <c r="M374" s="3">
        <v>43</v>
      </c>
      <c r="N374" s="2">
        <v>16500</v>
      </c>
      <c r="O374" t="str">
        <f t="shared" si="10"/>
        <v>&lt;=100</v>
      </c>
      <c r="P374" t="str">
        <f t="shared" si="11"/>
        <v>&lt;= 20000$</v>
      </c>
    </row>
    <row r="375" spans="1:16" x14ac:dyDescent="0.25">
      <c r="A375">
        <v>374</v>
      </c>
      <c r="B375" t="s">
        <v>116</v>
      </c>
      <c r="C375" t="s">
        <v>389</v>
      </c>
      <c r="D375" t="s">
        <v>16</v>
      </c>
      <c r="E375" t="s">
        <v>17</v>
      </c>
      <c r="F375" s="3">
        <v>100</v>
      </c>
      <c r="G375">
        <v>42</v>
      </c>
      <c r="H375">
        <v>9.4</v>
      </c>
      <c r="I375">
        <v>22</v>
      </c>
      <c r="J375" t="s">
        <v>28</v>
      </c>
      <c r="K375" t="s">
        <v>20</v>
      </c>
      <c r="L375" t="s">
        <v>21</v>
      </c>
      <c r="M375" s="3">
        <v>44</v>
      </c>
      <c r="N375" s="2">
        <v>10500</v>
      </c>
      <c r="O375" t="str">
        <f t="shared" si="10"/>
        <v>&lt;=100</v>
      </c>
      <c r="P375" t="str">
        <f t="shared" si="11"/>
        <v>&lt;= 20000$</v>
      </c>
    </row>
    <row r="376" spans="1:16" x14ac:dyDescent="0.25">
      <c r="A376">
        <v>375</v>
      </c>
      <c r="B376" t="s">
        <v>116</v>
      </c>
      <c r="C376" t="s">
        <v>390</v>
      </c>
      <c r="D376" t="s">
        <v>16</v>
      </c>
      <c r="E376" t="s">
        <v>17</v>
      </c>
      <c r="F376" s="3">
        <v>100</v>
      </c>
      <c r="G376">
        <v>42</v>
      </c>
      <c r="H376">
        <v>9.4</v>
      </c>
      <c r="I376">
        <v>24</v>
      </c>
      <c r="J376" t="s">
        <v>28</v>
      </c>
      <c r="K376" t="s">
        <v>20</v>
      </c>
      <c r="L376" t="s">
        <v>21</v>
      </c>
      <c r="M376" s="3">
        <v>50</v>
      </c>
      <c r="N376" s="2">
        <v>10000</v>
      </c>
      <c r="O376" t="str">
        <f t="shared" si="10"/>
        <v>&lt;=100</v>
      </c>
      <c r="P376" t="str">
        <f t="shared" si="11"/>
        <v>&lt;= 10000$</v>
      </c>
    </row>
    <row r="377" spans="1:16" x14ac:dyDescent="0.25">
      <c r="A377">
        <v>376</v>
      </c>
      <c r="B377" t="s">
        <v>193</v>
      </c>
      <c r="C377" t="s">
        <v>391</v>
      </c>
      <c r="D377" t="s">
        <v>32</v>
      </c>
      <c r="E377" t="s">
        <v>43</v>
      </c>
      <c r="F377" s="3">
        <v>30</v>
      </c>
      <c r="G377">
        <v>39</v>
      </c>
      <c r="H377">
        <v>5</v>
      </c>
      <c r="I377">
        <v>22</v>
      </c>
      <c r="J377" t="s">
        <v>19</v>
      </c>
      <c r="K377" t="s">
        <v>20</v>
      </c>
      <c r="L377" t="s">
        <v>45</v>
      </c>
      <c r="M377" s="3" t="s">
        <v>46</v>
      </c>
      <c r="N377" s="2">
        <v>1600</v>
      </c>
      <c r="O377" t="str">
        <f t="shared" si="10"/>
        <v>&lt;=100</v>
      </c>
      <c r="P377" t="str">
        <f t="shared" si="11"/>
        <v xml:space="preserve"> &lt;=2000$</v>
      </c>
    </row>
    <row r="378" spans="1:16" x14ac:dyDescent="0.25">
      <c r="A378">
        <v>377</v>
      </c>
      <c r="B378" t="s">
        <v>14</v>
      </c>
      <c r="C378" t="s">
        <v>392</v>
      </c>
      <c r="D378" t="s">
        <v>32</v>
      </c>
      <c r="E378" t="s">
        <v>17</v>
      </c>
      <c r="F378" s="3">
        <v>100</v>
      </c>
      <c r="G378">
        <v>40</v>
      </c>
      <c r="H378">
        <v>12.4</v>
      </c>
      <c r="I378">
        <v>20</v>
      </c>
      <c r="J378" t="s">
        <v>219</v>
      </c>
      <c r="K378" t="s">
        <v>20</v>
      </c>
      <c r="L378" t="s">
        <v>35</v>
      </c>
      <c r="M378" s="3">
        <v>72</v>
      </c>
      <c r="N378" s="2">
        <v>39500</v>
      </c>
      <c r="O378" t="str">
        <f t="shared" si="10"/>
        <v>&lt;=100</v>
      </c>
      <c r="P378" t="str">
        <f t="shared" si="11"/>
        <v>&lt;= 40000$</v>
      </c>
    </row>
    <row r="379" spans="1:16" x14ac:dyDescent="0.25">
      <c r="A379">
        <v>378</v>
      </c>
      <c r="B379" t="s">
        <v>14</v>
      </c>
      <c r="C379" t="s">
        <v>393</v>
      </c>
      <c r="D379" t="s">
        <v>32</v>
      </c>
      <c r="E379" t="s">
        <v>17</v>
      </c>
      <c r="F379" s="3">
        <v>100</v>
      </c>
      <c r="G379">
        <v>40</v>
      </c>
      <c r="H379">
        <v>12.4</v>
      </c>
      <c r="I379">
        <v>20</v>
      </c>
      <c r="J379" t="s">
        <v>226</v>
      </c>
      <c r="K379" t="s">
        <v>20</v>
      </c>
      <c r="L379" t="s">
        <v>35</v>
      </c>
      <c r="M379" s="3">
        <v>72</v>
      </c>
      <c r="N379" s="2">
        <v>29500</v>
      </c>
      <c r="O379" t="str">
        <f t="shared" si="10"/>
        <v>&lt;=100</v>
      </c>
      <c r="P379" t="str">
        <f t="shared" si="11"/>
        <v>&lt;= 40000$</v>
      </c>
    </row>
    <row r="380" spans="1:16" x14ac:dyDescent="0.25">
      <c r="A380">
        <v>379</v>
      </c>
      <c r="B380" t="s">
        <v>14</v>
      </c>
      <c r="C380" t="s">
        <v>394</v>
      </c>
      <c r="D380" t="s">
        <v>16</v>
      </c>
      <c r="E380" t="s">
        <v>17</v>
      </c>
      <c r="F380" s="3">
        <v>100</v>
      </c>
      <c r="G380">
        <v>40</v>
      </c>
      <c r="H380">
        <v>12.5</v>
      </c>
      <c r="I380">
        <v>20</v>
      </c>
      <c r="J380" t="s">
        <v>19</v>
      </c>
      <c r="K380" t="s">
        <v>20</v>
      </c>
      <c r="L380" t="s">
        <v>92</v>
      </c>
      <c r="M380" s="3">
        <v>48</v>
      </c>
      <c r="N380" s="2">
        <v>14000</v>
      </c>
      <c r="O380" t="str">
        <f t="shared" si="10"/>
        <v>&lt;=100</v>
      </c>
      <c r="P380" t="str">
        <f t="shared" si="11"/>
        <v>&lt;= 20000$</v>
      </c>
    </row>
    <row r="381" spans="1:16" x14ac:dyDescent="0.25">
      <c r="A381">
        <v>380</v>
      </c>
      <c r="B381" t="s">
        <v>14</v>
      </c>
      <c r="C381" t="s">
        <v>395</v>
      </c>
      <c r="D381" t="s">
        <v>16</v>
      </c>
      <c r="E381" t="s">
        <v>17</v>
      </c>
      <c r="F381" s="3">
        <v>100</v>
      </c>
      <c r="G381">
        <v>40</v>
      </c>
      <c r="H381">
        <v>12.4</v>
      </c>
      <c r="I381">
        <v>20</v>
      </c>
      <c r="J381" t="s">
        <v>34</v>
      </c>
      <c r="K381" t="s">
        <v>20</v>
      </c>
      <c r="L381" t="s">
        <v>35</v>
      </c>
      <c r="M381" s="3">
        <v>72</v>
      </c>
      <c r="N381" s="2">
        <v>13500</v>
      </c>
      <c r="O381" t="str">
        <f t="shared" si="10"/>
        <v>&lt;=100</v>
      </c>
      <c r="P381" t="str">
        <f t="shared" si="11"/>
        <v>&lt;= 20000$</v>
      </c>
    </row>
    <row r="382" spans="1:16" x14ac:dyDescent="0.25">
      <c r="A382">
        <v>381</v>
      </c>
      <c r="B382" t="s">
        <v>14</v>
      </c>
      <c r="C382" t="s">
        <v>394</v>
      </c>
      <c r="D382" t="s">
        <v>16</v>
      </c>
      <c r="E382" t="s">
        <v>17</v>
      </c>
      <c r="F382" s="3">
        <v>100</v>
      </c>
      <c r="G382">
        <v>40</v>
      </c>
      <c r="H382">
        <v>12.5</v>
      </c>
      <c r="I382">
        <v>20</v>
      </c>
      <c r="J382" t="s">
        <v>19</v>
      </c>
      <c r="K382" t="s">
        <v>20</v>
      </c>
      <c r="L382" t="s">
        <v>185</v>
      </c>
      <c r="M382" s="3">
        <v>70</v>
      </c>
      <c r="N382" s="2">
        <v>9950</v>
      </c>
      <c r="O382" t="str">
        <f t="shared" si="10"/>
        <v>&lt;=100</v>
      </c>
      <c r="P382" t="str">
        <f t="shared" si="11"/>
        <v>&lt;= 10000$</v>
      </c>
    </row>
    <row r="383" spans="1:16" x14ac:dyDescent="0.25">
      <c r="A383">
        <v>382</v>
      </c>
      <c r="B383" t="s">
        <v>14</v>
      </c>
      <c r="C383" t="s">
        <v>394</v>
      </c>
      <c r="D383" t="s">
        <v>16</v>
      </c>
      <c r="E383" t="s">
        <v>17</v>
      </c>
      <c r="F383" s="3">
        <v>100</v>
      </c>
      <c r="G383">
        <v>40</v>
      </c>
      <c r="H383">
        <v>12.5</v>
      </c>
      <c r="I383">
        <v>20</v>
      </c>
      <c r="J383" t="s">
        <v>19</v>
      </c>
      <c r="K383" t="s">
        <v>20</v>
      </c>
      <c r="L383" t="s">
        <v>185</v>
      </c>
      <c r="M383" s="3">
        <v>70</v>
      </c>
      <c r="N383" s="2">
        <v>9900</v>
      </c>
      <c r="O383" t="str">
        <f t="shared" si="10"/>
        <v>&lt;=100</v>
      </c>
      <c r="P383" t="str">
        <f t="shared" si="11"/>
        <v>&lt;= 10000$</v>
      </c>
    </row>
    <row r="384" spans="1:16" x14ac:dyDescent="0.25">
      <c r="A384">
        <v>383</v>
      </c>
      <c r="B384" t="s">
        <v>14</v>
      </c>
      <c r="C384" t="s">
        <v>394</v>
      </c>
      <c r="D384" t="s">
        <v>16</v>
      </c>
      <c r="E384" t="s">
        <v>17</v>
      </c>
      <c r="F384" s="3">
        <v>100</v>
      </c>
      <c r="G384">
        <v>40</v>
      </c>
      <c r="H384">
        <v>12.5</v>
      </c>
      <c r="I384">
        <v>20</v>
      </c>
      <c r="J384" t="s">
        <v>19</v>
      </c>
      <c r="K384" t="s">
        <v>20</v>
      </c>
      <c r="L384" t="s">
        <v>68</v>
      </c>
      <c r="M384" s="3">
        <v>70</v>
      </c>
      <c r="N384" s="2">
        <v>9700</v>
      </c>
      <c r="O384" t="str">
        <f t="shared" si="10"/>
        <v>&lt;=100</v>
      </c>
      <c r="P384" t="str">
        <f t="shared" si="11"/>
        <v>&lt;= 10000$</v>
      </c>
    </row>
    <row r="385" spans="1:16" x14ac:dyDescent="0.25">
      <c r="A385">
        <v>384</v>
      </c>
      <c r="B385" t="s">
        <v>14</v>
      </c>
      <c r="C385" t="s">
        <v>396</v>
      </c>
      <c r="D385" t="s">
        <v>16</v>
      </c>
      <c r="E385" t="s">
        <v>17</v>
      </c>
      <c r="F385" s="3">
        <v>300</v>
      </c>
      <c r="G385">
        <v>40</v>
      </c>
      <c r="H385">
        <v>13</v>
      </c>
      <c r="I385">
        <v>20</v>
      </c>
      <c r="J385" t="s">
        <v>19</v>
      </c>
      <c r="K385" t="s">
        <v>20</v>
      </c>
      <c r="L385" t="s">
        <v>21</v>
      </c>
      <c r="M385" s="3">
        <v>48</v>
      </c>
      <c r="N385" s="2">
        <v>9500</v>
      </c>
      <c r="O385" t="str">
        <f t="shared" si="10"/>
        <v>200-300</v>
      </c>
      <c r="P385" t="str">
        <f t="shared" si="11"/>
        <v>&lt;= 10000$</v>
      </c>
    </row>
    <row r="386" spans="1:16" x14ac:dyDescent="0.25">
      <c r="A386">
        <v>385</v>
      </c>
      <c r="B386" t="s">
        <v>14</v>
      </c>
      <c r="C386" t="s">
        <v>396</v>
      </c>
      <c r="D386" t="s">
        <v>16</v>
      </c>
      <c r="E386" t="s">
        <v>17</v>
      </c>
      <c r="F386" s="3">
        <v>300</v>
      </c>
      <c r="G386">
        <v>40</v>
      </c>
      <c r="H386">
        <v>13</v>
      </c>
      <c r="I386">
        <v>20</v>
      </c>
      <c r="J386" t="s">
        <v>19</v>
      </c>
      <c r="K386" t="s">
        <v>20</v>
      </c>
      <c r="L386" t="s">
        <v>21</v>
      </c>
      <c r="M386" s="3">
        <v>48</v>
      </c>
      <c r="N386" s="2">
        <v>9500</v>
      </c>
      <c r="O386" t="str">
        <f t="shared" si="10"/>
        <v>200-300</v>
      </c>
      <c r="P386" t="str">
        <f t="shared" si="11"/>
        <v>&lt;= 10000$</v>
      </c>
    </row>
    <row r="387" spans="1:16" x14ac:dyDescent="0.25">
      <c r="A387">
        <v>386</v>
      </c>
      <c r="B387" t="s">
        <v>14</v>
      </c>
      <c r="C387" t="s">
        <v>394</v>
      </c>
      <c r="D387" t="s">
        <v>16</v>
      </c>
      <c r="E387" t="s">
        <v>17</v>
      </c>
      <c r="F387" s="3">
        <v>100</v>
      </c>
      <c r="G387">
        <v>40</v>
      </c>
      <c r="H387">
        <v>12.5</v>
      </c>
      <c r="I387">
        <v>20</v>
      </c>
      <c r="J387" t="s">
        <v>19</v>
      </c>
      <c r="K387" t="s">
        <v>20</v>
      </c>
      <c r="L387" t="s">
        <v>185</v>
      </c>
      <c r="M387" s="3">
        <v>70</v>
      </c>
      <c r="N387" s="2">
        <v>9500</v>
      </c>
      <c r="O387" t="str">
        <f t="shared" ref="O387:O450" si="12">IF($F387&lt;=100, "&lt;=100", IF($F387&lt;=200, "100-200", IF($F387&lt;=300, "200-300", IF($F387&lt;=500, "300-500", IF($F387&lt;1000, "500-1000", "1000+")))))</f>
        <v>&lt;=100</v>
      </c>
      <c r="P387" t="str">
        <f t="shared" ref="P387:P450" si="13">IF(N387&lt;=1000, "&lt;= 1000$", IF(N387&lt;=2000, " &lt;=2000$", IF(N387&lt;=5000, "&lt;=5000$", IF(N387&lt;=10000, "&lt;= 10000$", IF(N387&lt;=20000, "&lt;= 20000$", IF(N387&lt;40000, "&lt;= 40000$", "40000$ +"))))))</f>
        <v>&lt;= 10000$</v>
      </c>
    </row>
    <row r="388" spans="1:16" x14ac:dyDescent="0.25">
      <c r="A388">
        <v>387</v>
      </c>
      <c r="B388" t="s">
        <v>14</v>
      </c>
      <c r="C388" t="s">
        <v>397</v>
      </c>
      <c r="D388" t="s">
        <v>209</v>
      </c>
      <c r="E388" t="s">
        <v>17</v>
      </c>
      <c r="F388" s="3">
        <v>100</v>
      </c>
      <c r="G388">
        <v>41</v>
      </c>
      <c r="H388">
        <v>11.8</v>
      </c>
      <c r="I388">
        <v>20</v>
      </c>
      <c r="J388" t="s">
        <v>28</v>
      </c>
      <c r="K388" t="s">
        <v>20</v>
      </c>
      <c r="L388" t="s">
        <v>21</v>
      </c>
      <c r="M388" s="3">
        <v>70</v>
      </c>
      <c r="N388" s="2">
        <v>9500</v>
      </c>
      <c r="O388" t="str">
        <f t="shared" si="12"/>
        <v>&lt;=100</v>
      </c>
      <c r="P388" t="str">
        <f t="shared" si="13"/>
        <v>&lt;= 10000$</v>
      </c>
    </row>
    <row r="389" spans="1:16" x14ac:dyDescent="0.25">
      <c r="A389">
        <v>388</v>
      </c>
      <c r="B389" t="s">
        <v>14</v>
      </c>
      <c r="C389" t="s">
        <v>394</v>
      </c>
      <c r="D389" t="s">
        <v>16</v>
      </c>
      <c r="E389" t="s">
        <v>17</v>
      </c>
      <c r="F389" s="3">
        <v>100</v>
      </c>
      <c r="G389">
        <v>40</v>
      </c>
      <c r="H389">
        <v>12.5</v>
      </c>
      <c r="I389">
        <v>20</v>
      </c>
      <c r="J389" t="s">
        <v>19</v>
      </c>
      <c r="K389" t="s">
        <v>20</v>
      </c>
      <c r="L389" t="s">
        <v>241</v>
      </c>
      <c r="M389" s="3">
        <v>70</v>
      </c>
      <c r="N389" s="2">
        <v>9500</v>
      </c>
      <c r="O389" t="str">
        <f t="shared" si="12"/>
        <v>&lt;=100</v>
      </c>
      <c r="P389" t="str">
        <f t="shared" si="13"/>
        <v>&lt;= 10000$</v>
      </c>
    </row>
    <row r="390" spans="1:16" x14ac:dyDescent="0.25">
      <c r="A390">
        <v>389</v>
      </c>
      <c r="B390" t="s">
        <v>14</v>
      </c>
      <c r="C390" t="s">
        <v>394</v>
      </c>
      <c r="D390" t="s">
        <v>16</v>
      </c>
      <c r="E390" t="s">
        <v>17</v>
      </c>
      <c r="F390" s="3">
        <v>100</v>
      </c>
      <c r="G390">
        <v>40</v>
      </c>
      <c r="H390">
        <v>12.1</v>
      </c>
      <c r="I390">
        <v>20</v>
      </c>
      <c r="J390" t="s">
        <v>19</v>
      </c>
      <c r="K390" t="s">
        <v>20</v>
      </c>
      <c r="L390" t="s">
        <v>185</v>
      </c>
      <c r="M390" s="3">
        <v>70</v>
      </c>
      <c r="N390" s="2">
        <v>9450</v>
      </c>
      <c r="O390" t="str">
        <f t="shared" si="12"/>
        <v>&lt;=100</v>
      </c>
      <c r="P390" t="str">
        <f t="shared" si="13"/>
        <v>&lt;= 10000$</v>
      </c>
    </row>
    <row r="391" spans="1:16" x14ac:dyDescent="0.25">
      <c r="A391">
        <v>390</v>
      </c>
      <c r="B391" t="s">
        <v>14</v>
      </c>
      <c r="C391" t="s">
        <v>394</v>
      </c>
      <c r="D391" t="s">
        <v>16</v>
      </c>
      <c r="E391" t="s">
        <v>17</v>
      </c>
      <c r="F391" s="3">
        <v>100</v>
      </c>
      <c r="G391">
        <v>40</v>
      </c>
      <c r="H391">
        <v>12.4</v>
      </c>
      <c r="I391">
        <v>20</v>
      </c>
      <c r="J391" t="s">
        <v>19</v>
      </c>
      <c r="K391" t="s">
        <v>20</v>
      </c>
      <c r="L391" t="s">
        <v>185</v>
      </c>
      <c r="M391" s="3">
        <v>70</v>
      </c>
      <c r="N391" s="2">
        <v>9100</v>
      </c>
      <c r="O391" t="str">
        <f t="shared" si="12"/>
        <v>&lt;=100</v>
      </c>
      <c r="P391" t="str">
        <f t="shared" si="13"/>
        <v>&lt;= 10000$</v>
      </c>
    </row>
    <row r="392" spans="1:16" x14ac:dyDescent="0.25">
      <c r="A392">
        <v>391</v>
      </c>
      <c r="B392" t="s">
        <v>14</v>
      </c>
      <c r="C392" t="s">
        <v>398</v>
      </c>
      <c r="D392" t="s">
        <v>104</v>
      </c>
      <c r="E392" t="s">
        <v>17</v>
      </c>
      <c r="F392" s="3">
        <v>100</v>
      </c>
      <c r="G392">
        <v>36</v>
      </c>
      <c r="H392">
        <v>12</v>
      </c>
      <c r="I392">
        <v>20</v>
      </c>
      <c r="J392" t="s">
        <v>44</v>
      </c>
      <c r="K392" t="s">
        <v>20</v>
      </c>
      <c r="L392" t="s">
        <v>21</v>
      </c>
      <c r="M392" s="3">
        <v>70</v>
      </c>
      <c r="N392" s="2">
        <v>9000</v>
      </c>
      <c r="O392" t="str">
        <f t="shared" si="12"/>
        <v>&lt;=100</v>
      </c>
      <c r="P392" t="str">
        <f t="shared" si="13"/>
        <v>&lt;= 10000$</v>
      </c>
    </row>
    <row r="393" spans="1:16" x14ac:dyDescent="0.25">
      <c r="A393">
        <v>392</v>
      </c>
      <c r="B393" t="s">
        <v>14</v>
      </c>
      <c r="C393" t="s">
        <v>397</v>
      </c>
      <c r="D393" t="s">
        <v>16</v>
      </c>
      <c r="E393" t="s">
        <v>17</v>
      </c>
      <c r="F393" s="3">
        <v>100</v>
      </c>
      <c r="G393">
        <v>41</v>
      </c>
      <c r="H393">
        <v>11.2</v>
      </c>
      <c r="I393">
        <v>20</v>
      </c>
      <c r="J393" t="s">
        <v>44</v>
      </c>
      <c r="K393" t="s">
        <v>20</v>
      </c>
      <c r="L393" t="s">
        <v>21</v>
      </c>
      <c r="M393" s="3">
        <v>70</v>
      </c>
      <c r="N393" s="2">
        <v>8900</v>
      </c>
      <c r="O393" t="str">
        <f t="shared" si="12"/>
        <v>&lt;=100</v>
      </c>
      <c r="P393" t="str">
        <f t="shared" si="13"/>
        <v>&lt;= 10000$</v>
      </c>
    </row>
    <row r="394" spans="1:16" x14ac:dyDescent="0.25">
      <c r="A394">
        <v>393</v>
      </c>
      <c r="B394" t="s">
        <v>14</v>
      </c>
      <c r="C394" t="s">
        <v>398</v>
      </c>
      <c r="D394" t="s">
        <v>209</v>
      </c>
      <c r="E394" t="s">
        <v>17</v>
      </c>
      <c r="F394" s="3">
        <v>100</v>
      </c>
      <c r="G394">
        <v>36</v>
      </c>
      <c r="H394">
        <v>12.5</v>
      </c>
      <c r="I394">
        <v>20</v>
      </c>
      <c r="J394" t="s">
        <v>44</v>
      </c>
      <c r="K394" t="s">
        <v>20</v>
      </c>
      <c r="L394" t="s">
        <v>21</v>
      </c>
      <c r="M394" s="3">
        <v>70</v>
      </c>
      <c r="N394" s="2">
        <v>8900</v>
      </c>
      <c r="O394" t="str">
        <f t="shared" si="12"/>
        <v>&lt;=100</v>
      </c>
      <c r="P394" t="str">
        <f t="shared" si="13"/>
        <v>&lt;= 10000$</v>
      </c>
    </row>
    <row r="395" spans="1:16" x14ac:dyDescent="0.25">
      <c r="A395">
        <v>394</v>
      </c>
      <c r="B395" t="s">
        <v>14</v>
      </c>
      <c r="C395" t="s">
        <v>397</v>
      </c>
      <c r="D395" t="s">
        <v>16</v>
      </c>
      <c r="E395" t="s">
        <v>17</v>
      </c>
      <c r="F395" s="3">
        <v>100</v>
      </c>
      <c r="G395">
        <v>41</v>
      </c>
      <c r="H395">
        <v>11.8</v>
      </c>
      <c r="I395">
        <v>20</v>
      </c>
      <c r="J395" t="s">
        <v>19</v>
      </c>
      <c r="K395" t="s">
        <v>20</v>
      </c>
      <c r="L395" t="s">
        <v>21</v>
      </c>
      <c r="M395" s="3">
        <v>70</v>
      </c>
      <c r="N395" s="2">
        <v>8200</v>
      </c>
      <c r="O395" t="str">
        <f t="shared" si="12"/>
        <v>&lt;=100</v>
      </c>
      <c r="P395" t="str">
        <f t="shared" si="13"/>
        <v>&lt;= 10000$</v>
      </c>
    </row>
    <row r="396" spans="1:16" x14ac:dyDescent="0.25">
      <c r="A396">
        <v>395</v>
      </c>
      <c r="B396" t="s">
        <v>14</v>
      </c>
      <c r="C396" t="s">
        <v>398</v>
      </c>
      <c r="D396" t="s">
        <v>16</v>
      </c>
      <c r="E396" t="s">
        <v>17</v>
      </c>
      <c r="F396" s="3">
        <v>100</v>
      </c>
      <c r="G396">
        <v>36</v>
      </c>
      <c r="H396">
        <v>12</v>
      </c>
      <c r="I396">
        <v>20</v>
      </c>
      <c r="J396" t="s">
        <v>19</v>
      </c>
      <c r="K396" t="s">
        <v>20</v>
      </c>
      <c r="L396" t="s">
        <v>21</v>
      </c>
      <c r="M396" s="3">
        <v>70</v>
      </c>
      <c r="N396" s="2">
        <v>8100</v>
      </c>
      <c r="O396" t="str">
        <f t="shared" si="12"/>
        <v>&lt;=100</v>
      </c>
      <c r="P396" t="str">
        <f t="shared" si="13"/>
        <v>&lt;= 10000$</v>
      </c>
    </row>
    <row r="397" spans="1:16" x14ac:dyDescent="0.25">
      <c r="A397">
        <v>396</v>
      </c>
      <c r="B397" t="s">
        <v>14</v>
      </c>
      <c r="C397" t="s">
        <v>398</v>
      </c>
      <c r="D397" t="s">
        <v>104</v>
      </c>
      <c r="E397" t="s">
        <v>17</v>
      </c>
      <c r="F397" s="3">
        <v>100</v>
      </c>
      <c r="G397">
        <v>36</v>
      </c>
      <c r="H397">
        <v>12.5</v>
      </c>
      <c r="I397">
        <v>20</v>
      </c>
      <c r="J397" t="s">
        <v>19</v>
      </c>
      <c r="K397" t="s">
        <v>20</v>
      </c>
      <c r="L397" t="s">
        <v>21</v>
      </c>
      <c r="M397" s="3">
        <v>70</v>
      </c>
      <c r="N397" s="2">
        <v>8000</v>
      </c>
      <c r="O397" t="str">
        <f t="shared" si="12"/>
        <v>&lt;=100</v>
      </c>
      <c r="P397" t="str">
        <f t="shared" si="13"/>
        <v>&lt;= 10000$</v>
      </c>
    </row>
    <row r="398" spans="1:16" x14ac:dyDescent="0.25">
      <c r="A398">
        <v>397</v>
      </c>
      <c r="B398" t="s">
        <v>14</v>
      </c>
      <c r="C398" t="s">
        <v>398</v>
      </c>
      <c r="D398" t="s">
        <v>16</v>
      </c>
      <c r="E398" t="s">
        <v>17</v>
      </c>
      <c r="F398" s="3">
        <v>100</v>
      </c>
      <c r="G398">
        <v>36</v>
      </c>
      <c r="H398">
        <v>12.5</v>
      </c>
      <c r="I398">
        <v>20</v>
      </c>
      <c r="J398" t="s">
        <v>44</v>
      </c>
      <c r="K398" t="s">
        <v>20</v>
      </c>
      <c r="L398" t="s">
        <v>236</v>
      </c>
      <c r="M398" s="3">
        <v>70</v>
      </c>
      <c r="N398" s="2">
        <v>8000</v>
      </c>
      <c r="O398" t="str">
        <f t="shared" si="12"/>
        <v>&lt;=100</v>
      </c>
      <c r="P398" t="str">
        <f t="shared" si="13"/>
        <v>&lt;= 10000$</v>
      </c>
    </row>
    <row r="399" spans="1:16" x14ac:dyDescent="0.25">
      <c r="A399">
        <v>398</v>
      </c>
      <c r="B399" t="s">
        <v>14</v>
      </c>
      <c r="C399" t="s">
        <v>397</v>
      </c>
      <c r="D399" t="s">
        <v>16</v>
      </c>
      <c r="E399" t="s">
        <v>17</v>
      </c>
      <c r="F399" s="3">
        <v>100</v>
      </c>
      <c r="G399">
        <v>41</v>
      </c>
      <c r="H399">
        <v>11.7</v>
      </c>
      <c r="I399">
        <v>20</v>
      </c>
      <c r="J399" t="s">
        <v>34</v>
      </c>
      <c r="K399" t="s">
        <v>20</v>
      </c>
      <c r="L399" t="s">
        <v>21</v>
      </c>
      <c r="M399" s="3">
        <v>70</v>
      </c>
      <c r="N399" s="2">
        <v>8000</v>
      </c>
      <c r="O399" t="str">
        <f t="shared" si="12"/>
        <v>&lt;=100</v>
      </c>
      <c r="P399" t="str">
        <f t="shared" si="13"/>
        <v>&lt;= 10000$</v>
      </c>
    </row>
    <row r="400" spans="1:16" x14ac:dyDescent="0.25">
      <c r="A400">
        <v>399</v>
      </c>
      <c r="B400" t="s">
        <v>14</v>
      </c>
      <c r="C400" t="s">
        <v>397</v>
      </c>
      <c r="D400" t="s">
        <v>16</v>
      </c>
      <c r="E400" t="s">
        <v>17</v>
      </c>
      <c r="F400" s="3">
        <v>100</v>
      </c>
      <c r="G400">
        <v>41</v>
      </c>
      <c r="H400">
        <v>11.8</v>
      </c>
      <c r="I400">
        <v>21</v>
      </c>
      <c r="J400" t="s">
        <v>28</v>
      </c>
      <c r="K400" t="s">
        <v>20</v>
      </c>
      <c r="L400" t="s">
        <v>21</v>
      </c>
      <c r="M400" s="3">
        <v>70</v>
      </c>
      <c r="N400" s="2">
        <v>7800</v>
      </c>
      <c r="O400" t="str">
        <f t="shared" si="12"/>
        <v>&lt;=100</v>
      </c>
      <c r="P400" t="str">
        <f t="shared" si="13"/>
        <v>&lt;= 10000$</v>
      </c>
    </row>
    <row r="401" spans="1:16" x14ac:dyDescent="0.25">
      <c r="A401">
        <v>400</v>
      </c>
      <c r="B401" t="s">
        <v>14</v>
      </c>
      <c r="C401" t="s">
        <v>398</v>
      </c>
      <c r="D401" t="s">
        <v>209</v>
      </c>
      <c r="E401" t="s">
        <v>17</v>
      </c>
      <c r="F401" s="3">
        <v>100</v>
      </c>
      <c r="G401">
        <v>36</v>
      </c>
      <c r="H401">
        <v>12</v>
      </c>
      <c r="I401">
        <v>20</v>
      </c>
      <c r="J401" t="s">
        <v>28</v>
      </c>
      <c r="K401" t="s">
        <v>20</v>
      </c>
      <c r="L401" t="s">
        <v>21</v>
      </c>
      <c r="M401" s="3">
        <v>70</v>
      </c>
      <c r="N401" s="2">
        <v>7650</v>
      </c>
      <c r="O401" t="str">
        <f t="shared" si="12"/>
        <v>&lt;=100</v>
      </c>
      <c r="P401" t="str">
        <f t="shared" si="13"/>
        <v>&lt;= 10000$</v>
      </c>
    </row>
    <row r="402" spans="1:16" x14ac:dyDescent="0.25">
      <c r="A402">
        <v>401</v>
      </c>
      <c r="B402" t="s">
        <v>14</v>
      </c>
      <c r="C402" t="s">
        <v>398</v>
      </c>
      <c r="D402" t="s">
        <v>16</v>
      </c>
      <c r="E402" t="s">
        <v>17</v>
      </c>
      <c r="F402" s="3">
        <v>100</v>
      </c>
      <c r="G402">
        <v>36</v>
      </c>
      <c r="H402">
        <v>12</v>
      </c>
      <c r="I402">
        <v>20</v>
      </c>
      <c r="J402" t="s">
        <v>44</v>
      </c>
      <c r="K402" t="s">
        <v>20</v>
      </c>
      <c r="L402" t="s">
        <v>21</v>
      </c>
      <c r="M402" s="3">
        <v>70</v>
      </c>
      <c r="N402" s="2">
        <v>7500</v>
      </c>
      <c r="O402" t="str">
        <f t="shared" si="12"/>
        <v>&lt;=100</v>
      </c>
      <c r="P402" t="str">
        <f t="shared" si="13"/>
        <v>&lt;= 10000$</v>
      </c>
    </row>
    <row r="403" spans="1:16" x14ac:dyDescent="0.25">
      <c r="A403">
        <v>402</v>
      </c>
      <c r="B403" t="s">
        <v>14</v>
      </c>
      <c r="C403" t="s">
        <v>398</v>
      </c>
      <c r="D403" t="s">
        <v>16</v>
      </c>
      <c r="E403" t="s">
        <v>17</v>
      </c>
      <c r="F403" s="3">
        <v>100</v>
      </c>
      <c r="G403">
        <v>36</v>
      </c>
      <c r="H403">
        <v>12.5</v>
      </c>
      <c r="I403">
        <v>20</v>
      </c>
      <c r="J403" t="s">
        <v>28</v>
      </c>
      <c r="K403" t="s">
        <v>20</v>
      </c>
      <c r="L403" t="s">
        <v>228</v>
      </c>
      <c r="M403" s="3">
        <v>70</v>
      </c>
      <c r="N403" s="2">
        <v>7400</v>
      </c>
      <c r="O403" t="str">
        <f t="shared" si="12"/>
        <v>&lt;=100</v>
      </c>
      <c r="P403" t="str">
        <f t="shared" si="13"/>
        <v>&lt;= 10000$</v>
      </c>
    </row>
    <row r="404" spans="1:16" x14ac:dyDescent="0.25">
      <c r="A404">
        <v>403</v>
      </c>
      <c r="B404" t="s">
        <v>14</v>
      </c>
      <c r="C404" t="s">
        <v>398</v>
      </c>
      <c r="D404" t="s">
        <v>16</v>
      </c>
      <c r="E404" t="s">
        <v>17</v>
      </c>
      <c r="F404" s="3">
        <v>100</v>
      </c>
      <c r="G404">
        <v>36</v>
      </c>
      <c r="H404">
        <v>12.5</v>
      </c>
      <c r="I404">
        <v>20</v>
      </c>
      <c r="J404" t="s">
        <v>19</v>
      </c>
      <c r="K404" t="s">
        <v>20</v>
      </c>
      <c r="L404" t="s">
        <v>21</v>
      </c>
      <c r="M404" s="3">
        <v>70</v>
      </c>
      <c r="N404" s="2">
        <v>6500</v>
      </c>
      <c r="O404" t="str">
        <f t="shared" si="12"/>
        <v>&lt;=100</v>
      </c>
      <c r="P404" t="str">
        <f t="shared" si="13"/>
        <v>&lt;= 10000$</v>
      </c>
    </row>
    <row r="405" spans="1:16" x14ac:dyDescent="0.25">
      <c r="A405">
        <v>404</v>
      </c>
      <c r="B405" t="s">
        <v>51</v>
      </c>
      <c r="C405" t="s">
        <v>399</v>
      </c>
      <c r="D405" t="s">
        <v>26</v>
      </c>
      <c r="E405" t="s">
        <v>17</v>
      </c>
      <c r="F405" s="3">
        <v>200</v>
      </c>
      <c r="G405">
        <v>44.3</v>
      </c>
      <c r="H405">
        <v>12.9</v>
      </c>
      <c r="I405">
        <v>20</v>
      </c>
      <c r="J405" t="s">
        <v>19</v>
      </c>
      <c r="K405" t="s">
        <v>20</v>
      </c>
      <c r="L405" t="s">
        <v>21</v>
      </c>
      <c r="M405" s="3">
        <v>50</v>
      </c>
      <c r="N405" s="2">
        <v>1400</v>
      </c>
      <c r="O405" t="str">
        <f t="shared" si="12"/>
        <v>100-200</v>
      </c>
      <c r="P405" t="str">
        <f t="shared" si="13"/>
        <v xml:space="preserve"> &lt;=2000$</v>
      </c>
    </row>
    <row r="406" spans="1:16" x14ac:dyDescent="0.25">
      <c r="A406">
        <v>405</v>
      </c>
      <c r="B406" t="s">
        <v>51</v>
      </c>
      <c r="C406" t="s">
        <v>400</v>
      </c>
      <c r="D406" t="s">
        <v>154</v>
      </c>
      <c r="E406" t="s">
        <v>17</v>
      </c>
      <c r="F406" s="3">
        <v>200</v>
      </c>
      <c r="G406">
        <v>43</v>
      </c>
      <c r="H406">
        <v>13.2</v>
      </c>
      <c r="I406">
        <v>22</v>
      </c>
      <c r="J406" t="s">
        <v>28</v>
      </c>
      <c r="K406" t="s">
        <v>155</v>
      </c>
      <c r="L406" t="s">
        <v>21</v>
      </c>
      <c r="M406" s="3">
        <v>50</v>
      </c>
      <c r="N406" s="2">
        <v>1300</v>
      </c>
      <c r="O406" t="str">
        <f t="shared" si="12"/>
        <v>100-200</v>
      </c>
      <c r="P406" t="str">
        <f t="shared" si="13"/>
        <v xml:space="preserve"> &lt;=2000$</v>
      </c>
    </row>
    <row r="407" spans="1:16" x14ac:dyDescent="0.25">
      <c r="A407">
        <v>406</v>
      </c>
      <c r="B407" t="s">
        <v>51</v>
      </c>
      <c r="C407" t="s">
        <v>399</v>
      </c>
      <c r="D407" t="s">
        <v>154</v>
      </c>
      <c r="E407" t="s">
        <v>17</v>
      </c>
      <c r="F407" s="3">
        <v>200</v>
      </c>
      <c r="G407">
        <v>44.3</v>
      </c>
      <c r="H407">
        <v>12.7</v>
      </c>
      <c r="I407">
        <v>20</v>
      </c>
      <c r="J407" t="s">
        <v>28</v>
      </c>
      <c r="K407" t="s">
        <v>20</v>
      </c>
      <c r="L407" t="s">
        <v>177</v>
      </c>
      <c r="M407" s="3">
        <v>41</v>
      </c>
      <c r="N407" s="2">
        <v>1200</v>
      </c>
      <c r="O407" t="str">
        <f t="shared" si="12"/>
        <v>100-200</v>
      </c>
      <c r="P407" t="str">
        <f t="shared" si="13"/>
        <v xml:space="preserve"> &lt;=2000$</v>
      </c>
    </row>
    <row r="408" spans="1:16" x14ac:dyDescent="0.25">
      <c r="A408">
        <v>407</v>
      </c>
      <c r="B408" t="s">
        <v>51</v>
      </c>
      <c r="C408" t="s">
        <v>399</v>
      </c>
      <c r="D408" t="s">
        <v>154</v>
      </c>
      <c r="E408" t="s">
        <v>17</v>
      </c>
      <c r="F408" s="3">
        <v>200</v>
      </c>
      <c r="G408">
        <v>44.3</v>
      </c>
      <c r="H408">
        <v>13.1</v>
      </c>
      <c r="I408">
        <v>22</v>
      </c>
      <c r="J408" t="s">
        <v>19</v>
      </c>
      <c r="K408" t="s">
        <v>155</v>
      </c>
      <c r="L408" t="s">
        <v>68</v>
      </c>
      <c r="M408" s="3">
        <v>50</v>
      </c>
      <c r="N408" s="2">
        <v>1200</v>
      </c>
      <c r="O408" t="str">
        <f t="shared" si="12"/>
        <v>100-200</v>
      </c>
      <c r="P408" t="str">
        <f t="shared" si="13"/>
        <v xml:space="preserve"> &lt;=2000$</v>
      </c>
    </row>
    <row r="409" spans="1:16" x14ac:dyDescent="0.25">
      <c r="A409">
        <v>408</v>
      </c>
      <c r="B409" t="s">
        <v>51</v>
      </c>
      <c r="C409" t="s">
        <v>401</v>
      </c>
      <c r="D409" t="s">
        <v>154</v>
      </c>
      <c r="E409" t="s">
        <v>17</v>
      </c>
      <c r="F409" s="3">
        <v>200</v>
      </c>
      <c r="G409">
        <v>42.3</v>
      </c>
      <c r="H409">
        <v>13.4</v>
      </c>
      <c r="I409">
        <v>22</v>
      </c>
      <c r="J409" t="s">
        <v>28</v>
      </c>
      <c r="K409" t="s">
        <v>155</v>
      </c>
      <c r="L409" t="s">
        <v>45</v>
      </c>
      <c r="M409" s="3">
        <v>50</v>
      </c>
      <c r="N409" s="2">
        <v>650</v>
      </c>
      <c r="O409" t="str">
        <f t="shared" si="12"/>
        <v>100-200</v>
      </c>
      <c r="P409" t="str">
        <f t="shared" si="13"/>
        <v>&lt;= 1000$</v>
      </c>
    </row>
    <row r="410" spans="1:16" x14ac:dyDescent="0.25">
      <c r="A410">
        <v>409</v>
      </c>
      <c r="B410" t="s">
        <v>71</v>
      </c>
      <c r="C410" t="s">
        <v>402</v>
      </c>
      <c r="D410" t="s">
        <v>154</v>
      </c>
      <c r="E410" t="s">
        <v>17</v>
      </c>
      <c r="F410" s="3">
        <v>500</v>
      </c>
      <c r="G410">
        <v>45</v>
      </c>
      <c r="H410">
        <v>14.7</v>
      </c>
      <c r="I410">
        <v>22</v>
      </c>
      <c r="J410" t="s">
        <v>19</v>
      </c>
      <c r="K410" t="s">
        <v>20</v>
      </c>
      <c r="L410" t="s">
        <v>45</v>
      </c>
      <c r="M410" s="3">
        <v>38</v>
      </c>
      <c r="N410" s="2">
        <v>3350</v>
      </c>
      <c r="O410" t="str">
        <f t="shared" si="12"/>
        <v>300-500</v>
      </c>
      <c r="P410" t="str">
        <f t="shared" si="13"/>
        <v>&lt;=5000$</v>
      </c>
    </row>
    <row r="411" spans="1:16" x14ac:dyDescent="0.25">
      <c r="A411">
        <v>410</v>
      </c>
      <c r="B411" t="s">
        <v>71</v>
      </c>
      <c r="C411" t="s">
        <v>403</v>
      </c>
      <c r="D411" t="s">
        <v>26</v>
      </c>
      <c r="E411" t="s">
        <v>17</v>
      </c>
      <c r="F411" s="3">
        <v>1000</v>
      </c>
      <c r="G411">
        <v>44</v>
      </c>
      <c r="H411">
        <v>14.3</v>
      </c>
      <c r="I411">
        <v>22</v>
      </c>
      <c r="J411" t="s">
        <v>19</v>
      </c>
      <c r="K411" t="s">
        <v>20</v>
      </c>
      <c r="L411" t="s">
        <v>45</v>
      </c>
      <c r="M411" s="3">
        <v>38</v>
      </c>
      <c r="N411" s="2">
        <v>2500</v>
      </c>
      <c r="O411" t="str">
        <f t="shared" si="12"/>
        <v>1000+</v>
      </c>
      <c r="P411" t="str">
        <f t="shared" si="13"/>
        <v>&lt;=5000$</v>
      </c>
    </row>
    <row r="412" spans="1:16" x14ac:dyDescent="0.25">
      <c r="A412">
        <v>411</v>
      </c>
      <c r="B412" t="s">
        <v>71</v>
      </c>
      <c r="C412" t="s">
        <v>404</v>
      </c>
      <c r="D412" t="s">
        <v>32</v>
      </c>
      <c r="E412" t="s">
        <v>17</v>
      </c>
      <c r="F412" s="3">
        <v>200</v>
      </c>
      <c r="G412">
        <v>41</v>
      </c>
      <c r="H412">
        <v>11.5</v>
      </c>
      <c r="I412">
        <v>20</v>
      </c>
      <c r="J412" t="s">
        <v>19</v>
      </c>
      <c r="K412" t="s">
        <v>20</v>
      </c>
      <c r="L412" t="s">
        <v>21</v>
      </c>
      <c r="M412" s="3">
        <v>42</v>
      </c>
      <c r="N412" s="2">
        <v>1400</v>
      </c>
      <c r="O412" t="str">
        <f t="shared" si="12"/>
        <v>100-200</v>
      </c>
      <c r="P412" t="str">
        <f t="shared" si="13"/>
        <v xml:space="preserve"> &lt;=2000$</v>
      </c>
    </row>
    <row r="413" spans="1:16" x14ac:dyDescent="0.25">
      <c r="A413">
        <v>412</v>
      </c>
      <c r="B413" t="s">
        <v>220</v>
      </c>
      <c r="C413" t="s">
        <v>405</v>
      </c>
      <c r="D413" t="s">
        <v>32</v>
      </c>
      <c r="E413" t="s">
        <v>17</v>
      </c>
      <c r="F413" s="3">
        <v>100</v>
      </c>
      <c r="G413">
        <v>39</v>
      </c>
      <c r="H413">
        <v>14</v>
      </c>
      <c r="I413">
        <v>22</v>
      </c>
      <c r="J413" t="s">
        <v>28</v>
      </c>
      <c r="K413" t="s">
        <v>20</v>
      </c>
      <c r="L413" t="s">
        <v>35</v>
      </c>
      <c r="M413" s="3">
        <v>42</v>
      </c>
      <c r="N413" s="2">
        <v>6550</v>
      </c>
      <c r="O413" t="str">
        <f t="shared" si="12"/>
        <v>&lt;=100</v>
      </c>
      <c r="P413" t="str">
        <f t="shared" si="13"/>
        <v>&lt;= 10000$</v>
      </c>
    </row>
    <row r="414" spans="1:16" x14ac:dyDescent="0.25">
      <c r="A414">
        <v>413</v>
      </c>
      <c r="B414" t="s">
        <v>30</v>
      </c>
      <c r="C414" t="s">
        <v>405</v>
      </c>
      <c r="D414" t="s">
        <v>32</v>
      </c>
      <c r="E414" t="s">
        <v>17</v>
      </c>
      <c r="F414" s="3">
        <v>100</v>
      </c>
      <c r="G414">
        <v>39</v>
      </c>
      <c r="H414">
        <v>14.5</v>
      </c>
      <c r="I414">
        <v>22</v>
      </c>
      <c r="J414" t="s">
        <v>28</v>
      </c>
      <c r="K414" t="s">
        <v>20</v>
      </c>
      <c r="L414" t="s">
        <v>35</v>
      </c>
      <c r="M414" s="3">
        <v>42</v>
      </c>
      <c r="N414" s="2">
        <v>5900</v>
      </c>
      <c r="O414" t="str">
        <f t="shared" si="12"/>
        <v>&lt;=100</v>
      </c>
      <c r="P414" t="str">
        <f t="shared" si="13"/>
        <v>&lt;= 10000$</v>
      </c>
    </row>
    <row r="415" spans="1:16" x14ac:dyDescent="0.25">
      <c r="A415">
        <v>414</v>
      </c>
      <c r="B415" t="s">
        <v>30</v>
      </c>
      <c r="C415" t="s">
        <v>405</v>
      </c>
      <c r="D415" t="s">
        <v>32</v>
      </c>
      <c r="E415" t="s">
        <v>17</v>
      </c>
      <c r="F415" s="3">
        <v>100</v>
      </c>
      <c r="G415">
        <v>39</v>
      </c>
      <c r="H415">
        <v>14.5</v>
      </c>
      <c r="I415">
        <v>22</v>
      </c>
      <c r="J415" t="s">
        <v>28</v>
      </c>
      <c r="K415" t="s">
        <v>20</v>
      </c>
      <c r="L415" t="s">
        <v>35</v>
      </c>
      <c r="M415" s="3">
        <v>40</v>
      </c>
      <c r="N415" s="2">
        <v>5200</v>
      </c>
      <c r="O415" t="str">
        <f t="shared" si="12"/>
        <v>&lt;=100</v>
      </c>
      <c r="P415" t="str">
        <f t="shared" si="13"/>
        <v>&lt;= 10000$</v>
      </c>
    </row>
    <row r="416" spans="1:16" x14ac:dyDescent="0.25">
      <c r="A416">
        <v>415</v>
      </c>
      <c r="B416" t="s">
        <v>30</v>
      </c>
      <c r="C416" t="s">
        <v>405</v>
      </c>
      <c r="D416" t="s">
        <v>32</v>
      </c>
      <c r="E416" t="s">
        <v>17</v>
      </c>
      <c r="F416" s="3">
        <v>100</v>
      </c>
      <c r="G416">
        <v>39</v>
      </c>
      <c r="H416">
        <v>14</v>
      </c>
      <c r="I416">
        <v>22</v>
      </c>
      <c r="J416" t="s">
        <v>28</v>
      </c>
      <c r="K416" t="s">
        <v>20</v>
      </c>
      <c r="L416" t="s">
        <v>35</v>
      </c>
      <c r="M416" s="3">
        <v>40</v>
      </c>
      <c r="N416" s="2">
        <v>4950</v>
      </c>
      <c r="O416" t="str">
        <f t="shared" si="12"/>
        <v>&lt;=100</v>
      </c>
      <c r="P416" t="str">
        <f t="shared" si="13"/>
        <v>&lt;=5000$</v>
      </c>
    </row>
    <row r="417" spans="1:16" x14ac:dyDescent="0.25">
      <c r="A417">
        <v>416</v>
      </c>
      <c r="B417" t="s">
        <v>30</v>
      </c>
      <c r="C417" t="s">
        <v>406</v>
      </c>
      <c r="D417" t="s">
        <v>32</v>
      </c>
      <c r="E417" t="s">
        <v>17</v>
      </c>
      <c r="F417" s="3">
        <v>100</v>
      </c>
      <c r="G417">
        <v>41</v>
      </c>
      <c r="H417">
        <v>13</v>
      </c>
      <c r="I417">
        <v>20</v>
      </c>
      <c r="J417" t="s">
        <v>34</v>
      </c>
      <c r="K417" t="s">
        <v>20</v>
      </c>
      <c r="L417" t="s">
        <v>35</v>
      </c>
      <c r="M417" s="3">
        <v>42</v>
      </c>
      <c r="N417" s="2">
        <v>4200</v>
      </c>
      <c r="O417" t="str">
        <f t="shared" si="12"/>
        <v>&lt;=100</v>
      </c>
      <c r="P417" t="str">
        <f t="shared" si="13"/>
        <v>&lt;=5000$</v>
      </c>
    </row>
    <row r="418" spans="1:16" x14ac:dyDescent="0.25">
      <c r="A418">
        <v>417</v>
      </c>
      <c r="B418" t="s">
        <v>30</v>
      </c>
      <c r="C418" t="s">
        <v>406</v>
      </c>
      <c r="D418" t="s">
        <v>32</v>
      </c>
      <c r="E418" t="s">
        <v>17</v>
      </c>
      <c r="F418" s="3">
        <v>100</v>
      </c>
      <c r="G418">
        <v>41</v>
      </c>
      <c r="H418">
        <v>13</v>
      </c>
      <c r="I418">
        <v>20</v>
      </c>
      <c r="J418" t="s">
        <v>34</v>
      </c>
      <c r="K418" t="s">
        <v>20</v>
      </c>
      <c r="L418" t="s">
        <v>35</v>
      </c>
      <c r="M418" s="3">
        <v>42</v>
      </c>
      <c r="N418" s="2">
        <v>4200</v>
      </c>
      <c r="O418" t="str">
        <f t="shared" si="12"/>
        <v>&lt;=100</v>
      </c>
      <c r="P418" t="str">
        <f t="shared" si="13"/>
        <v>&lt;=5000$</v>
      </c>
    </row>
    <row r="419" spans="1:16" x14ac:dyDescent="0.25">
      <c r="A419">
        <v>418</v>
      </c>
      <c r="B419" t="s">
        <v>30</v>
      </c>
      <c r="C419" t="s">
        <v>407</v>
      </c>
      <c r="D419" t="s">
        <v>16</v>
      </c>
      <c r="E419" t="s">
        <v>17</v>
      </c>
      <c r="F419" s="3">
        <v>300</v>
      </c>
      <c r="G419">
        <v>43</v>
      </c>
      <c r="H419">
        <v>13</v>
      </c>
      <c r="I419">
        <v>21</v>
      </c>
      <c r="J419" t="s">
        <v>28</v>
      </c>
      <c r="K419" t="s">
        <v>20</v>
      </c>
      <c r="L419" t="s">
        <v>21</v>
      </c>
      <c r="M419" s="3">
        <v>38</v>
      </c>
      <c r="N419" s="2">
        <v>3700</v>
      </c>
      <c r="O419" t="str">
        <f t="shared" si="12"/>
        <v>200-300</v>
      </c>
      <c r="P419" t="str">
        <f t="shared" si="13"/>
        <v>&lt;=5000$</v>
      </c>
    </row>
    <row r="420" spans="1:16" x14ac:dyDescent="0.25">
      <c r="A420">
        <v>419</v>
      </c>
      <c r="B420" t="s">
        <v>220</v>
      </c>
      <c r="C420" t="s">
        <v>407</v>
      </c>
      <c r="D420" t="s">
        <v>16</v>
      </c>
      <c r="E420" t="s">
        <v>17</v>
      </c>
      <c r="F420" s="3">
        <v>300</v>
      </c>
      <c r="G420">
        <v>43</v>
      </c>
      <c r="H420">
        <v>12.5</v>
      </c>
      <c r="I420">
        <v>21</v>
      </c>
      <c r="J420" t="s">
        <v>19</v>
      </c>
      <c r="K420" t="s">
        <v>20</v>
      </c>
      <c r="L420" t="s">
        <v>21</v>
      </c>
      <c r="M420" s="3">
        <v>38</v>
      </c>
      <c r="N420" s="2">
        <v>3100</v>
      </c>
      <c r="O420" t="str">
        <f t="shared" si="12"/>
        <v>200-300</v>
      </c>
      <c r="P420" t="str">
        <f t="shared" si="13"/>
        <v>&lt;=5000$</v>
      </c>
    </row>
    <row r="421" spans="1:16" x14ac:dyDescent="0.25">
      <c r="A421">
        <v>420</v>
      </c>
      <c r="B421" t="s">
        <v>30</v>
      </c>
      <c r="C421" t="s">
        <v>408</v>
      </c>
      <c r="D421" t="s">
        <v>16</v>
      </c>
      <c r="E421" t="s">
        <v>17</v>
      </c>
      <c r="F421" s="3">
        <v>300</v>
      </c>
      <c r="G421">
        <v>41</v>
      </c>
      <c r="H421">
        <v>12</v>
      </c>
      <c r="I421">
        <v>20</v>
      </c>
      <c r="J421" t="s">
        <v>28</v>
      </c>
      <c r="K421" t="s">
        <v>20</v>
      </c>
      <c r="L421" t="s">
        <v>21</v>
      </c>
      <c r="M421" s="3">
        <v>38</v>
      </c>
      <c r="N421" s="2">
        <v>2800</v>
      </c>
      <c r="O421" t="str">
        <f t="shared" si="12"/>
        <v>200-300</v>
      </c>
      <c r="P421" t="str">
        <f t="shared" si="13"/>
        <v>&lt;=5000$</v>
      </c>
    </row>
    <row r="422" spans="1:16" x14ac:dyDescent="0.25">
      <c r="A422">
        <v>421</v>
      </c>
      <c r="B422" t="s">
        <v>30</v>
      </c>
      <c r="C422" t="s">
        <v>408</v>
      </c>
      <c r="D422" t="s">
        <v>16</v>
      </c>
      <c r="E422" t="s">
        <v>17</v>
      </c>
      <c r="F422" s="3">
        <v>300</v>
      </c>
      <c r="G422">
        <v>41</v>
      </c>
      <c r="H422">
        <v>12.5</v>
      </c>
      <c r="I422">
        <v>20</v>
      </c>
      <c r="J422" t="s">
        <v>19</v>
      </c>
      <c r="K422" t="s">
        <v>20</v>
      </c>
      <c r="L422" t="s">
        <v>21</v>
      </c>
      <c r="M422" s="3">
        <v>38</v>
      </c>
      <c r="N422" s="2">
        <v>2700</v>
      </c>
      <c r="O422" t="str">
        <f t="shared" si="12"/>
        <v>200-300</v>
      </c>
      <c r="P422" t="str">
        <f t="shared" si="13"/>
        <v>&lt;=5000$</v>
      </c>
    </row>
    <row r="423" spans="1:16" x14ac:dyDescent="0.25">
      <c r="A423">
        <v>422</v>
      </c>
      <c r="B423" t="s">
        <v>30</v>
      </c>
      <c r="C423" t="s">
        <v>407</v>
      </c>
      <c r="D423" t="s">
        <v>16</v>
      </c>
      <c r="E423" t="s">
        <v>43</v>
      </c>
      <c r="F423" s="3">
        <v>300</v>
      </c>
      <c r="G423">
        <v>43</v>
      </c>
      <c r="H423">
        <v>10.8</v>
      </c>
      <c r="I423">
        <v>21</v>
      </c>
      <c r="J423" t="s">
        <v>28</v>
      </c>
      <c r="K423" t="s">
        <v>20</v>
      </c>
      <c r="L423" t="s">
        <v>21</v>
      </c>
      <c r="M423" s="3" t="s">
        <v>46</v>
      </c>
      <c r="N423" s="2">
        <v>2600</v>
      </c>
      <c r="O423" t="str">
        <f t="shared" si="12"/>
        <v>200-300</v>
      </c>
      <c r="P423" t="str">
        <f t="shared" si="13"/>
        <v>&lt;=5000$</v>
      </c>
    </row>
    <row r="424" spans="1:16" x14ac:dyDescent="0.25">
      <c r="A424">
        <v>423</v>
      </c>
      <c r="B424" t="s">
        <v>30</v>
      </c>
      <c r="C424" t="s">
        <v>407</v>
      </c>
      <c r="D424" t="s">
        <v>16</v>
      </c>
      <c r="E424" t="s">
        <v>43</v>
      </c>
      <c r="F424" s="3">
        <v>300</v>
      </c>
      <c r="G424">
        <v>43</v>
      </c>
      <c r="H424">
        <v>10.8</v>
      </c>
      <c r="I424">
        <v>20</v>
      </c>
      <c r="J424" t="s">
        <v>28</v>
      </c>
      <c r="K424" t="s">
        <v>20</v>
      </c>
      <c r="L424" t="s">
        <v>45</v>
      </c>
      <c r="M424" s="3" t="s">
        <v>46</v>
      </c>
      <c r="N424" s="2">
        <v>1800</v>
      </c>
      <c r="O424" t="str">
        <f t="shared" si="12"/>
        <v>200-300</v>
      </c>
      <c r="P424" t="str">
        <f t="shared" si="13"/>
        <v xml:space="preserve"> &lt;=2000$</v>
      </c>
    </row>
    <row r="425" spans="1:16" x14ac:dyDescent="0.25">
      <c r="A425">
        <v>424</v>
      </c>
      <c r="B425" t="s">
        <v>30</v>
      </c>
      <c r="C425" t="s">
        <v>409</v>
      </c>
      <c r="D425" t="s">
        <v>16</v>
      </c>
      <c r="E425" t="s">
        <v>43</v>
      </c>
      <c r="F425" s="3">
        <v>300</v>
      </c>
      <c r="G425">
        <v>32</v>
      </c>
      <c r="H425">
        <v>9.5</v>
      </c>
      <c r="I425">
        <v>15</v>
      </c>
      <c r="J425" t="s">
        <v>28</v>
      </c>
      <c r="K425" t="s">
        <v>20</v>
      </c>
      <c r="L425" t="s">
        <v>45</v>
      </c>
      <c r="M425" s="3" t="s">
        <v>46</v>
      </c>
      <c r="N425" s="2">
        <v>1700</v>
      </c>
      <c r="O425" t="str">
        <f t="shared" si="12"/>
        <v>200-300</v>
      </c>
      <c r="P425" t="str">
        <f t="shared" si="13"/>
        <v xml:space="preserve"> &lt;=2000$</v>
      </c>
    </row>
    <row r="426" spans="1:16" x14ac:dyDescent="0.25">
      <c r="A426">
        <v>425</v>
      </c>
      <c r="B426" t="s">
        <v>56</v>
      </c>
      <c r="C426" t="s">
        <v>410</v>
      </c>
      <c r="D426" t="s">
        <v>32</v>
      </c>
      <c r="E426" t="s">
        <v>17</v>
      </c>
      <c r="F426" s="3">
        <v>30</v>
      </c>
      <c r="G426">
        <v>39.299999999999997</v>
      </c>
      <c r="H426">
        <v>9.75</v>
      </c>
      <c r="I426">
        <v>19</v>
      </c>
      <c r="J426" t="s">
        <v>34</v>
      </c>
      <c r="K426" t="s">
        <v>20</v>
      </c>
      <c r="L426" t="s">
        <v>21</v>
      </c>
      <c r="M426" s="3">
        <v>38</v>
      </c>
      <c r="N426" s="2">
        <v>650</v>
      </c>
      <c r="O426" t="str">
        <f t="shared" si="12"/>
        <v>&lt;=100</v>
      </c>
      <c r="P426" t="str">
        <f t="shared" si="13"/>
        <v>&lt;= 1000$</v>
      </c>
    </row>
    <row r="427" spans="1:16" x14ac:dyDescent="0.25">
      <c r="A427">
        <v>426</v>
      </c>
      <c r="B427" t="s">
        <v>56</v>
      </c>
      <c r="C427" t="s">
        <v>410</v>
      </c>
      <c r="D427" t="s">
        <v>32</v>
      </c>
      <c r="E427" t="s">
        <v>17</v>
      </c>
      <c r="F427" s="3">
        <v>30</v>
      </c>
      <c r="G427">
        <v>39.299999999999997</v>
      </c>
      <c r="H427">
        <v>9.75</v>
      </c>
      <c r="I427">
        <v>20</v>
      </c>
      <c r="J427" t="s">
        <v>44</v>
      </c>
      <c r="K427" t="s">
        <v>20</v>
      </c>
      <c r="L427" t="s">
        <v>21</v>
      </c>
      <c r="M427" s="3">
        <v>38</v>
      </c>
      <c r="N427" s="2">
        <v>650</v>
      </c>
      <c r="O427" t="str">
        <f t="shared" si="12"/>
        <v>&lt;=100</v>
      </c>
      <c r="P427" t="str">
        <f t="shared" si="13"/>
        <v>&lt;= 1000$</v>
      </c>
    </row>
    <row r="428" spans="1:16" x14ac:dyDescent="0.25">
      <c r="A428">
        <v>427</v>
      </c>
      <c r="B428" t="s">
        <v>89</v>
      </c>
      <c r="C428" t="s">
        <v>411</v>
      </c>
      <c r="D428" t="s">
        <v>140</v>
      </c>
      <c r="E428" t="s">
        <v>17</v>
      </c>
      <c r="F428" s="3">
        <v>200</v>
      </c>
      <c r="G428">
        <v>41</v>
      </c>
      <c r="H428">
        <v>12.7</v>
      </c>
      <c r="I428">
        <v>22</v>
      </c>
      <c r="J428" t="s">
        <v>19</v>
      </c>
      <c r="K428" t="s">
        <v>20</v>
      </c>
      <c r="L428" t="s">
        <v>45</v>
      </c>
      <c r="M428" s="3">
        <v>70</v>
      </c>
      <c r="N428" s="2">
        <v>4500</v>
      </c>
      <c r="O428" t="str">
        <f t="shared" si="12"/>
        <v>100-200</v>
      </c>
      <c r="P428" t="str">
        <f t="shared" si="13"/>
        <v>&lt;=5000$</v>
      </c>
    </row>
    <row r="429" spans="1:16" x14ac:dyDescent="0.25">
      <c r="A429">
        <v>428</v>
      </c>
      <c r="B429" t="s">
        <v>89</v>
      </c>
      <c r="C429" t="s">
        <v>412</v>
      </c>
      <c r="D429" t="s">
        <v>16</v>
      </c>
      <c r="E429" t="s">
        <v>17</v>
      </c>
      <c r="F429" s="3">
        <v>200</v>
      </c>
      <c r="G429">
        <v>41</v>
      </c>
      <c r="H429">
        <v>14.5</v>
      </c>
      <c r="I429">
        <v>22</v>
      </c>
      <c r="J429" t="s">
        <v>19</v>
      </c>
      <c r="K429" t="s">
        <v>20</v>
      </c>
      <c r="L429" t="s">
        <v>92</v>
      </c>
      <c r="M429" s="3">
        <v>70</v>
      </c>
      <c r="N429" s="2">
        <v>4500</v>
      </c>
      <c r="O429" t="str">
        <f t="shared" si="12"/>
        <v>100-200</v>
      </c>
      <c r="P429" t="str">
        <f t="shared" si="13"/>
        <v>&lt;=5000$</v>
      </c>
    </row>
    <row r="430" spans="1:16" x14ac:dyDescent="0.25">
      <c r="A430">
        <v>429</v>
      </c>
      <c r="B430" t="s">
        <v>89</v>
      </c>
      <c r="C430" t="s">
        <v>411</v>
      </c>
      <c r="D430" t="s">
        <v>140</v>
      </c>
      <c r="E430" t="s">
        <v>17</v>
      </c>
      <c r="F430" s="3">
        <v>200</v>
      </c>
      <c r="G430">
        <v>41</v>
      </c>
      <c r="H430">
        <v>11.9</v>
      </c>
      <c r="I430">
        <v>22</v>
      </c>
      <c r="J430" t="s">
        <v>19</v>
      </c>
      <c r="K430" t="s">
        <v>20</v>
      </c>
      <c r="L430" t="s">
        <v>21</v>
      </c>
      <c r="M430" s="3">
        <v>70</v>
      </c>
      <c r="N430" s="2">
        <v>4100</v>
      </c>
      <c r="O430" t="str">
        <f t="shared" si="12"/>
        <v>100-200</v>
      </c>
      <c r="P430" t="str">
        <f t="shared" si="13"/>
        <v>&lt;=5000$</v>
      </c>
    </row>
    <row r="431" spans="1:16" x14ac:dyDescent="0.25">
      <c r="A431">
        <v>430</v>
      </c>
      <c r="B431" t="s">
        <v>89</v>
      </c>
      <c r="C431" t="s">
        <v>412</v>
      </c>
      <c r="D431" t="s">
        <v>16</v>
      </c>
      <c r="E431" t="s">
        <v>17</v>
      </c>
      <c r="F431" s="3">
        <v>200</v>
      </c>
      <c r="G431">
        <v>41</v>
      </c>
      <c r="H431">
        <v>14.5</v>
      </c>
      <c r="I431">
        <v>22</v>
      </c>
      <c r="J431" t="s">
        <v>19</v>
      </c>
      <c r="K431" t="s">
        <v>20</v>
      </c>
      <c r="L431" t="s">
        <v>92</v>
      </c>
      <c r="M431" s="3">
        <v>70</v>
      </c>
      <c r="N431" s="2">
        <v>4000</v>
      </c>
      <c r="O431" t="str">
        <f t="shared" si="12"/>
        <v>100-200</v>
      </c>
      <c r="P431" t="str">
        <f t="shared" si="13"/>
        <v>&lt;=5000$</v>
      </c>
    </row>
    <row r="432" spans="1:16" x14ac:dyDescent="0.25">
      <c r="A432">
        <v>431</v>
      </c>
      <c r="B432" t="s">
        <v>89</v>
      </c>
      <c r="C432" t="s">
        <v>411</v>
      </c>
      <c r="D432" t="s">
        <v>32</v>
      </c>
      <c r="E432" t="s">
        <v>17</v>
      </c>
      <c r="F432" s="3">
        <v>200</v>
      </c>
      <c r="G432">
        <v>41</v>
      </c>
      <c r="H432">
        <v>12.7</v>
      </c>
      <c r="I432">
        <v>22</v>
      </c>
      <c r="J432" t="s">
        <v>19</v>
      </c>
      <c r="K432" t="s">
        <v>20</v>
      </c>
      <c r="L432" t="s">
        <v>21</v>
      </c>
      <c r="M432" s="3">
        <v>70</v>
      </c>
      <c r="N432" s="2">
        <v>3900</v>
      </c>
      <c r="O432" t="str">
        <f t="shared" si="12"/>
        <v>100-200</v>
      </c>
      <c r="P432" t="str">
        <f t="shared" si="13"/>
        <v>&lt;=5000$</v>
      </c>
    </row>
    <row r="433" spans="1:16" x14ac:dyDescent="0.25">
      <c r="A433">
        <v>432</v>
      </c>
      <c r="B433" t="s">
        <v>89</v>
      </c>
      <c r="C433" t="s">
        <v>411</v>
      </c>
      <c r="D433" t="s">
        <v>32</v>
      </c>
      <c r="E433" t="s">
        <v>17</v>
      </c>
      <c r="F433" s="3">
        <v>200</v>
      </c>
      <c r="G433">
        <v>41</v>
      </c>
      <c r="H433">
        <v>12.7</v>
      </c>
      <c r="I433">
        <v>22</v>
      </c>
      <c r="J433" t="s">
        <v>19</v>
      </c>
      <c r="K433" t="s">
        <v>20</v>
      </c>
      <c r="L433" t="s">
        <v>21</v>
      </c>
      <c r="M433" s="3">
        <v>70</v>
      </c>
      <c r="N433" s="2">
        <v>3800</v>
      </c>
      <c r="O433" t="str">
        <f t="shared" si="12"/>
        <v>100-200</v>
      </c>
      <c r="P433" t="str">
        <f t="shared" si="13"/>
        <v>&lt;=5000$</v>
      </c>
    </row>
    <row r="434" spans="1:16" x14ac:dyDescent="0.25">
      <c r="A434">
        <v>433</v>
      </c>
      <c r="B434" t="s">
        <v>89</v>
      </c>
      <c r="C434" t="s">
        <v>411</v>
      </c>
      <c r="D434" t="s">
        <v>32</v>
      </c>
      <c r="E434" t="s">
        <v>17</v>
      </c>
      <c r="F434" s="3">
        <v>200</v>
      </c>
      <c r="G434">
        <v>41</v>
      </c>
      <c r="H434">
        <v>14.75</v>
      </c>
      <c r="I434">
        <v>22</v>
      </c>
      <c r="J434" t="s">
        <v>19</v>
      </c>
      <c r="K434" t="s">
        <v>20</v>
      </c>
      <c r="L434" t="s">
        <v>45</v>
      </c>
      <c r="M434" s="3">
        <v>70</v>
      </c>
      <c r="N434" s="2">
        <v>3800</v>
      </c>
      <c r="O434" t="str">
        <f t="shared" si="12"/>
        <v>100-200</v>
      </c>
      <c r="P434" t="str">
        <f t="shared" si="13"/>
        <v>&lt;=5000$</v>
      </c>
    </row>
    <row r="435" spans="1:16" x14ac:dyDescent="0.25">
      <c r="A435">
        <v>434</v>
      </c>
      <c r="B435" t="s">
        <v>89</v>
      </c>
      <c r="C435" t="s">
        <v>411</v>
      </c>
      <c r="D435" t="s">
        <v>32</v>
      </c>
      <c r="E435" t="s">
        <v>17</v>
      </c>
      <c r="F435" s="3">
        <v>200</v>
      </c>
      <c r="G435">
        <v>41</v>
      </c>
      <c r="H435">
        <v>12.7</v>
      </c>
      <c r="I435">
        <v>22</v>
      </c>
      <c r="J435" t="s">
        <v>19</v>
      </c>
      <c r="K435" t="s">
        <v>20</v>
      </c>
      <c r="L435" t="s">
        <v>21</v>
      </c>
      <c r="M435" s="3">
        <v>70</v>
      </c>
      <c r="N435" s="2">
        <v>3800</v>
      </c>
      <c r="O435" t="str">
        <f t="shared" si="12"/>
        <v>100-200</v>
      </c>
      <c r="P435" t="str">
        <f t="shared" si="13"/>
        <v>&lt;=5000$</v>
      </c>
    </row>
    <row r="436" spans="1:16" x14ac:dyDescent="0.25">
      <c r="A436">
        <v>435</v>
      </c>
      <c r="B436" t="s">
        <v>89</v>
      </c>
      <c r="C436" t="s">
        <v>411</v>
      </c>
      <c r="D436" t="s">
        <v>32</v>
      </c>
      <c r="E436" t="s">
        <v>17</v>
      </c>
      <c r="F436" s="3">
        <v>200</v>
      </c>
      <c r="G436">
        <v>41</v>
      </c>
      <c r="H436">
        <v>14.75</v>
      </c>
      <c r="I436">
        <v>22</v>
      </c>
      <c r="J436" t="s">
        <v>19</v>
      </c>
      <c r="K436" t="s">
        <v>20</v>
      </c>
      <c r="L436" t="s">
        <v>45</v>
      </c>
      <c r="M436" s="3">
        <v>70</v>
      </c>
      <c r="N436" s="2">
        <v>3800</v>
      </c>
      <c r="O436" t="str">
        <f t="shared" si="12"/>
        <v>100-200</v>
      </c>
      <c r="P436" t="str">
        <f t="shared" si="13"/>
        <v>&lt;=5000$</v>
      </c>
    </row>
    <row r="437" spans="1:16" x14ac:dyDescent="0.25">
      <c r="A437">
        <v>436</v>
      </c>
      <c r="B437" t="s">
        <v>89</v>
      </c>
      <c r="C437" t="s">
        <v>411</v>
      </c>
      <c r="D437" t="s">
        <v>32</v>
      </c>
      <c r="E437" t="s">
        <v>17</v>
      </c>
      <c r="F437" s="3">
        <v>200</v>
      </c>
      <c r="G437">
        <v>41</v>
      </c>
      <c r="H437">
        <v>12.7</v>
      </c>
      <c r="I437">
        <v>22</v>
      </c>
      <c r="J437" t="s">
        <v>19</v>
      </c>
      <c r="K437" t="s">
        <v>20</v>
      </c>
      <c r="L437" t="s">
        <v>21</v>
      </c>
      <c r="M437" s="3">
        <v>70</v>
      </c>
      <c r="N437" s="2">
        <v>3600</v>
      </c>
      <c r="O437" t="str">
        <f t="shared" si="12"/>
        <v>100-200</v>
      </c>
      <c r="P437" t="str">
        <f t="shared" si="13"/>
        <v>&lt;=5000$</v>
      </c>
    </row>
    <row r="438" spans="1:16" x14ac:dyDescent="0.25">
      <c r="A438">
        <v>437</v>
      </c>
      <c r="B438" t="s">
        <v>89</v>
      </c>
      <c r="C438" t="s">
        <v>411</v>
      </c>
      <c r="D438" t="s">
        <v>32</v>
      </c>
      <c r="E438" t="s">
        <v>17</v>
      </c>
      <c r="F438" s="3">
        <v>200</v>
      </c>
      <c r="G438">
        <v>41</v>
      </c>
      <c r="H438">
        <v>11.9</v>
      </c>
      <c r="I438">
        <v>22</v>
      </c>
      <c r="J438" t="s">
        <v>19</v>
      </c>
      <c r="K438" t="s">
        <v>20</v>
      </c>
      <c r="L438" t="s">
        <v>45</v>
      </c>
      <c r="M438" s="3">
        <v>70</v>
      </c>
      <c r="N438" s="2">
        <v>3500</v>
      </c>
      <c r="O438" t="str">
        <f t="shared" si="12"/>
        <v>100-200</v>
      </c>
      <c r="P438" t="str">
        <f t="shared" si="13"/>
        <v>&lt;=5000$</v>
      </c>
    </row>
    <row r="439" spans="1:16" x14ac:dyDescent="0.25">
      <c r="A439">
        <v>438</v>
      </c>
      <c r="B439" t="s">
        <v>89</v>
      </c>
      <c r="C439" t="s">
        <v>411</v>
      </c>
      <c r="D439" t="s">
        <v>32</v>
      </c>
      <c r="E439" t="s">
        <v>17</v>
      </c>
      <c r="F439" s="3">
        <v>200</v>
      </c>
      <c r="G439">
        <v>41</v>
      </c>
      <c r="H439">
        <v>12.75</v>
      </c>
      <c r="I439">
        <v>22</v>
      </c>
      <c r="J439" t="s">
        <v>19</v>
      </c>
      <c r="K439" t="s">
        <v>20</v>
      </c>
      <c r="L439" t="s">
        <v>21</v>
      </c>
      <c r="M439" s="3">
        <v>70</v>
      </c>
      <c r="N439" s="2">
        <v>3500</v>
      </c>
      <c r="O439" t="str">
        <f t="shared" si="12"/>
        <v>100-200</v>
      </c>
      <c r="P439" t="str">
        <f t="shared" si="13"/>
        <v>&lt;=5000$</v>
      </c>
    </row>
    <row r="440" spans="1:16" x14ac:dyDescent="0.25">
      <c r="A440">
        <v>439</v>
      </c>
      <c r="B440" t="s">
        <v>89</v>
      </c>
      <c r="C440" t="s">
        <v>411</v>
      </c>
      <c r="D440" t="s">
        <v>32</v>
      </c>
      <c r="E440" t="s">
        <v>17</v>
      </c>
      <c r="F440" s="3">
        <v>200</v>
      </c>
      <c r="G440">
        <v>41</v>
      </c>
      <c r="H440">
        <v>12.7</v>
      </c>
      <c r="I440">
        <v>22</v>
      </c>
      <c r="J440" t="s">
        <v>19</v>
      </c>
      <c r="K440" t="s">
        <v>20</v>
      </c>
      <c r="L440" t="s">
        <v>45</v>
      </c>
      <c r="M440" s="3">
        <v>70</v>
      </c>
      <c r="N440" s="2">
        <v>3500</v>
      </c>
      <c r="O440" t="str">
        <f t="shared" si="12"/>
        <v>100-200</v>
      </c>
      <c r="P440" t="str">
        <f t="shared" si="13"/>
        <v>&lt;=5000$</v>
      </c>
    </row>
    <row r="441" spans="1:16" x14ac:dyDescent="0.25">
      <c r="A441">
        <v>440</v>
      </c>
      <c r="B441" t="s">
        <v>89</v>
      </c>
      <c r="C441" t="s">
        <v>411</v>
      </c>
      <c r="D441" t="s">
        <v>205</v>
      </c>
      <c r="E441" t="s">
        <v>17</v>
      </c>
      <c r="F441" s="3">
        <v>200</v>
      </c>
      <c r="G441">
        <v>41</v>
      </c>
      <c r="H441">
        <v>11.9</v>
      </c>
      <c r="I441">
        <v>22</v>
      </c>
      <c r="J441" t="s">
        <v>19</v>
      </c>
      <c r="K441" t="s">
        <v>20</v>
      </c>
      <c r="L441" t="s">
        <v>45</v>
      </c>
      <c r="M441" s="3">
        <v>70</v>
      </c>
      <c r="N441" s="2">
        <v>3500</v>
      </c>
      <c r="O441" t="str">
        <f t="shared" si="12"/>
        <v>100-200</v>
      </c>
      <c r="P441" t="str">
        <f t="shared" si="13"/>
        <v>&lt;=5000$</v>
      </c>
    </row>
    <row r="442" spans="1:16" x14ac:dyDescent="0.25">
      <c r="A442">
        <v>441</v>
      </c>
      <c r="B442" t="s">
        <v>118</v>
      </c>
      <c r="C442" t="s">
        <v>413</v>
      </c>
      <c r="D442" t="s">
        <v>26</v>
      </c>
      <c r="E442" t="s">
        <v>17</v>
      </c>
      <c r="F442" s="3">
        <v>100</v>
      </c>
      <c r="G442">
        <v>44</v>
      </c>
      <c r="H442">
        <v>12.5</v>
      </c>
      <c r="I442">
        <v>22</v>
      </c>
      <c r="J442" t="s">
        <v>28</v>
      </c>
      <c r="K442" t="s">
        <v>20</v>
      </c>
      <c r="L442" t="s">
        <v>21</v>
      </c>
      <c r="M442" s="3">
        <v>60</v>
      </c>
      <c r="N442" s="2">
        <v>9500</v>
      </c>
      <c r="O442" t="str">
        <f t="shared" si="12"/>
        <v>&lt;=100</v>
      </c>
      <c r="P442" t="str">
        <f t="shared" si="13"/>
        <v>&lt;= 10000$</v>
      </c>
    </row>
    <row r="443" spans="1:16" x14ac:dyDescent="0.25">
      <c r="A443">
        <v>442</v>
      </c>
      <c r="B443" t="s">
        <v>118</v>
      </c>
      <c r="C443" t="s">
        <v>413</v>
      </c>
      <c r="D443" t="s">
        <v>26</v>
      </c>
      <c r="E443" t="s">
        <v>17</v>
      </c>
      <c r="F443" s="3">
        <v>300</v>
      </c>
      <c r="G443">
        <v>44</v>
      </c>
      <c r="H443">
        <v>12.5</v>
      </c>
      <c r="I443">
        <v>22</v>
      </c>
      <c r="J443" t="s">
        <v>19</v>
      </c>
      <c r="K443" t="s">
        <v>20</v>
      </c>
      <c r="L443" t="s">
        <v>21</v>
      </c>
      <c r="M443" s="3">
        <v>60</v>
      </c>
      <c r="N443" s="2">
        <v>9500</v>
      </c>
      <c r="O443" t="str">
        <f t="shared" si="12"/>
        <v>200-300</v>
      </c>
      <c r="P443" t="str">
        <f t="shared" si="13"/>
        <v>&lt;= 10000$</v>
      </c>
    </row>
    <row r="444" spans="1:16" x14ac:dyDescent="0.25">
      <c r="A444">
        <v>443</v>
      </c>
      <c r="B444" t="s">
        <v>118</v>
      </c>
      <c r="C444" t="s">
        <v>414</v>
      </c>
      <c r="D444" t="s">
        <v>26</v>
      </c>
      <c r="E444" t="s">
        <v>17</v>
      </c>
      <c r="F444" s="3">
        <v>300</v>
      </c>
      <c r="G444">
        <v>44</v>
      </c>
      <c r="H444">
        <v>14.5</v>
      </c>
      <c r="I444">
        <v>22</v>
      </c>
      <c r="J444" t="s">
        <v>28</v>
      </c>
      <c r="K444" t="s">
        <v>20</v>
      </c>
      <c r="L444" t="s">
        <v>21</v>
      </c>
      <c r="M444" s="3">
        <v>60</v>
      </c>
      <c r="N444" s="2">
        <v>9500</v>
      </c>
      <c r="O444" t="str">
        <f t="shared" si="12"/>
        <v>200-300</v>
      </c>
      <c r="P444" t="str">
        <f t="shared" si="13"/>
        <v>&lt;= 10000$</v>
      </c>
    </row>
    <row r="445" spans="1:16" x14ac:dyDescent="0.25">
      <c r="A445">
        <v>444</v>
      </c>
      <c r="B445" t="s">
        <v>118</v>
      </c>
      <c r="C445" t="s">
        <v>415</v>
      </c>
      <c r="D445" t="s">
        <v>26</v>
      </c>
      <c r="E445" t="s">
        <v>17</v>
      </c>
      <c r="F445" s="3">
        <v>100</v>
      </c>
      <c r="G445">
        <v>42.2</v>
      </c>
      <c r="H445">
        <v>12.6</v>
      </c>
      <c r="I445">
        <v>22</v>
      </c>
      <c r="J445" t="s">
        <v>28</v>
      </c>
      <c r="K445" t="s">
        <v>20</v>
      </c>
      <c r="L445" t="s">
        <v>21</v>
      </c>
      <c r="M445" s="3">
        <v>60</v>
      </c>
      <c r="N445" s="2">
        <v>8900</v>
      </c>
      <c r="O445" t="str">
        <f t="shared" si="12"/>
        <v>&lt;=100</v>
      </c>
      <c r="P445" t="str">
        <f t="shared" si="13"/>
        <v>&lt;= 10000$</v>
      </c>
    </row>
    <row r="446" spans="1:16" x14ac:dyDescent="0.25">
      <c r="A446">
        <v>445</v>
      </c>
      <c r="B446" t="s">
        <v>118</v>
      </c>
      <c r="C446" t="s">
        <v>416</v>
      </c>
      <c r="D446" t="s">
        <v>26</v>
      </c>
      <c r="E446" t="s">
        <v>17</v>
      </c>
      <c r="F446" s="3">
        <v>100</v>
      </c>
      <c r="G446">
        <v>42</v>
      </c>
      <c r="H446">
        <v>12.8</v>
      </c>
      <c r="I446">
        <v>22</v>
      </c>
      <c r="J446" t="s">
        <v>28</v>
      </c>
      <c r="K446" t="s">
        <v>20</v>
      </c>
      <c r="L446" t="s">
        <v>21</v>
      </c>
      <c r="M446" s="3">
        <v>60</v>
      </c>
      <c r="N446" s="2">
        <v>8500</v>
      </c>
      <c r="O446" t="str">
        <f t="shared" si="12"/>
        <v>&lt;=100</v>
      </c>
      <c r="P446" t="str">
        <f t="shared" si="13"/>
        <v>&lt;= 10000$</v>
      </c>
    </row>
    <row r="447" spans="1:16" x14ac:dyDescent="0.25">
      <c r="A447">
        <v>446</v>
      </c>
      <c r="B447" t="s">
        <v>118</v>
      </c>
      <c r="C447" t="s">
        <v>415</v>
      </c>
      <c r="D447" t="s">
        <v>32</v>
      </c>
      <c r="E447" t="s">
        <v>17</v>
      </c>
      <c r="F447" s="3">
        <v>100</v>
      </c>
      <c r="G447">
        <v>42.2</v>
      </c>
      <c r="H447">
        <v>14.2</v>
      </c>
      <c r="I447">
        <v>22</v>
      </c>
      <c r="J447" t="s">
        <v>28</v>
      </c>
      <c r="K447" t="s">
        <v>20</v>
      </c>
      <c r="L447" t="s">
        <v>21</v>
      </c>
      <c r="M447" s="3">
        <v>60</v>
      </c>
      <c r="N447" s="2">
        <v>8400</v>
      </c>
      <c r="O447" t="str">
        <f t="shared" si="12"/>
        <v>&lt;=100</v>
      </c>
      <c r="P447" t="str">
        <f t="shared" si="13"/>
        <v>&lt;= 10000$</v>
      </c>
    </row>
    <row r="448" spans="1:16" x14ac:dyDescent="0.25">
      <c r="A448">
        <v>447</v>
      </c>
      <c r="B448" t="s">
        <v>118</v>
      </c>
      <c r="C448" t="s">
        <v>417</v>
      </c>
      <c r="D448" t="s">
        <v>32</v>
      </c>
      <c r="E448" t="s">
        <v>17</v>
      </c>
      <c r="F448" s="3">
        <v>50</v>
      </c>
      <c r="G448">
        <v>42</v>
      </c>
      <c r="H448">
        <v>11.15</v>
      </c>
      <c r="I448">
        <v>20</v>
      </c>
      <c r="J448" t="s">
        <v>28</v>
      </c>
      <c r="K448" t="s">
        <v>20</v>
      </c>
      <c r="L448" t="s">
        <v>21</v>
      </c>
      <c r="M448" s="3">
        <v>60</v>
      </c>
      <c r="N448" s="2">
        <v>7900</v>
      </c>
      <c r="O448" t="str">
        <f t="shared" si="12"/>
        <v>&lt;=100</v>
      </c>
      <c r="P448" t="str">
        <f t="shared" si="13"/>
        <v>&lt;= 10000$</v>
      </c>
    </row>
    <row r="449" spans="1:16" x14ac:dyDescent="0.25">
      <c r="A449">
        <v>448</v>
      </c>
      <c r="B449" t="s">
        <v>118</v>
      </c>
      <c r="C449" t="s">
        <v>413</v>
      </c>
      <c r="D449" t="s">
        <v>26</v>
      </c>
      <c r="E449" t="s">
        <v>17</v>
      </c>
      <c r="F449" s="3">
        <v>100</v>
      </c>
      <c r="G449">
        <v>44</v>
      </c>
      <c r="H449">
        <v>14.4</v>
      </c>
      <c r="I449">
        <v>22</v>
      </c>
      <c r="J449" t="s">
        <v>28</v>
      </c>
      <c r="K449" t="s">
        <v>20</v>
      </c>
      <c r="L449" t="s">
        <v>169</v>
      </c>
      <c r="M449" s="3">
        <v>60</v>
      </c>
      <c r="N449" s="2">
        <v>7500</v>
      </c>
      <c r="O449" t="str">
        <f t="shared" si="12"/>
        <v>&lt;=100</v>
      </c>
      <c r="P449" t="str">
        <f t="shared" si="13"/>
        <v>&lt;= 10000$</v>
      </c>
    </row>
    <row r="450" spans="1:16" x14ac:dyDescent="0.25">
      <c r="A450">
        <v>449</v>
      </c>
      <c r="B450" t="s">
        <v>118</v>
      </c>
      <c r="C450" t="s">
        <v>415</v>
      </c>
      <c r="D450" t="s">
        <v>32</v>
      </c>
      <c r="E450" t="s">
        <v>17</v>
      </c>
      <c r="F450" s="3">
        <v>100</v>
      </c>
      <c r="G450">
        <v>42.2</v>
      </c>
      <c r="H450">
        <v>12.6</v>
      </c>
      <c r="I450">
        <v>20</v>
      </c>
      <c r="J450" t="s">
        <v>28</v>
      </c>
      <c r="K450" t="s">
        <v>20</v>
      </c>
      <c r="L450" t="s">
        <v>21</v>
      </c>
      <c r="M450" s="3">
        <v>60</v>
      </c>
      <c r="N450" s="2">
        <v>7500</v>
      </c>
      <c r="O450" t="str">
        <f t="shared" si="12"/>
        <v>&lt;=100</v>
      </c>
      <c r="P450" t="str">
        <f t="shared" si="13"/>
        <v>&lt;= 10000$</v>
      </c>
    </row>
    <row r="451" spans="1:16" x14ac:dyDescent="0.25">
      <c r="A451">
        <v>450</v>
      </c>
      <c r="B451" t="s">
        <v>118</v>
      </c>
      <c r="C451" t="s">
        <v>418</v>
      </c>
      <c r="D451" t="s">
        <v>26</v>
      </c>
      <c r="E451" t="s">
        <v>17</v>
      </c>
      <c r="F451" s="3">
        <v>100</v>
      </c>
      <c r="G451">
        <v>43</v>
      </c>
      <c r="H451">
        <v>12.6</v>
      </c>
      <c r="I451">
        <v>22</v>
      </c>
      <c r="J451" t="s">
        <v>28</v>
      </c>
      <c r="K451" t="s">
        <v>20</v>
      </c>
      <c r="L451" t="s">
        <v>21</v>
      </c>
      <c r="M451" s="3">
        <v>60</v>
      </c>
      <c r="N451" s="2">
        <v>7000</v>
      </c>
      <c r="O451" t="str">
        <f t="shared" ref="O451:O506" si="14">IF($F451&lt;=100, "&lt;=100", IF($F451&lt;=200, "100-200", IF($F451&lt;=300, "200-300", IF($F451&lt;=500, "300-500", IF($F451&lt;1000, "500-1000", "1000+")))))</f>
        <v>&lt;=100</v>
      </c>
      <c r="P451" t="str">
        <f t="shared" ref="P451:P506" si="15">IF(N451&lt;=1000, "&lt;= 1000$", IF(N451&lt;=2000, " &lt;=2000$", IF(N451&lt;=5000, "&lt;=5000$", IF(N451&lt;=10000, "&lt;= 10000$", IF(N451&lt;=20000, "&lt;= 20000$", IF(N451&lt;40000, "&lt;= 40000$", "40000$ +"))))))</f>
        <v>&lt;= 10000$</v>
      </c>
    </row>
    <row r="452" spans="1:16" x14ac:dyDescent="0.25">
      <c r="A452">
        <v>451</v>
      </c>
      <c r="B452" t="s">
        <v>79</v>
      </c>
      <c r="C452" t="s">
        <v>419</v>
      </c>
      <c r="D452" t="s">
        <v>32</v>
      </c>
      <c r="E452" t="s">
        <v>49</v>
      </c>
      <c r="F452" s="3">
        <v>30</v>
      </c>
      <c r="G452">
        <v>40</v>
      </c>
      <c r="H452">
        <v>6.79</v>
      </c>
      <c r="I452">
        <v>20</v>
      </c>
      <c r="J452" t="s">
        <v>44</v>
      </c>
      <c r="K452" t="s">
        <v>20</v>
      </c>
      <c r="L452" t="s">
        <v>45</v>
      </c>
      <c r="M452" s="3">
        <v>65</v>
      </c>
      <c r="N452" s="2">
        <v>28000</v>
      </c>
      <c r="O452" t="str">
        <f t="shared" si="14"/>
        <v>&lt;=100</v>
      </c>
      <c r="P452" t="str">
        <f t="shared" si="15"/>
        <v>&lt;= 40000$</v>
      </c>
    </row>
    <row r="453" spans="1:16" x14ac:dyDescent="0.25">
      <c r="A453">
        <v>452</v>
      </c>
      <c r="B453" t="s">
        <v>79</v>
      </c>
      <c r="C453" t="s">
        <v>420</v>
      </c>
      <c r="D453" t="s">
        <v>16</v>
      </c>
      <c r="E453" t="s">
        <v>17</v>
      </c>
      <c r="F453" s="3">
        <v>150</v>
      </c>
      <c r="G453">
        <v>41</v>
      </c>
      <c r="H453">
        <v>11</v>
      </c>
      <c r="I453">
        <v>22</v>
      </c>
      <c r="J453" t="s">
        <v>28</v>
      </c>
      <c r="K453" t="s">
        <v>20</v>
      </c>
      <c r="L453" t="s">
        <v>240</v>
      </c>
      <c r="M453" s="3">
        <v>60</v>
      </c>
      <c r="N453" s="2">
        <v>23000</v>
      </c>
      <c r="O453" t="str">
        <f t="shared" si="14"/>
        <v>100-200</v>
      </c>
      <c r="P453" t="str">
        <f t="shared" si="15"/>
        <v>&lt;= 40000$</v>
      </c>
    </row>
    <row r="454" spans="1:16" x14ac:dyDescent="0.25">
      <c r="A454">
        <v>453</v>
      </c>
      <c r="B454" t="s">
        <v>79</v>
      </c>
      <c r="C454" t="s">
        <v>421</v>
      </c>
      <c r="D454" t="s">
        <v>32</v>
      </c>
      <c r="E454" t="s">
        <v>49</v>
      </c>
      <c r="F454" s="3">
        <v>30</v>
      </c>
      <c r="G454">
        <v>42</v>
      </c>
      <c r="H454">
        <v>7.65</v>
      </c>
      <c r="I454">
        <v>20</v>
      </c>
      <c r="J454" t="s">
        <v>44</v>
      </c>
      <c r="K454" t="s">
        <v>20</v>
      </c>
      <c r="L454" t="s">
        <v>45</v>
      </c>
      <c r="M454" s="3">
        <v>65</v>
      </c>
      <c r="N454" s="2">
        <v>22500</v>
      </c>
      <c r="O454" t="str">
        <f t="shared" si="14"/>
        <v>&lt;=100</v>
      </c>
      <c r="P454" t="str">
        <f t="shared" si="15"/>
        <v>&lt;= 40000$</v>
      </c>
    </row>
    <row r="455" spans="1:16" x14ac:dyDescent="0.25">
      <c r="A455">
        <v>454</v>
      </c>
      <c r="B455" t="s">
        <v>79</v>
      </c>
      <c r="C455" t="s">
        <v>420</v>
      </c>
      <c r="D455" t="s">
        <v>26</v>
      </c>
      <c r="E455" t="s">
        <v>17</v>
      </c>
      <c r="F455" s="3">
        <v>150</v>
      </c>
      <c r="G455">
        <v>41</v>
      </c>
      <c r="H455">
        <v>11</v>
      </c>
      <c r="I455">
        <v>21</v>
      </c>
      <c r="J455" t="s">
        <v>28</v>
      </c>
      <c r="K455" t="s">
        <v>20</v>
      </c>
      <c r="L455" t="s">
        <v>21</v>
      </c>
      <c r="M455" s="3">
        <v>60</v>
      </c>
      <c r="N455" s="2">
        <v>22000</v>
      </c>
      <c r="O455" t="str">
        <f t="shared" si="14"/>
        <v>100-200</v>
      </c>
      <c r="P455" t="str">
        <f t="shared" si="15"/>
        <v>&lt;= 40000$</v>
      </c>
    </row>
    <row r="456" spans="1:16" x14ac:dyDescent="0.25">
      <c r="A456">
        <v>455</v>
      </c>
      <c r="B456" t="s">
        <v>79</v>
      </c>
      <c r="C456" t="s">
        <v>420</v>
      </c>
      <c r="D456" t="s">
        <v>16</v>
      </c>
      <c r="E456" t="s">
        <v>17</v>
      </c>
      <c r="F456" s="3">
        <v>150</v>
      </c>
      <c r="G456">
        <v>41</v>
      </c>
      <c r="H456">
        <v>11</v>
      </c>
      <c r="I456">
        <v>20</v>
      </c>
      <c r="J456" t="s">
        <v>44</v>
      </c>
      <c r="K456" t="s">
        <v>20</v>
      </c>
      <c r="L456" t="s">
        <v>21</v>
      </c>
      <c r="M456" s="3">
        <v>60</v>
      </c>
      <c r="N456" s="2">
        <v>21500</v>
      </c>
      <c r="O456" t="str">
        <f t="shared" si="14"/>
        <v>100-200</v>
      </c>
      <c r="P456" t="str">
        <f t="shared" si="15"/>
        <v>&lt;= 40000$</v>
      </c>
    </row>
    <row r="457" spans="1:16" x14ac:dyDescent="0.25">
      <c r="A457">
        <v>456</v>
      </c>
      <c r="B457" t="s">
        <v>79</v>
      </c>
      <c r="C457" t="s">
        <v>420</v>
      </c>
      <c r="D457" t="s">
        <v>16</v>
      </c>
      <c r="E457" t="s">
        <v>17</v>
      </c>
      <c r="F457" s="3">
        <v>150</v>
      </c>
      <c r="G457">
        <v>41</v>
      </c>
      <c r="H457">
        <v>11</v>
      </c>
      <c r="I457">
        <v>22</v>
      </c>
      <c r="J457" t="s">
        <v>44</v>
      </c>
      <c r="K457" t="s">
        <v>20</v>
      </c>
      <c r="L457" t="s">
        <v>21</v>
      </c>
      <c r="M457" s="3">
        <v>60</v>
      </c>
      <c r="N457" s="2">
        <v>21500</v>
      </c>
      <c r="O457" t="str">
        <f t="shared" si="14"/>
        <v>100-200</v>
      </c>
      <c r="P457" t="str">
        <f t="shared" si="15"/>
        <v>&lt;= 40000$</v>
      </c>
    </row>
    <row r="458" spans="1:16" x14ac:dyDescent="0.25">
      <c r="A458">
        <v>457</v>
      </c>
      <c r="B458" t="s">
        <v>79</v>
      </c>
      <c r="C458" t="s">
        <v>420</v>
      </c>
      <c r="D458" t="s">
        <v>16</v>
      </c>
      <c r="E458" t="s">
        <v>17</v>
      </c>
      <c r="F458" s="3">
        <v>150</v>
      </c>
      <c r="G458">
        <v>41</v>
      </c>
      <c r="H458">
        <v>11</v>
      </c>
      <c r="I458">
        <v>22</v>
      </c>
      <c r="J458" t="s">
        <v>28</v>
      </c>
      <c r="K458" t="s">
        <v>20</v>
      </c>
      <c r="L458" t="s">
        <v>169</v>
      </c>
      <c r="M458" s="3">
        <v>40</v>
      </c>
      <c r="N458" s="2">
        <v>21000</v>
      </c>
      <c r="O458" t="str">
        <f t="shared" si="14"/>
        <v>100-200</v>
      </c>
      <c r="P458" t="str">
        <f t="shared" si="15"/>
        <v>&lt;= 40000$</v>
      </c>
    </row>
    <row r="459" spans="1:16" x14ac:dyDescent="0.25">
      <c r="A459">
        <v>458</v>
      </c>
      <c r="B459" t="s">
        <v>79</v>
      </c>
      <c r="C459" t="s">
        <v>422</v>
      </c>
      <c r="D459" t="s">
        <v>16</v>
      </c>
      <c r="E459" t="s">
        <v>17</v>
      </c>
      <c r="F459" s="3">
        <v>150</v>
      </c>
      <c r="G459">
        <v>41.5</v>
      </c>
      <c r="H459">
        <v>11</v>
      </c>
      <c r="I459">
        <v>22</v>
      </c>
      <c r="J459" t="s">
        <v>28</v>
      </c>
      <c r="K459" t="s">
        <v>20</v>
      </c>
      <c r="L459" t="s">
        <v>21</v>
      </c>
      <c r="M459" s="3">
        <v>60</v>
      </c>
      <c r="N459" s="2">
        <v>21000</v>
      </c>
      <c r="O459" t="str">
        <f t="shared" si="14"/>
        <v>100-200</v>
      </c>
      <c r="P459" t="str">
        <f t="shared" si="15"/>
        <v>&lt;= 40000$</v>
      </c>
    </row>
    <row r="460" spans="1:16" x14ac:dyDescent="0.25">
      <c r="A460">
        <v>459</v>
      </c>
      <c r="B460" t="s">
        <v>79</v>
      </c>
      <c r="C460" t="s">
        <v>420</v>
      </c>
      <c r="D460" t="s">
        <v>16</v>
      </c>
      <c r="E460" t="s">
        <v>17</v>
      </c>
      <c r="F460" s="3">
        <v>150</v>
      </c>
      <c r="G460">
        <v>41</v>
      </c>
      <c r="H460">
        <v>11</v>
      </c>
      <c r="I460">
        <v>20</v>
      </c>
      <c r="J460" t="s">
        <v>19</v>
      </c>
      <c r="K460" t="s">
        <v>20</v>
      </c>
      <c r="L460" t="s">
        <v>240</v>
      </c>
      <c r="M460" s="3">
        <v>60</v>
      </c>
      <c r="N460" s="2">
        <v>20200</v>
      </c>
      <c r="O460" t="str">
        <f t="shared" si="14"/>
        <v>100-200</v>
      </c>
      <c r="P460" t="str">
        <f t="shared" si="15"/>
        <v>&lt;= 40000$</v>
      </c>
    </row>
    <row r="461" spans="1:16" x14ac:dyDescent="0.25">
      <c r="A461">
        <v>460</v>
      </c>
      <c r="B461" t="s">
        <v>79</v>
      </c>
      <c r="C461" t="s">
        <v>422</v>
      </c>
      <c r="D461" t="s">
        <v>16</v>
      </c>
      <c r="E461" t="s">
        <v>17</v>
      </c>
      <c r="F461" s="3">
        <v>150</v>
      </c>
      <c r="G461">
        <v>41.5</v>
      </c>
      <c r="H461">
        <v>11</v>
      </c>
      <c r="I461">
        <v>22</v>
      </c>
      <c r="J461" t="s">
        <v>44</v>
      </c>
      <c r="K461" t="s">
        <v>20</v>
      </c>
      <c r="L461" t="s">
        <v>21</v>
      </c>
      <c r="M461" s="3">
        <v>60</v>
      </c>
      <c r="N461" s="2">
        <v>20000</v>
      </c>
      <c r="O461" t="str">
        <f t="shared" si="14"/>
        <v>100-200</v>
      </c>
      <c r="P461" t="str">
        <f t="shared" si="15"/>
        <v>&lt;= 20000$</v>
      </c>
    </row>
    <row r="462" spans="1:16" x14ac:dyDescent="0.25">
      <c r="A462">
        <v>461</v>
      </c>
      <c r="B462" t="s">
        <v>79</v>
      </c>
      <c r="C462" t="s">
        <v>423</v>
      </c>
      <c r="D462" t="s">
        <v>26</v>
      </c>
      <c r="E462" t="s">
        <v>17</v>
      </c>
      <c r="F462" s="3">
        <v>150</v>
      </c>
      <c r="G462">
        <v>42.5</v>
      </c>
      <c r="H462">
        <v>13.7</v>
      </c>
      <c r="I462">
        <v>22</v>
      </c>
      <c r="J462" t="s">
        <v>28</v>
      </c>
      <c r="K462" t="s">
        <v>20</v>
      </c>
      <c r="L462" t="s">
        <v>21</v>
      </c>
      <c r="M462" s="3">
        <v>40</v>
      </c>
      <c r="N462" s="2">
        <v>20000</v>
      </c>
      <c r="O462" t="str">
        <f t="shared" si="14"/>
        <v>100-200</v>
      </c>
      <c r="P462" t="str">
        <f t="shared" si="15"/>
        <v>&lt;= 20000$</v>
      </c>
    </row>
    <row r="463" spans="1:16" x14ac:dyDescent="0.25">
      <c r="A463">
        <v>462</v>
      </c>
      <c r="B463" t="s">
        <v>79</v>
      </c>
      <c r="C463" t="s">
        <v>420</v>
      </c>
      <c r="D463" t="s">
        <v>26</v>
      </c>
      <c r="E463" t="s">
        <v>17</v>
      </c>
      <c r="F463" s="3">
        <v>150</v>
      </c>
      <c r="G463">
        <v>41</v>
      </c>
      <c r="H463">
        <v>11</v>
      </c>
      <c r="I463">
        <v>22</v>
      </c>
      <c r="J463" t="s">
        <v>28</v>
      </c>
      <c r="K463" t="s">
        <v>20</v>
      </c>
      <c r="L463" t="s">
        <v>21</v>
      </c>
      <c r="M463" s="3">
        <v>40</v>
      </c>
      <c r="N463" s="2">
        <v>19800</v>
      </c>
      <c r="O463" t="str">
        <f t="shared" si="14"/>
        <v>100-200</v>
      </c>
      <c r="P463" t="str">
        <f t="shared" si="15"/>
        <v>&lt;= 20000$</v>
      </c>
    </row>
    <row r="464" spans="1:16" x14ac:dyDescent="0.25">
      <c r="A464">
        <v>463</v>
      </c>
      <c r="B464" t="s">
        <v>79</v>
      </c>
      <c r="C464" t="s">
        <v>422</v>
      </c>
      <c r="D464" t="s">
        <v>26</v>
      </c>
      <c r="E464" t="s">
        <v>17</v>
      </c>
      <c r="F464" s="3">
        <v>150</v>
      </c>
      <c r="G464">
        <v>41.5</v>
      </c>
      <c r="H464">
        <v>11</v>
      </c>
      <c r="I464">
        <v>21</v>
      </c>
      <c r="J464" t="s">
        <v>44</v>
      </c>
      <c r="K464" t="s">
        <v>20</v>
      </c>
      <c r="L464" t="s">
        <v>21</v>
      </c>
      <c r="M464" s="3">
        <v>40</v>
      </c>
      <c r="N464" s="2">
        <v>19500</v>
      </c>
      <c r="O464" t="str">
        <f t="shared" si="14"/>
        <v>100-200</v>
      </c>
      <c r="P464" t="str">
        <f t="shared" si="15"/>
        <v>&lt;= 20000$</v>
      </c>
    </row>
    <row r="465" spans="1:16" x14ac:dyDescent="0.25">
      <c r="A465">
        <v>464</v>
      </c>
      <c r="B465" t="s">
        <v>79</v>
      </c>
      <c r="C465" t="s">
        <v>420</v>
      </c>
      <c r="D465" t="s">
        <v>16</v>
      </c>
      <c r="E465" t="s">
        <v>17</v>
      </c>
      <c r="F465" s="3">
        <v>150</v>
      </c>
      <c r="G465">
        <v>41</v>
      </c>
      <c r="H465">
        <v>11</v>
      </c>
      <c r="I465">
        <v>20</v>
      </c>
      <c r="J465" t="s">
        <v>19</v>
      </c>
      <c r="K465" t="s">
        <v>20</v>
      </c>
      <c r="L465" t="s">
        <v>21</v>
      </c>
      <c r="M465" s="3">
        <v>60</v>
      </c>
      <c r="N465" s="2">
        <v>19200</v>
      </c>
      <c r="O465" t="str">
        <f t="shared" si="14"/>
        <v>100-200</v>
      </c>
      <c r="P465" t="str">
        <f t="shared" si="15"/>
        <v>&lt;= 20000$</v>
      </c>
    </row>
    <row r="466" spans="1:16" x14ac:dyDescent="0.25">
      <c r="A466">
        <v>465</v>
      </c>
      <c r="B466" t="s">
        <v>79</v>
      </c>
      <c r="C466" t="s">
        <v>420</v>
      </c>
      <c r="D466" t="s">
        <v>26</v>
      </c>
      <c r="E466" t="s">
        <v>17</v>
      </c>
      <c r="F466" s="3">
        <v>150</v>
      </c>
      <c r="G466">
        <v>41</v>
      </c>
      <c r="H466">
        <v>11</v>
      </c>
      <c r="I466">
        <v>22</v>
      </c>
      <c r="J466" t="s">
        <v>28</v>
      </c>
      <c r="K466" t="s">
        <v>20</v>
      </c>
      <c r="L466" t="s">
        <v>21</v>
      </c>
      <c r="M466" s="3">
        <v>40</v>
      </c>
      <c r="N466" s="2">
        <v>19000</v>
      </c>
      <c r="O466" t="str">
        <f t="shared" si="14"/>
        <v>100-200</v>
      </c>
      <c r="P466" t="str">
        <f t="shared" si="15"/>
        <v>&lt;= 20000$</v>
      </c>
    </row>
    <row r="467" spans="1:16" x14ac:dyDescent="0.25">
      <c r="A467">
        <v>466</v>
      </c>
      <c r="B467" t="s">
        <v>79</v>
      </c>
      <c r="C467" t="s">
        <v>422</v>
      </c>
      <c r="D467" t="s">
        <v>16</v>
      </c>
      <c r="E467" t="s">
        <v>17</v>
      </c>
      <c r="F467" s="3">
        <v>150</v>
      </c>
      <c r="G467">
        <v>41.5</v>
      </c>
      <c r="H467">
        <v>11</v>
      </c>
      <c r="I467">
        <v>22</v>
      </c>
      <c r="J467" t="s">
        <v>28</v>
      </c>
      <c r="K467" t="s">
        <v>20</v>
      </c>
      <c r="L467" t="s">
        <v>21</v>
      </c>
      <c r="M467" s="3">
        <v>40</v>
      </c>
      <c r="N467" s="2">
        <v>19000</v>
      </c>
      <c r="O467" t="str">
        <f t="shared" si="14"/>
        <v>100-200</v>
      </c>
      <c r="P467" t="str">
        <f t="shared" si="15"/>
        <v>&lt;= 20000$</v>
      </c>
    </row>
    <row r="468" spans="1:16" x14ac:dyDescent="0.25">
      <c r="A468">
        <v>467</v>
      </c>
      <c r="B468" t="s">
        <v>79</v>
      </c>
      <c r="C468" t="s">
        <v>422</v>
      </c>
      <c r="D468" t="s">
        <v>26</v>
      </c>
      <c r="E468" t="s">
        <v>17</v>
      </c>
      <c r="F468" s="3">
        <v>150</v>
      </c>
      <c r="G468">
        <v>41.5</v>
      </c>
      <c r="H468">
        <v>11</v>
      </c>
      <c r="I468">
        <v>22</v>
      </c>
      <c r="J468" t="s">
        <v>28</v>
      </c>
      <c r="K468" t="s">
        <v>20</v>
      </c>
      <c r="L468" t="s">
        <v>21</v>
      </c>
      <c r="M468" s="3">
        <v>40</v>
      </c>
      <c r="N468" s="2">
        <v>18900</v>
      </c>
      <c r="O468" t="str">
        <f t="shared" si="14"/>
        <v>100-200</v>
      </c>
      <c r="P468" t="str">
        <f t="shared" si="15"/>
        <v>&lt;= 20000$</v>
      </c>
    </row>
    <row r="469" spans="1:16" x14ac:dyDescent="0.25">
      <c r="A469">
        <v>468</v>
      </c>
      <c r="B469" t="s">
        <v>79</v>
      </c>
      <c r="C469" t="s">
        <v>424</v>
      </c>
      <c r="D469" t="s">
        <v>32</v>
      </c>
      <c r="E469" t="s">
        <v>49</v>
      </c>
      <c r="F469" s="3">
        <v>30</v>
      </c>
      <c r="G469">
        <v>40</v>
      </c>
      <c r="H469">
        <v>6.79</v>
      </c>
      <c r="I469">
        <v>20</v>
      </c>
      <c r="J469" t="s">
        <v>44</v>
      </c>
      <c r="K469" t="s">
        <v>20</v>
      </c>
      <c r="L469" t="s">
        <v>45</v>
      </c>
      <c r="M469" s="3">
        <v>65</v>
      </c>
      <c r="N469" s="2">
        <v>18500</v>
      </c>
      <c r="O469" t="str">
        <f t="shared" si="14"/>
        <v>&lt;=100</v>
      </c>
      <c r="P469" t="str">
        <f t="shared" si="15"/>
        <v>&lt;= 20000$</v>
      </c>
    </row>
    <row r="470" spans="1:16" x14ac:dyDescent="0.25">
      <c r="A470">
        <v>469</v>
      </c>
      <c r="B470" t="s">
        <v>79</v>
      </c>
      <c r="C470" t="s">
        <v>420</v>
      </c>
      <c r="D470" t="s">
        <v>16</v>
      </c>
      <c r="E470" t="s">
        <v>17</v>
      </c>
      <c r="F470" s="3">
        <v>50</v>
      </c>
      <c r="G470">
        <v>41</v>
      </c>
      <c r="H470">
        <v>11</v>
      </c>
      <c r="I470">
        <v>22</v>
      </c>
      <c r="J470" t="s">
        <v>28</v>
      </c>
      <c r="K470" t="s">
        <v>20</v>
      </c>
      <c r="L470" t="s">
        <v>21</v>
      </c>
      <c r="M470" s="3">
        <v>40</v>
      </c>
      <c r="N470" s="2">
        <v>18000</v>
      </c>
      <c r="O470" t="str">
        <f t="shared" si="14"/>
        <v>&lt;=100</v>
      </c>
      <c r="P470" t="str">
        <f t="shared" si="15"/>
        <v>&lt;= 20000$</v>
      </c>
    </row>
    <row r="471" spans="1:16" x14ac:dyDescent="0.25">
      <c r="A471">
        <v>470</v>
      </c>
      <c r="B471" t="s">
        <v>79</v>
      </c>
      <c r="C471" t="s">
        <v>420</v>
      </c>
      <c r="D471" t="s">
        <v>26</v>
      </c>
      <c r="E471" t="s">
        <v>17</v>
      </c>
      <c r="F471" s="3">
        <v>150</v>
      </c>
      <c r="G471">
        <v>41</v>
      </c>
      <c r="H471">
        <v>11</v>
      </c>
      <c r="I471">
        <v>21</v>
      </c>
      <c r="J471" t="s">
        <v>28</v>
      </c>
      <c r="K471" t="s">
        <v>20</v>
      </c>
      <c r="L471" t="s">
        <v>21</v>
      </c>
      <c r="M471" s="3">
        <v>60</v>
      </c>
      <c r="N471" s="2">
        <v>17500</v>
      </c>
      <c r="O471" t="str">
        <f t="shared" si="14"/>
        <v>100-200</v>
      </c>
      <c r="P471" t="str">
        <f t="shared" si="15"/>
        <v>&lt;= 20000$</v>
      </c>
    </row>
    <row r="472" spans="1:16" x14ac:dyDescent="0.25">
      <c r="A472">
        <v>471</v>
      </c>
      <c r="B472" t="s">
        <v>79</v>
      </c>
      <c r="C472" t="s">
        <v>420</v>
      </c>
      <c r="D472" t="s">
        <v>16</v>
      </c>
      <c r="E472" t="s">
        <v>17</v>
      </c>
      <c r="F472" s="3">
        <v>150</v>
      </c>
      <c r="G472">
        <v>41</v>
      </c>
      <c r="H472">
        <v>11</v>
      </c>
      <c r="I472">
        <v>22</v>
      </c>
      <c r="J472" t="s">
        <v>28</v>
      </c>
      <c r="K472" t="s">
        <v>20</v>
      </c>
      <c r="L472" t="s">
        <v>21</v>
      </c>
      <c r="M472" s="3">
        <v>60</v>
      </c>
      <c r="N472" s="2">
        <v>16300</v>
      </c>
      <c r="O472" t="str">
        <f t="shared" si="14"/>
        <v>100-200</v>
      </c>
      <c r="P472" t="str">
        <f t="shared" si="15"/>
        <v>&lt;= 20000$</v>
      </c>
    </row>
    <row r="473" spans="1:16" x14ac:dyDescent="0.25">
      <c r="A473">
        <v>472</v>
      </c>
      <c r="B473" t="s">
        <v>79</v>
      </c>
      <c r="C473" t="s">
        <v>420</v>
      </c>
      <c r="D473" t="s">
        <v>16</v>
      </c>
      <c r="E473" t="s">
        <v>17</v>
      </c>
      <c r="F473" s="3">
        <v>50</v>
      </c>
      <c r="G473">
        <v>41</v>
      </c>
      <c r="H473">
        <v>11</v>
      </c>
      <c r="I473">
        <v>20</v>
      </c>
      <c r="J473" t="s">
        <v>28</v>
      </c>
      <c r="K473" t="s">
        <v>20</v>
      </c>
      <c r="L473" t="s">
        <v>144</v>
      </c>
      <c r="M473" s="3">
        <v>60</v>
      </c>
      <c r="N473" s="2">
        <v>15500</v>
      </c>
      <c r="O473" t="str">
        <f t="shared" si="14"/>
        <v>&lt;=100</v>
      </c>
      <c r="P473" t="str">
        <f t="shared" si="15"/>
        <v>&lt;= 20000$</v>
      </c>
    </row>
    <row r="474" spans="1:16" x14ac:dyDescent="0.25">
      <c r="A474">
        <v>473</v>
      </c>
      <c r="B474" t="s">
        <v>79</v>
      </c>
      <c r="C474" t="s">
        <v>420</v>
      </c>
      <c r="D474" t="s">
        <v>16</v>
      </c>
      <c r="E474" t="s">
        <v>17</v>
      </c>
      <c r="F474" s="3">
        <v>150</v>
      </c>
      <c r="G474">
        <v>41</v>
      </c>
      <c r="H474">
        <v>11</v>
      </c>
      <c r="I474">
        <v>22</v>
      </c>
      <c r="J474" t="s">
        <v>28</v>
      </c>
      <c r="K474" t="s">
        <v>20</v>
      </c>
      <c r="L474" t="s">
        <v>21</v>
      </c>
      <c r="M474" s="3">
        <v>60</v>
      </c>
      <c r="N474" s="2">
        <v>15000</v>
      </c>
      <c r="O474" t="str">
        <f t="shared" si="14"/>
        <v>100-200</v>
      </c>
      <c r="P474" t="str">
        <f t="shared" si="15"/>
        <v>&lt;= 20000$</v>
      </c>
    </row>
    <row r="475" spans="1:16" x14ac:dyDescent="0.25">
      <c r="A475">
        <v>474</v>
      </c>
      <c r="B475" t="s">
        <v>79</v>
      </c>
      <c r="C475" t="s">
        <v>425</v>
      </c>
      <c r="D475" t="s">
        <v>32</v>
      </c>
      <c r="E475" t="s">
        <v>17</v>
      </c>
      <c r="F475" s="3">
        <v>30</v>
      </c>
      <c r="G475">
        <v>40</v>
      </c>
      <c r="H475">
        <v>6.79</v>
      </c>
      <c r="I475">
        <v>20</v>
      </c>
      <c r="J475" t="s">
        <v>34</v>
      </c>
      <c r="K475" t="s">
        <v>20</v>
      </c>
      <c r="L475" t="s">
        <v>45</v>
      </c>
      <c r="M475" s="3">
        <v>40</v>
      </c>
      <c r="N475" s="2">
        <v>15000</v>
      </c>
      <c r="O475" t="str">
        <f t="shared" si="14"/>
        <v>&lt;=100</v>
      </c>
      <c r="P475" t="str">
        <f t="shared" si="15"/>
        <v>&lt;= 20000$</v>
      </c>
    </row>
    <row r="476" spans="1:16" x14ac:dyDescent="0.25">
      <c r="A476">
        <v>475</v>
      </c>
      <c r="B476" t="s">
        <v>79</v>
      </c>
      <c r="C476" t="s">
        <v>420</v>
      </c>
      <c r="D476" t="s">
        <v>26</v>
      </c>
      <c r="E476" t="s">
        <v>17</v>
      </c>
      <c r="F476" s="3">
        <v>150</v>
      </c>
      <c r="G476">
        <v>41</v>
      </c>
      <c r="H476">
        <v>11</v>
      </c>
      <c r="I476">
        <v>22</v>
      </c>
      <c r="J476" t="s">
        <v>28</v>
      </c>
      <c r="K476" t="s">
        <v>20</v>
      </c>
      <c r="L476" t="s">
        <v>21</v>
      </c>
      <c r="M476" s="3">
        <v>40</v>
      </c>
      <c r="N476" s="2">
        <v>12000</v>
      </c>
      <c r="O476" t="str">
        <f t="shared" si="14"/>
        <v>100-200</v>
      </c>
      <c r="P476" t="str">
        <f t="shared" si="15"/>
        <v>&lt;= 20000$</v>
      </c>
    </row>
    <row r="477" spans="1:16" x14ac:dyDescent="0.25">
      <c r="A477">
        <v>476</v>
      </c>
      <c r="B477" t="s">
        <v>113</v>
      </c>
      <c r="C477" t="s">
        <v>426</v>
      </c>
      <c r="D477" t="s">
        <v>26</v>
      </c>
      <c r="E477" t="s">
        <v>17</v>
      </c>
      <c r="F477" s="3">
        <v>100</v>
      </c>
      <c r="G477">
        <v>41</v>
      </c>
      <c r="H477">
        <v>10.75</v>
      </c>
      <c r="I477">
        <v>22</v>
      </c>
      <c r="J477" t="s">
        <v>28</v>
      </c>
      <c r="K477" t="s">
        <v>20</v>
      </c>
      <c r="L477" t="s">
        <v>35</v>
      </c>
      <c r="M477" s="3">
        <v>50</v>
      </c>
      <c r="N477" s="2">
        <v>9500</v>
      </c>
      <c r="O477" t="str">
        <f t="shared" si="14"/>
        <v>&lt;=100</v>
      </c>
      <c r="P477" t="str">
        <f t="shared" si="15"/>
        <v>&lt;= 10000$</v>
      </c>
    </row>
    <row r="478" spans="1:16" x14ac:dyDescent="0.25">
      <c r="A478">
        <v>477</v>
      </c>
      <c r="B478" t="s">
        <v>113</v>
      </c>
      <c r="C478" t="s">
        <v>427</v>
      </c>
      <c r="D478" t="s">
        <v>32</v>
      </c>
      <c r="E478" t="s">
        <v>17</v>
      </c>
      <c r="F478" s="3">
        <v>100</v>
      </c>
      <c r="G478">
        <v>42</v>
      </c>
      <c r="H478">
        <v>13.1</v>
      </c>
      <c r="I478">
        <v>22</v>
      </c>
      <c r="J478" t="s">
        <v>44</v>
      </c>
      <c r="K478" t="s">
        <v>20</v>
      </c>
      <c r="L478" t="s">
        <v>35</v>
      </c>
      <c r="M478" s="3">
        <v>50</v>
      </c>
      <c r="N478" s="2">
        <v>9400</v>
      </c>
      <c r="O478" t="str">
        <f t="shared" si="14"/>
        <v>&lt;=100</v>
      </c>
      <c r="P478" t="str">
        <f t="shared" si="15"/>
        <v>&lt;= 10000$</v>
      </c>
    </row>
    <row r="479" spans="1:16" x14ac:dyDescent="0.25">
      <c r="A479">
        <v>478</v>
      </c>
      <c r="B479" t="s">
        <v>113</v>
      </c>
      <c r="C479" t="s">
        <v>428</v>
      </c>
      <c r="D479" t="s">
        <v>32</v>
      </c>
      <c r="E479" t="s">
        <v>17</v>
      </c>
      <c r="F479" s="3">
        <v>100</v>
      </c>
      <c r="G479">
        <v>42</v>
      </c>
      <c r="H479">
        <v>12.75</v>
      </c>
      <c r="I479">
        <v>20</v>
      </c>
      <c r="J479" t="s">
        <v>34</v>
      </c>
      <c r="K479" t="s">
        <v>20</v>
      </c>
      <c r="L479" t="s">
        <v>141</v>
      </c>
      <c r="M479" s="3">
        <v>50</v>
      </c>
      <c r="N479" s="2">
        <v>7900</v>
      </c>
      <c r="O479" t="str">
        <f t="shared" si="14"/>
        <v>&lt;=100</v>
      </c>
      <c r="P479" t="str">
        <f t="shared" si="15"/>
        <v>&lt;= 10000$</v>
      </c>
    </row>
    <row r="480" spans="1:16" x14ac:dyDescent="0.25">
      <c r="A480">
        <v>479</v>
      </c>
      <c r="B480" t="s">
        <v>113</v>
      </c>
      <c r="C480" t="s">
        <v>429</v>
      </c>
      <c r="D480" t="s">
        <v>32</v>
      </c>
      <c r="E480" t="s">
        <v>17</v>
      </c>
      <c r="F480" s="3">
        <v>100</v>
      </c>
      <c r="G480">
        <v>38</v>
      </c>
      <c r="H480">
        <v>12.15</v>
      </c>
      <c r="I480">
        <v>19</v>
      </c>
      <c r="J480" t="s">
        <v>44</v>
      </c>
      <c r="K480" t="s">
        <v>20</v>
      </c>
      <c r="L480" t="s">
        <v>35</v>
      </c>
      <c r="M480" s="3">
        <v>50</v>
      </c>
      <c r="N480" s="2">
        <v>7500</v>
      </c>
      <c r="O480" t="str">
        <f t="shared" si="14"/>
        <v>&lt;=100</v>
      </c>
      <c r="P480" t="str">
        <f t="shared" si="15"/>
        <v>&lt;= 10000$</v>
      </c>
    </row>
    <row r="481" spans="1:16" x14ac:dyDescent="0.25">
      <c r="A481">
        <v>480</v>
      </c>
      <c r="B481" t="s">
        <v>113</v>
      </c>
      <c r="C481" t="s">
        <v>430</v>
      </c>
      <c r="D481" t="s">
        <v>32</v>
      </c>
      <c r="E481" t="s">
        <v>17</v>
      </c>
      <c r="F481" s="3">
        <v>50</v>
      </c>
      <c r="G481">
        <v>38</v>
      </c>
      <c r="H481">
        <v>12.6</v>
      </c>
      <c r="I481">
        <v>20</v>
      </c>
      <c r="J481" t="s">
        <v>44</v>
      </c>
      <c r="K481" t="s">
        <v>20</v>
      </c>
      <c r="L481" t="s">
        <v>35</v>
      </c>
      <c r="M481" s="3">
        <v>50</v>
      </c>
      <c r="N481" s="2">
        <v>7500</v>
      </c>
      <c r="O481" t="str">
        <f t="shared" si="14"/>
        <v>&lt;=100</v>
      </c>
      <c r="P481" t="str">
        <f t="shared" si="15"/>
        <v>&lt;= 10000$</v>
      </c>
    </row>
    <row r="482" spans="1:16" x14ac:dyDescent="0.25">
      <c r="A482">
        <v>481</v>
      </c>
      <c r="B482" t="s">
        <v>113</v>
      </c>
      <c r="C482" t="s">
        <v>428</v>
      </c>
      <c r="D482" t="s">
        <v>32</v>
      </c>
      <c r="E482" t="s">
        <v>17</v>
      </c>
      <c r="F482" s="3">
        <v>100</v>
      </c>
      <c r="G482">
        <v>42</v>
      </c>
      <c r="H482">
        <v>12.75</v>
      </c>
      <c r="I482">
        <v>20</v>
      </c>
      <c r="J482" t="s">
        <v>19</v>
      </c>
      <c r="K482" t="s">
        <v>20</v>
      </c>
      <c r="L482" t="s">
        <v>35</v>
      </c>
      <c r="M482" s="3">
        <v>50</v>
      </c>
      <c r="N482" s="2">
        <v>7500</v>
      </c>
      <c r="O482" t="str">
        <f t="shared" si="14"/>
        <v>&lt;=100</v>
      </c>
      <c r="P482" t="str">
        <f t="shared" si="15"/>
        <v>&lt;= 10000$</v>
      </c>
    </row>
    <row r="483" spans="1:16" x14ac:dyDescent="0.25">
      <c r="A483">
        <v>482</v>
      </c>
      <c r="B483" t="s">
        <v>113</v>
      </c>
      <c r="C483" t="s">
        <v>428</v>
      </c>
      <c r="D483" t="s">
        <v>32</v>
      </c>
      <c r="E483" t="s">
        <v>17</v>
      </c>
      <c r="F483" s="3">
        <v>100</v>
      </c>
      <c r="G483">
        <v>42</v>
      </c>
      <c r="H483">
        <v>12.75</v>
      </c>
      <c r="I483">
        <v>20</v>
      </c>
      <c r="J483" t="s">
        <v>34</v>
      </c>
      <c r="K483" t="s">
        <v>20</v>
      </c>
      <c r="L483" t="s">
        <v>239</v>
      </c>
      <c r="M483" s="3">
        <v>50</v>
      </c>
      <c r="N483" s="2">
        <v>7500</v>
      </c>
      <c r="O483" t="str">
        <f t="shared" si="14"/>
        <v>&lt;=100</v>
      </c>
      <c r="P483" t="str">
        <f t="shared" si="15"/>
        <v>&lt;= 10000$</v>
      </c>
    </row>
    <row r="484" spans="1:16" x14ac:dyDescent="0.25">
      <c r="A484">
        <v>483</v>
      </c>
      <c r="B484" t="s">
        <v>113</v>
      </c>
      <c r="C484" t="s">
        <v>428</v>
      </c>
      <c r="D484" t="s">
        <v>32</v>
      </c>
      <c r="E484" t="s">
        <v>17</v>
      </c>
      <c r="F484" s="3">
        <v>100</v>
      </c>
      <c r="G484">
        <v>42</v>
      </c>
      <c r="H484">
        <v>12.75</v>
      </c>
      <c r="I484">
        <v>22</v>
      </c>
      <c r="J484" t="s">
        <v>44</v>
      </c>
      <c r="K484" t="s">
        <v>20</v>
      </c>
      <c r="L484" t="s">
        <v>35</v>
      </c>
      <c r="M484" s="3">
        <v>50</v>
      </c>
      <c r="N484" s="2">
        <v>7500</v>
      </c>
      <c r="O484" t="str">
        <f t="shared" si="14"/>
        <v>&lt;=100</v>
      </c>
      <c r="P484" t="str">
        <f t="shared" si="15"/>
        <v>&lt;= 10000$</v>
      </c>
    </row>
    <row r="485" spans="1:16" x14ac:dyDescent="0.25">
      <c r="A485">
        <v>484</v>
      </c>
      <c r="B485" t="s">
        <v>113</v>
      </c>
      <c r="C485" t="s">
        <v>427</v>
      </c>
      <c r="D485" t="s">
        <v>32</v>
      </c>
      <c r="E485" t="s">
        <v>17</v>
      </c>
      <c r="F485" s="3">
        <v>50</v>
      </c>
      <c r="G485">
        <v>42</v>
      </c>
      <c r="H485">
        <v>14.05</v>
      </c>
      <c r="I485">
        <v>22</v>
      </c>
      <c r="J485" t="s">
        <v>44</v>
      </c>
      <c r="K485" t="s">
        <v>20</v>
      </c>
      <c r="L485" t="s">
        <v>35</v>
      </c>
      <c r="M485" s="3">
        <v>50</v>
      </c>
      <c r="N485" s="2">
        <v>7400</v>
      </c>
      <c r="O485" t="str">
        <f t="shared" si="14"/>
        <v>&lt;=100</v>
      </c>
      <c r="P485" t="str">
        <f t="shared" si="15"/>
        <v>&lt;= 10000$</v>
      </c>
    </row>
    <row r="486" spans="1:16" x14ac:dyDescent="0.25">
      <c r="A486">
        <v>485</v>
      </c>
      <c r="B486" t="s">
        <v>113</v>
      </c>
      <c r="C486" t="s">
        <v>428</v>
      </c>
      <c r="D486" t="s">
        <v>16</v>
      </c>
      <c r="E486" t="s">
        <v>17</v>
      </c>
      <c r="F486" s="3">
        <v>100</v>
      </c>
      <c r="G486">
        <v>42</v>
      </c>
      <c r="H486">
        <v>12.75</v>
      </c>
      <c r="I486">
        <v>20</v>
      </c>
      <c r="J486" t="s">
        <v>28</v>
      </c>
      <c r="K486" t="s">
        <v>20</v>
      </c>
      <c r="L486" t="s">
        <v>35</v>
      </c>
      <c r="M486" s="3">
        <v>50</v>
      </c>
      <c r="N486" s="2">
        <v>7000</v>
      </c>
      <c r="O486" t="str">
        <f t="shared" si="14"/>
        <v>&lt;=100</v>
      </c>
      <c r="P486" t="str">
        <f t="shared" si="15"/>
        <v>&lt;= 10000$</v>
      </c>
    </row>
    <row r="487" spans="1:16" x14ac:dyDescent="0.25">
      <c r="A487">
        <v>486</v>
      </c>
      <c r="B487" t="s">
        <v>113</v>
      </c>
      <c r="C487" t="s">
        <v>429</v>
      </c>
      <c r="D487" t="s">
        <v>32</v>
      </c>
      <c r="E487" t="s">
        <v>17</v>
      </c>
      <c r="F487" s="3">
        <v>100</v>
      </c>
      <c r="G487">
        <v>38</v>
      </c>
      <c r="H487">
        <v>12.5</v>
      </c>
      <c r="I487">
        <v>20</v>
      </c>
      <c r="J487" t="s">
        <v>44</v>
      </c>
      <c r="K487" t="s">
        <v>20</v>
      </c>
      <c r="L487" t="s">
        <v>35</v>
      </c>
      <c r="M487" s="3">
        <v>50</v>
      </c>
      <c r="N487" s="2">
        <v>7000</v>
      </c>
      <c r="O487" t="str">
        <f t="shared" si="14"/>
        <v>&lt;=100</v>
      </c>
      <c r="P487" t="str">
        <f t="shared" si="15"/>
        <v>&lt;= 10000$</v>
      </c>
    </row>
    <row r="488" spans="1:16" x14ac:dyDescent="0.25">
      <c r="A488">
        <v>487</v>
      </c>
      <c r="B488" t="s">
        <v>113</v>
      </c>
      <c r="C488" t="s">
        <v>427</v>
      </c>
      <c r="D488" t="s">
        <v>32</v>
      </c>
      <c r="E488" t="s">
        <v>17</v>
      </c>
      <c r="F488" s="3">
        <v>50</v>
      </c>
      <c r="G488">
        <v>42</v>
      </c>
      <c r="H488">
        <v>14.05</v>
      </c>
      <c r="I488">
        <v>22</v>
      </c>
      <c r="J488" t="s">
        <v>44</v>
      </c>
      <c r="K488" t="s">
        <v>20</v>
      </c>
      <c r="L488" t="s">
        <v>141</v>
      </c>
      <c r="M488" s="3">
        <v>50</v>
      </c>
      <c r="N488" s="2">
        <v>6900</v>
      </c>
      <c r="O488" t="str">
        <f t="shared" si="14"/>
        <v>&lt;=100</v>
      </c>
      <c r="P488" t="str">
        <f t="shared" si="15"/>
        <v>&lt;= 10000$</v>
      </c>
    </row>
    <row r="489" spans="1:16" x14ac:dyDescent="0.25">
      <c r="A489">
        <v>488</v>
      </c>
      <c r="B489" t="s">
        <v>113</v>
      </c>
      <c r="C489" t="s">
        <v>429</v>
      </c>
      <c r="D489" t="s">
        <v>32</v>
      </c>
      <c r="E489" t="s">
        <v>17</v>
      </c>
      <c r="F489" s="3">
        <v>100</v>
      </c>
      <c r="G489">
        <v>38</v>
      </c>
      <c r="H489">
        <v>12.45</v>
      </c>
      <c r="I489">
        <v>19</v>
      </c>
      <c r="J489" t="s">
        <v>34</v>
      </c>
      <c r="K489" t="s">
        <v>20</v>
      </c>
      <c r="L489" t="s">
        <v>35</v>
      </c>
      <c r="M489" s="3">
        <v>50</v>
      </c>
      <c r="N489" s="2">
        <v>6900</v>
      </c>
      <c r="O489" t="str">
        <f t="shared" si="14"/>
        <v>&lt;=100</v>
      </c>
      <c r="P489" t="str">
        <f t="shared" si="15"/>
        <v>&lt;= 10000$</v>
      </c>
    </row>
    <row r="490" spans="1:16" x14ac:dyDescent="0.25">
      <c r="A490">
        <v>489</v>
      </c>
      <c r="B490" t="s">
        <v>113</v>
      </c>
      <c r="C490" t="s">
        <v>428</v>
      </c>
      <c r="D490" t="s">
        <v>16</v>
      </c>
      <c r="E490" t="s">
        <v>17</v>
      </c>
      <c r="F490" s="3">
        <v>100</v>
      </c>
      <c r="G490">
        <v>42</v>
      </c>
      <c r="H490">
        <v>12.75</v>
      </c>
      <c r="I490">
        <v>20</v>
      </c>
      <c r="J490" t="s">
        <v>28</v>
      </c>
      <c r="K490" t="s">
        <v>20</v>
      </c>
      <c r="L490" t="s">
        <v>35</v>
      </c>
      <c r="M490" s="3">
        <v>50</v>
      </c>
      <c r="N490" s="2">
        <v>6900</v>
      </c>
      <c r="O490" t="str">
        <f t="shared" si="14"/>
        <v>&lt;=100</v>
      </c>
      <c r="P490" t="str">
        <f t="shared" si="15"/>
        <v>&lt;= 10000$</v>
      </c>
    </row>
    <row r="491" spans="1:16" x14ac:dyDescent="0.25">
      <c r="A491">
        <v>490</v>
      </c>
      <c r="B491" t="s">
        <v>113</v>
      </c>
      <c r="C491" t="s">
        <v>428</v>
      </c>
      <c r="D491" t="s">
        <v>108</v>
      </c>
      <c r="E491" t="s">
        <v>17</v>
      </c>
      <c r="F491" s="3">
        <v>100</v>
      </c>
      <c r="G491">
        <v>42</v>
      </c>
      <c r="H491">
        <v>12.75</v>
      </c>
      <c r="I491">
        <v>20</v>
      </c>
      <c r="J491" t="s">
        <v>44</v>
      </c>
      <c r="K491" t="s">
        <v>20</v>
      </c>
      <c r="L491" t="s">
        <v>35</v>
      </c>
      <c r="M491" s="3">
        <v>50</v>
      </c>
      <c r="N491" s="2">
        <v>6500</v>
      </c>
      <c r="O491" t="str">
        <f t="shared" si="14"/>
        <v>&lt;=100</v>
      </c>
      <c r="P491" t="str">
        <f t="shared" si="15"/>
        <v>&lt;= 10000$</v>
      </c>
    </row>
    <row r="492" spans="1:16" x14ac:dyDescent="0.25">
      <c r="A492">
        <v>491</v>
      </c>
      <c r="B492" t="s">
        <v>113</v>
      </c>
      <c r="C492" t="s">
        <v>428</v>
      </c>
      <c r="D492" t="s">
        <v>32</v>
      </c>
      <c r="E492" t="s">
        <v>17</v>
      </c>
      <c r="F492" s="3">
        <v>100</v>
      </c>
      <c r="G492">
        <v>42</v>
      </c>
      <c r="H492">
        <v>12.75</v>
      </c>
      <c r="I492">
        <v>22</v>
      </c>
      <c r="J492" t="s">
        <v>19</v>
      </c>
      <c r="K492" t="s">
        <v>20</v>
      </c>
      <c r="L492" t="s">
        <v>35</v>
      </c>
      <c r="M492" s="3">
        <v>50</v>
      </c>
      <c r="N492" s="2">
        <v>6500</v>
      </c>
      <c r="O492" t="str">
        <f t="shared" si="14"/>
        <v>&lt;=100</v>
      </c>
      <c r="P492" t="str">
        <f t="shared" si="15"/>
        <v>&lt;= 10000$</v>
      </c>
    </row>
    <row r="493" spans="1:16" x14ac:dyDescent="0.25">
      <c r="A493">
        <v>492</v>
      </c>
      <c r="B493" t="s">
        <v>113</v>
      </c>
      <c r="C493" t="s">
        <v>428</v>
      </c>
      <c r="D493" t="s">
        <v>32</v>
      </c>
      <c r="E493" t="s">
        <v>17</v>
      </c>
      <c r="F493" s="3">
        <v>100</v>
      </c>
      <c r="G493">
        <v>42</v>
      </c>
      <c r="H493">
        <v>12.75</v>
      </c>
      <c r="I493">
        <v>20</v>
      </c>
      <c r="J493" t="s">
        <v>19</v>
      </c>
      <c r="K493" t="s">
        <v>20</v>
      </c>
      <c r="L493" t="s">
        <v>35</v>
      </c>
      <c r="M493" s="3">
        <v>50</v>
      </c>
      <c r="N493" s="2">
        <v>6500</v>
      </c>
      <c r="O493" t="str">
        <f t="shared" si="14"/>
        <v>&lt;=100</v>
      </c>
      <c r="P493" t="str">
        <f t="shared" si="15"/>
        <v>&lt;= 10000$</v>
      </c>
    </row>
    <row r="494" spans="1:16" x14ac:dyDescent="0.25">
      <c r="A494">
        <v>493</v>
      </c>
      <c r="B494" t="s">
        <v>113</v>
      </c>
      <c r="C494" t="s">
        <v>428</v>
      </c>
      <c r="D494" t="s">
        <v>32</v>
      </c>
      <c r="E494" t="s">
        <v>17</v>
      </c>
      <c r="F494" s="3">
        <v>100</v>
      </c>
      <c r="G494">
        <v>42</v>
      </c>
      <c r="H494">
        <v>12.75</v>
      </c>
      <c r="I494">
        <v>20</v>
      </c>
      <c r="J494" t="s">
        <v>19</v>
      </c>
      <c r="K494" t="s">
        <v>20</v>
      </c>
      <c r="L494" t="s">
        <v>35</v>
      </c>
      <c r="M494" s="3">
        <v>50</v>
      </c>
      <c r="N494" s="2">
        <v>6500</v>
      </c>
      <c r="O494" t="str">
        <f t="shared" si="14"/>
        <v>&lt;=100</v>
      </c>
      <c r="P494" t="str">
        <f t="shared" si="15"/>
        <v>&lt;= 10000$</v>
      </c>
    </row>
    <row r="495" spans="1:16" x14ac:dyDescent="0.25">
      <c r="A495">
        <v>494</v>
      </c>
      <c r="B495" t="s">
        <v>113</v>
      </c>
      <c r="C495" t="s">
        <v>427</v>
      </c>
      <c r="D495" t="s">
        <v>32</v>
      </c>
      <c r="E495" t="s">
        <v>17</v>
      </c>
      <c r="F495" s="3">
        <v>50</v>
      </c>
      <c r="G495">
        <v>42</v>
      </c>
      <c r="H495">
        <v>13.5</v>
      </c>
      <c r="I495">
        <v>22</v>
      </c>
      <c r="J495" t="s">
        <v>28</v>
      </c>
      <c r="K495" t="s">
        <v>20</v>
      </c>
      <c r="L495" t="s">
        <v>35</v>
      </c>
      <c r="M495" s="3">
        <v>50</v>
      </c>
      <c r="N495" s="2">
        <v>6500</v>
      </c>
      <c r="O495" t="str">
        <f t="shared" si="14"/>
        <v>&lt;=100</v>
      </c>
      <c r="P495" t="str">
        <f t="shared" si="15"/>
        <v>&lt;= 10000$</v>
      </c>
    </row>
    <row r="496" spans="1:16" x14ac:dyDescent="0.25">
      <c r="A496">
        <v>495</v>
      </c>
      <c r="B496" t="s">
        <v>113</v>
      </c>
      <c r="C496" t="s">
        <v>429</v>
      </c>
      <c r="D496" t="s">
        <v>32</v>
      </c>
      <c r="E496" t="s">
        <v>17</v>
      </c>
      <c r="F496" s="3">
        <v>100</v>
      </c>
      <c r="G496">
        <v>38</v>
      </c>
      <c r="H496">
        <v>12.45</v>
      </c>
      <c r="I496">
        <v>20</v>
      </c>
      <c r="J496" t="s">
        <v>44</v>
      </c>
      <c r="K496" t="s">
        <v>20</v>
      </c>
      <c r="L496" t="s">
        <v>35</v>
      </c>
      <c r="M496" s="3">
        <v>50</v>
      </c>
      <c r="N496" s="2">
        <v>6200</v>
      </c>
      <c r="O496" t="str">
        <f t="shared" si="14"/>
        <v>&lt;=100</v>
      </c>
      <c r="P496" t="str">
        <f t="shared" si="15"/>
        <v>&lt;= 10000$</v>
      </c>
    </row>
    <row r="497" spans="1:16" x14ac:dyDescent="0.25">
      <c r="A497">
        <v>496</v>
      </c>
      <c r="B497" t="s">
        <v>113</v>
      </c>
      <c r="C497" t="s">
        <v>428</v>
      </c>
      <c r="D497" t="s">
        <v>32</v>
      </c>
      <c r="E497" t="s">
        <v>17</v>
      </c>
      <c r="F497" s="3">
        <v>100</v>
      </c>
      <c r="G497">
        <v>42</v>
      </c>
      <c r="H497">
        <v>12.75</v>
      </c>
      <c r="I497">
        <v>20</v>
      </c>
      <c r="J497" t="s">
        <v>44</v>
      </c>
      <c r="K497" t="s">
        <v>20</v>
      </c>
      <c r="L497" t="s">
        <v>35</v>
      </c>
      <c r="M497" s="3">
        <v>50</v>
      </c>
      <c r="N497" s="2">
        <v>6000</v>
      </c>
      <c r="O497" t="str">
        <f t="shared" si="14"/>
        <v>&lt;=100</v>
      </c>
      <c r="P497" t="str">
        <f t="shared" si="15"/>
        <v>&lt;= 10000$</v>
      </c>
    </row>
    <row r="498" spans="1:16" x14ac:dyDescent="0.25">
      <c r="A498">
        <v>497</v>
      </c>
      <c r="B498" t="s">
        <v>113</v>
      </c>
      <c r="C498" t="s">
        <v>429</v>
      </c>
      <c r="D498" t="s">
        <v>32</v>
      </c>
      <c r="E498" t="s">
        <v>17</v>
      </c>
      <c r="F498" s="3">
        <v>100</v>
      </c>
      <c r="G498">
        <v>38</v>
      </c>
      <c r="H498">
        <v>12.4</v>
      </c>
      <c r="I498">
        <v>19</v>
      </c>
      <c r="J498" t="s">
        <v>34</v>
      </c>
      <c r="K498" t="s">
        <v>20</v>
      </c>
      <c r="L498" t="s">
        <v>35</v>
      </c>
      <c r="M498" s="3">
        <v>50</v>
      </c>
      <c r="N498" s="2">
        <v>6000</v>
      </c>
      <c r="O498" t="str">
        <f t="shared" si="14"/>
        <v>&lt;=100</v>
      </c>
      <c r="P498" t="str">
        <f t="shared" si="15"/>
        <v>&lt;= 10000$</v>
      </c>
    </row>
    <row r="499" spans="1:16" x14ac:dyDescent="0.25">
      <c r="A499">
        <v>498</v>
      </c>
      <c r="B499" t="s">
        <v>113</v>
      </c>
      <c r="C499" t="s">
        <v>427</v>
      </c>
      <c r="D499" t="s">
        <v>32</v>
      </c>
      <c r="E499" t="s">
        <v>17</v>
      </c>
      <c r="F499" s="3">
        <v>100</v>
      </c>
      <c r="G499">
        <v>42</v>
      </c>
      <c r="H499">
        <v>14.05</v>
      </c>
      <c r="I499">
        <v>20</v>
      </c>
      <c r="J499" t="s">
        <v>44</v>
      </c>
      <c r="K499" t="s">
        <v>20</v>
      </c>
      <c r="L499" t="s">
        <v>148</v>
      </c>
      <c r="M499" s="3">
        <v>50</v>
      </c>
      <c r="N499" s="2">
        <v>6000</v>
      </c>
      <c r="O499" t="str">
        <f t="shared" si="14"/>
        <v>&lt;=100</v>
      </c>
      <c r="P499" t="str">
        <f t="shared" si="15"/>
        <v>&lt;= 10000$</v>
      </c>
    </row>
    <row r="500" spans="1:16" x14ac:dyDescent="0.25">
      <c r="A500">
        <v>499</v>
      </c>
      <c r="B500" t="s">
        <v>113</v>
      </c>
      <c r="C500" t="s">
        <v>431</v>
      </c>
      <c r="D500" t="s">
        <v>32</v>
      </c>
      <c r="E500" t="s">
        <v>17</v>
      </c>
      <c r="F500" s="3">
        <v>100</v>
      </c>
      <c r="G500">
        <v>38</v>
      </c>
      <c r="H500">
        <v>12.45</v>
      </c>
      <c r="I500">
        <v>20</v>
      </c>
      <c r="J500" t="s">
        <v>44</v>
      </c>
      <c r="K500" t="s">
        <v>20</v>
      </c>
      <c r="L500" t="s">
        <v>35</v>
      </c>
      <c r="M500" s="3">
        <v>50</v>
      </c>
      <c r="N500" s="2">
        <v>6000</v>
      </c>
      <c r="O500" t="str">
        <f t="shared" si="14"/>
        <v>&lt;=100</v>
      </c>
      <c r="P500" t="str">
        <f t="shared" si="15"/>
        <v>&lt;= 10000$</v>
      </c>
    </row>
    <row r="501" spans="1:16" x14ac:dyDescent="0.25">
      <c r="A501">
        <v>500</v>
      </c>
      <c r="B501" t="s">
        <v>113</v>
      </c>
      <c r="C501" t="s">
        <v>429</v>
      </c>
      <c r="D501" t="s">
        <v>32</v>
      </c>
      <c r="E501" t="s">
        <v>17</v>
      </c>
      <c r="F501" s="3">
        <v>100</v>
      </c>
      <c r="G501">
        <v>38</v>
      </c>
      <c r="H501">
        <v>12.45</v>
      </c>
      <c r="I501">
        <v>20</v>
      </c>
      <c r="J501" t="s">
        <v>34</v>
      </c>
      <c r="K501" t="s">
        <v>20</v>
      </c>
      <c r="L501" t="s">
        <v>148</v>
      </c>
      <c r="M501" s="3">
        <v>50</v>
      </c>
      <c r="N501" s="2">
        <v>5600</v>
      </c>
      <c r="O501" t="str">
        <f t="shared" si="14"/>
        <v>&lt;=100</v>
      </c>
      <c r="P501" t="str">
        <f t="shared" si="15"/>
        <v>&lt;= 10000$</v>
      </c>
    </row>
    <row r="502" spans="1:16" x14ac:dyDescent="0.25">
      <c r="A502">
        <v>501</v>
      </c>
      <c r="B502" t="s">
        <v>113</v>
      </c>
      <c r="C502" t="s">
        <v>429</v>
      </c>
      <c r="D502" t="s">
        <v>32</v>
      </c>
      <c r="E502" t="s">
        <v>17</v>
      </c>
      <c r="F502" s="3">
        <v>100</v>
      </c>
      <c r="G502">
        <v>38</v>
      </c>
      <c r="H502">
        <v>12.75</v>
      </c>
      <c r="I502">
        <v>20</v>
      </c>
      <c r="J502" t="s">
        <v>34</v>
      </c>
      <c r="K502" t="s">
        <v>20</v>
      </c>
      <c r="L502" t="s">
        <v>35</v>
      </c>
      <c r="M502" s="3">
        <v>50</v>
      </c>
      <c r="N502" s="2">
        <v>5500</v>
      </c>
      <c r="O502" t="str">
        <f t="shared" si="14"/>
        <v>&lt;=100</v>
      </c>
      <c r="P502" t="str">
        <f t="shared" si="15"/>
        <v>&lt;= 10000$</v>
      </c>
    </row>
    <row r="503" spans="1:16" x14ac:dyDescent="0.25">
      <c r="A503">
        <v>502</v>
      </c>
      <c r="B503" t="s">
        <v>113</v>
      </c>
      <c r="C503" t="s">
        <v>432</v>
      </c>
      <c r="D503" t="s">
        <v>32</v>
      </c>
      <c r="E503" t="s">
        <v>17</v>
      </c>
      <c r="F503" s="3">
        <v>50</v>
      </c>
      <c r="G503">
        <v>40.5</v>
      </c>
      <c r="H503">
        <v>8.15</v>
      </c>
      <c r="I503">
        <v>22</v>
      </c>
      <c r="J503" t="s">
        <v>34</v>
      </c>
      <c r="K503" t="s">
        <v>20</v>
      </c>
      <c r="L503" t="s">
        <v>21</v>
      </c>
      <c r="M503" s="3">
        <v>50</v>
      </c>
      <c r="N503" s="2">
        <v>5500</v>
      </c>
      <c r="O503" t="str">
        <f t="shared" si="14"/>
        <v>&lt;=100</v>
      </c>
      <c r="P503" t="str">
        <f t="shared" si="15"/>
        <v>&lt;= 10000$</v>
      </c>
    </row>
    <row r="504" spans="1:16" x14ac:dyDescent="0.25">
      <c r="A504">
        <v>503</v>
      </c>
      <c r="B504" t="s">
        <v>113</v>
      </c>
      <c r="C504" t="s">
        <v>428</v>
      </c>
      <c r="D504" t="s">
        <v>32</v>
      </c>
      <c r="E504" t="s">
        <v>17</v>
      </c>
      <c r="F504" s="3">
        <v>100</v>
      </c>
      <c r="G504">
        <v>42</v>
      </c>
      <c r="H504">
        <v>12.75</v>
      </c>
      <c r="I504">
        <v>22</v>
      </c>
      <c r="J504" t="s">
        <v>19</v>
      </c>
      <c r="K504" t="s">
        <v>20</v>
      </c>
      <c r="L504" t="s">
        <v>35</v>
      </c>
      <c r="M504" s="3">
        <v>50</v>
      </c>
      <c r="N504" s="2">
        <v>5500</v>
      </c>
      <c r="O504" t="str">
        <f t="shared" si="14"/>
        <v>&lt;=100</v>
      </c>
      <c r="P504" t="str">
        <f t="shared" si="15"/>
        <v>&lt;= 10000$</v>
      </c>
    </row>
    <row r="505" spans="1:16" x14ac:dyDescent="0.25">
      <c r="A505">
        <v>504</v>
      </c>
      <c r="B505" t="s">
        <v>113</v>
      </c>
      <c r="C505" t="s">
        <v>433</v>
      </c>
      <c r="D505" t="s">
        <v>32</v>
      </c>
      <c r="E505" t="s">
        <v>17</v>
      </c>
      <c r="F505" s="3">
        <v>50</v>
      </c>
      <c r="G505">
        <v>39</v>
      </c>
      <c r="H505">
        <v>8.15</v>
      </c>
      <c r="I505">
        <v>20</v>
      </c>
      <c r="J505" t="s">
        <v>44</v>
      </c>
      <c r="K505" t="s">
        <v>20</v>
      </c>
      <c r="L505" t="s">
        <v>21</v>
      </c>
      <c r="M505" s="3">
        <v>50</v>
      </c>
      <c r="N505" s="2">
        <v>4900</v>
      </c>
      <c r="O505" t="str">
        <f t="shared" si="14"/>
        <v>&lt;=100</v>
      </c>
      <c r="P505" t="str">
        <f t="shared" si="15"/>
        <v>&lt;=5000$</v>
      </c>
    </row>
    <row r="506" spans="1:16" x14ac:dyDescent="0.25">
      <c r="A506">
        <v>505</v>
      </c>
      <c r="B506" t="s">
        <v>113</v>
      </c>
      <c r="C506" t="s">
        <v>432</v>
      </c>
      <c r="D506" t="s">
        <v>32</v>
      </c>
      <c r="E506" t="s">
        <v>17</v>
      </c>
      <c r="F506" s="3">
        <v>50</v>
      </c>
      <c r="G506">
        <v>40.5</v>
      </c>
      <c r="H506">
        <v>9.15</v>
      </c>
      <c r="I506">
        <v>20</v>
      </c>
      <c r="J506" t="s">
        <v>44</v>
      </c>
      <c r="K506" t="s">
        <v>20</v>
      </c>
      <c r="L506" t="s">
        <v>45</v>
      </c>
      <c r="M506" s="3">
        <v>50</v>
      </c>
      <c r="N506" s="2">
        <v>4500</v>
      </c>
      <c r="O506" t="str">
        <f t="shared" si="14"/>
        <v>&lt;=100</v>
      </c>
      <c r="P506" t="str">
        <f t="shared" si="15"/>
        <v>&lt;=5000$</v>
      </c>
    </row>
  </sheetData>
  <sortState xmlns:xlrd2="http://schemas.microsoft.com/office/spreadsheetml/2017/richdata2" ref="A2:M506">
    <sortCondition ref="A2:A506"/>
    <sortCondition descending="1" ref="M2:M506"/>
  </sortState>
  <conditionalFormatting sqref="F2:F1048576">
    <cfRule type="cellIs" dxfId="56" priority="5" operator="greaterThan">
      <formula>299</formula>
    </cfRule>
  </conditionalFormatting>
  <conditionalFormatting sqref="F2:F1048576">
    <cfRule type="cellIs" dxfId="55" priority="4" operator="greaterThan">
      <formula>999</formula>
    </cfRule>
  </conditionalFormatting>
  <conditionalFormatting sqref="N1:N1048576">
    <cfRule type="dataBar" priority="3">
      <dataBar>
        <cfvo type="min"/>
        <cfvo type="max"/>
        <color rgb="FFFF555A"/>
      </dataBar>
      <extLst>
        <ext xmlns:x14="http://schemas.microsoft.com/office/spreadsheetml/2009/9/main" uri="{B025F937-C7B1-47D3-B67F-A62EFF666E3E}">
          <x14:id>{80BB230D-F39E-46D2-B1BC-28476484C4B7}</x14:id>
        </ext>
      </extLst>
    </cfRule>
  </conditionalFormatting>
  <conditionalFormatting sqref="M1:M1048576">
    <cfRule type="dataBar" priority="2">
      <dataBar>
        <cfvo type="min"/>
        <cfvo type="max"/>
        <color rgb="FF638EC6"/>
      </dataBar>
      <extLst>
        <ext xmlns:x14="http://schemas.microsoft.com/office/spreadsheetml/2009/9/main" uri="{B025F937-C7B1-47D3-B67F-A62EFF666E3E}">
          <x14:id>{B9F741DC-E33D-47C6-9DBF-8A526BBCFFE0}</x14:id>
        </ext>
      </extLst>
    </cfRule>
  </conditionalFormatting>
  <conditionalFormatting sqref="C1:C1048576">
    <cfRule type="expression" dxfId="54" priority="1">
      <formula>$E1="Quartz"</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80BB230D-F39E-46D2-B1BC-28476484C4B7}">
            <x14:dataBar minLength="0" maxLength="100" border="1" negativeBarBorderColorSameAsPositive="0">
              <x14:cfvo type="autoMin"/>
              <x14:cfvo type="autoMax"/>
              <x14:borderColor rgb="FFFF555A"/>
              <x14:negativeFillColor rgb="FFFF0000"/>
              <x14:negativeBorderColor rgb="FFFF0000"/>
              <x14:axisColor rgb="FF000000"/>
            </x14:dataBar>
          </x14:cfRule>
          <xm:sqref>N1:N1048576</xm:sqref>
        </x14:conditionalFormatting>
        <x14:conditionalFormatting xmlns:xm="http://schemas.microsoft.com/office/excel/2006/main">
          <x14:cfRule type="dataBar" id="{B9F741DC-E33D-47C6-9DBF-8A526BBCFFE0}">
            <x14:dataBar minLength="0" maxLength="100" border="1" negativeBarBorderColorSameAsPositive="0">
              <x14:cfvo type="autoMin"/>
              <x14:cfvo type="autoMax"/>
              <x14:borderColor rgb="FF638EC6"/>
              <x14:negativeFillColor rgb="FFFF0000"/>
              <x14:negativeBorderColor rgb="FFFF0000"/>
              <x14:axisColor rgb="FF000000"/>
            </x14:dataBar>
          </x14:cfRule>
          <xm:sqref>M1:M1048576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A26C1-0A76-49C7-BD8B-ECE6B26461A9}">
  <sheetPr codeName="Sheet5">
    <tabColor rgb="FFFFC000"/>
  </sheetPr>
  <dimension ref="A1:Y82"/>
  <sheetViews>
    <sheetView workbookViewId="0">
      <selection activeCell="J11" sqref="J11"/>
    </sheetView>
  </sheetViews>
  <sheetFormatPr defaultRowHeight="15" x14ac:dyDescent="0.25"/>
  <cols>
    <col min="1" max="1" width="24.5703125" bestFit="1" customWidth="1"/>
    <col min="2" max="2" width="15.28515625" bestFit="1" customWidth="1"/>
    <col min="3" max="3" width="19.7109375" bestFit="1" customWidth="1"/>
    <col min="4" max="4" width="4" bestFit="1" customWidth="1"/>
    <col min="5" max="5" width="22.5703125" customWidth="1"/>
    <col min="6" max="6" width="15.5703125" bestFit="1" customWidth="1"/>
    <col min="7" max="7" width="16.7109375" bestFit="1" customWidth="1"/>
    <col min="8" max="8" width="9.85546875" bestFit="1" customWidth="1"/>
    <col min="9" max="9" width="8.85546875" bestFit="1" customWidth="1"/>
    <col min="10" max="10" width="17.5703125" bestFit="1" customWidth="1"/>
    <col min="11" max="11" width="14.42578125" bestFit="1" customWidth="1"/>
    <col min="12" max="12" width="13.7109375" bestFit="1" customWidth="1"/>
    <col min="13" max="13" width="15.5703125" bestFit="1" customWidth="1"/>
    <col min="14" max="14" width="6.5703125" bestFit="1" customWidth="1"/>
    <col min="15" max="15" width="21.85546875" bestFit="1" customWidth="1"/>
    <col min="16" max="16" width="9.42578125" bestFit="1" customWidth="1"/>
    <col min="17" max="17" width="7.28515625" bestFit="1" customWidth="1"/>
    <col min="18" max="18" width="11.42578125" bestFit="1" customWidth="1"/>
    <col min="20" max="20" width="15.7109375" bestFit="1" customWidth="1"/>
    <col min="22" max="22" width="6.140625" bestFit="1" customWidth="1"/>
    <col min="23" max="23" width="11.28515625" bestFit="1" customWidth="1"/>
    <col min="25" max="25" width="17.5703125" bestFit="1" customWidth="1"/>
  </cols>
  <sheetData>
    <row r="1" spans="1:25" ht="15.75" thickBot="1" x14ac:dyDescent="0.3">
      <c r="A1" s="11"/>
      <c r="B1" s="11"/>
      <c r="C1" s="11"/>
      <c r="D1" s="11"/>
      <c r="E1" s="11"/>
      <c r="F1" s="11"/>
      <c r="G1" s="11"/>
      <c r="H1" s="11"/>
      <c r="I1" s="11"/>
      <c r="J1" s="11"/>
      <c r="K1" s="11"/>
      <c r="L1" s="11"/>
      <c r="M1" s="11"/>
      <c r="N1" s="11"/>
      <c r="O1" s="11"/>
      <c r="P1" s="11"/>
      <c r="Q1" s="11"/>
      <c r="R1" s="11"/>
      <c r="S1" s="11"/>
      <c r="T1" s="11"/>
      <c r="U1" s="11"/>
      <c r="V1" s="11"/>
      <c r="W1" s="11"/>
    </row>
    <row r="2" spans="1:25" x14ac:dyDescent="0.25">
      <c r="B2" s="12" t="s">
        <v>437</v>
      </c>
      <c r="C2" s="5" t="s">
        <v>0</v>
      </c>
      <c r="E2" s="43" t="s">
        <v>446</v>
      </c>
      <c r="F2" s="3"/>
      <c r="G2" s="4" t="s">
        <v>451</v>
      </c>
      <c r="H2" s="5" t="s">
        <v>438</v>
      </c>
      <c r="J2" s="43" t="s">
        <v>439</v>
      </c>
      <c r="L2" s="4" t="s">
        <v>452</v>
      </c>
      <c r="M2" s="23" t="s">
        <v>4</v>
      </c>
      <c r="N2" s="2"/>
      <c r="O2" s="22" t="s">
        <v>449</v>
      </c>
      <c r="Q2" s="4" t="s">
        <v>453</v>
      </c>
      <c r="R2" s="5" t="s">
        <v>9</v>
      </c>
      <c r="T2" s="22" t="s">
        <v>450</v>
      </c>
      <c r="V2" s="4" t="s">
        <v>444</v>
      </c>
      <c r="W2" s="5" t="s">
        <v>443</v>
      </c>
      <c r="Y2" s="22" t="s">
        <v>448</v>
      </c>
    </row>
    <row r="3" spans="1:25" ht="15.75" thickBot="1" x14ac:dyDescent="0.3">
      <c r="B3" s="13">
        <v>1</v>
      </c>
      <c r="C3" s="21" t="str" cm="1">
        <f t="array" ref="C3:C39">IF(_xlfn.UNIQUE(Brand, FALSE, FALSE)&lt;&gt;0, _xlfn.UNIQUE(Brand, FALSE, FALSE), "")</f>
        <v>A. Lange &amp; Söhne</v>
      </c>
      <c r="E3" s="26">
        <v>28</v>
      </c>
      <c r="F3" s="3"/>
      <c r="G3" s="13">
        <v>1</v>
      </c>
      <c r="H3" s="7" t="str" cm="1">
        <f t="array" ref="H3:H9">IF(_xlfn.UNIQUE(WR_Range, FALSE, FALSE)&lt;&gt;0, _xlfn.UNIQUE(WR_Range, FALSE, FALSE), "")</f>
        <v>&lt;=100</v>
      </c>
      <c r="J3" s="26">
        <v>1</v>
      </c>
      <c r="L3" s="13">
        <v>1</v>
      </c>
      <c r="M3" s="24" t="str" cm="1">
        <f t="array" ref="M3:M6">IF(_xlfn.UNIQUE(mvmt, FALSE, FALSE)&lt;&gt;0, _xlfn.UNIQUE(mvmt, FALSE, FALSE), "")</f>
        <v>Manual</v>
      </c>
      <c r="N3" s="2"/>
      <c r="O3" s="26">
        <v>2</v>
      </c>
      <c r="Q3" s="13">
        <v>1</v>
      </c>
      <c r="R3" s="7" t="str" cm="1">
        <f t="array" ref="R3:R10">IF(_xlfn.UNIQUE(dial, FALSE, FALSE)&lt;&gt;0, _xlfn.UNIQUE(dial, FALSE, FALSE), "")</f>
        <v>Silver</v>
      </c>
      <c r="T3" s="26">
        <v>1</v>
      </c>
      <c r="V3" s="13">
        <v>1</v>
      </c>
      <c r="W3" s="7" t="str" cm="1">
        <f t="array" ref="W3:W10">IF(_xlfn.UNIQUE(price_range, FALSE, FALSE)&lt;&gt;0, _xlfn.UNIQUE(price_range, FALSE, FALSE), "")</f>
        <v>&lt;= 40000$</v>
      </c>
      <c r="Y3" s="26">
        <v>5</v>
      </c>
    </row>
    <row r="4" spans="1:25" x14ac:dyDescent="0.25">
      <c r="B4" s="13">
        <f>B3+1</f>
        <v>2</v>
      </c>
      <c r="C4" s="21" t="str">
        <v>Audemars Piguet</v>
      </c>
      <c r="F4" s="3"/>
      <c r="G4" s="13">
        <f>G3+1</f>
        <v>2</v>
      </c>
      <c r="H4" s="7" t="str">
        <v>200-300</v>
      </c>
      <c r="L4" s="13">
        <f>L3+1</f>
        <v>2</v>
      </c>
      <c r="M4" s="24" t="str">
        <v>Automatic</v>
      </c>
      <c r="N4" s="2"/>
      <c r="Q4" s="13">
        <f>Q3+1</f>
        <v>2</v>
      </c>
      <c r="R4" s="7" t="str">
        <v>Blue</v>
      </c>
      <c r="V4" s="13">
        <f>V3+1</f>
        <v>2</v>
      </c>
      <c r="W4" s="7" t="str">
        <v>&lt;= 20000$</v>
      </c>
    </row>
    <row r="5" spans="1:25" ht="15.75" thickBot="1" x14ac:dyDescent="0.3">
      <c r="B5" s="13">
        <f t="shared" ref="B5:B38" si="0">B4+1</f>
        <v>3</v>
      </c>
      <c r="C5" s="21" t="str">
        <v>Baume &amp; Mercier</v>
      </c>
      <c r="F5" s="3"/>
      <c r="G5" s="13">
        <f t="shared" ref="G5:G8" si="1">G4+1</f>
        <v>3</v>
      </c>
      <c r="H5" s="7" t="str">
        <v>100-200</v>
      </c>
      <c r="L5" s="15">
        <f t="shared" ref="L5" si="2">L4+1</f>
        <v>3</v>
      </c>
      <c r="M5" s="25" t="str">
        <v>Quartz</v>
      </c>
      <c r="N5" s="2"/>
      <c r="Q5" s="13">
        <f t="shared" ref="Q5:Q9" si="3">Q4+1</f>
        <v>3</v>
      </c>
      <c r="R5" s="7" t="str">
        <v>Black</v>
      </c>
      <c r="V5" s="13">
        <f t="shared" ref="V5:V9" si="4">V4+1</f>
        <v>3</v>
      </c>
      <c r="W5" s="7" t="str">
        <v>40000$ +</v>
      </c>
    </row>
    <row r="6" spans="1:25" x14ac:dyDescent="0.25">
      <c r="B6" s="13">
        <f t="shared" si="0"/>
        <v>4</v>
      </c>
      <c r="C6" s="21" t="str">
        <v>Bell &amp; Ross</v>
      </c>
      <c r="F6" s="3"/>
      <c r="G6" s="13">
        <f t="shared" si="1"/>
        <v>4</v>
      </c>
      <c r="H6" s="7" t="str">
        <v>1000+</v>
      </c>
      <c r="M6" s="3" t="str">
        <v/>
      </c>
      <c r="N6" s="2"/>
      <c r="Q6" s="13">
        <f t="shared" si="3"/>
        <v>4</v>
      </c>
      <c r="R6" s="7" t="str">
        <v>Grey</v>
      </c>
      <c r="V6" s="13">
        <f t="shared" si="4"/>
        <v>4</v>
      </c>
      <c r="W6" s="7" t="str">
        <v>&lt;=5000$</v>
      </c>
    </row>
    <row r="7" spans="1:25" x14ac:dyDescent="0.25">
      <c r="B7" s="13">
        <f t="shared" si="0"/>
        <v>5</v>
      </c>
      <c r="C7" s="21" t="str">
        <v>Blancpain</v>
      </c>
      <c r="F7" s="3"/>
      <c r="G7" s="13">
        <f t="shared" si="1"/>
        <v>5</v>
      </c>
      <c r="H7" s="7" t="str">
        <v>300-500</v>
      </c>
      <c r="M7" s="3"/>
      <c r="N7" s="2"/>
      <c r="Q7" s="13">
        <f t="shared" si="3"/>
        <v>5</v>
      </c>
      <c r="R7" s="7" t="str">
        <v>White</v>
      </c>
      <c r="V7" s="13">
        <f t="shared" si="4"/>
        <v>5</v>
      </c>
      <c r="W7" s="7" t="str">
        <v>&lt;= 10000$</v>
      </c>
    </row>
    <row r="8" spans="1:25" ht="15.75" thickBot="1" x14ac:dyDescent="0.3">
      <c r="B8" s="13">
        <f t="shared" si="0"/>
        <v>6</v>
      </c>
      <c r="C8" s="21" t="str">
        <v>Breguet</v>
      </c>
      <c r="F8" s="3"/>
      <c r="G8" s="15">
        <f t="shared" si="1"/>
        <v>6</v>
      </c>
      <c r="H8" s="9" t="str">
        <v>500-1000</v>
      </c>
      <c r="M8" s="3"/>
      <c r="N8" s="2"/>
      <c r="Q8" s="13">
        <f t="shared" si="3"/>
        <v>6</v>
      </c>
      <c r="R8" s="7" t="str">
        <v>Ivory</v>
      </c>
      <c r="V8" s="13">
        <f t="shared" si="4"/>
        <v>6</v>
      </c>
      <c r="W8" s="7" t="str">
        <v>&lt;= 1000$</v>
      </c>
    </row>
    <row r="9" spans="1:25" ht="15.75" thickBot="1" x14ac:dyDescent="0.3">
      <c r="B9" s="13">
        <f t="shared" si="0"/>
        <v>7</v>
      </c>
      <c r="C9" s="21" t="str">
        <v>Breitling</v>
      </c>
      <c r="F9" s="3"/>
      <c r="H9" t="str">
        <v/>
      </c>
      <c r="M9" s="3"/>
      <c r="N9" s="2"/>
      <c r="Q9" s="15">
        <f t="shared" si="3"/>
        <v>7</v>
      </c>
      <c r="R9" s="9" t="str">
        <v>Champagne</v>
      </c>
      <c r="V9" s="15">
        <f t="shared" si="4"/>
        <v>7</v>
      </c>
      <c r="W9" s="9" t="str">
        <v xml:space="preserve"> &lt;=2000$</v>
      </c>
    </row>
    <row r="10" spans="1:25" x14ac:dyDescent="0.25">
      <c r="B10" s="13">
        <f t="shared" si="0"/>
        <v>8</v>
      </c>
      <c r="C10" s="21" t="str">
        <v>Bulgari</v>
      </c>
      <c r="F10" s="3"/>
      <c r="J10" s="42" t="s">
        <v>510</v>
      </c>
      <c r="M10" s="3"/>
      <c r="N10" s="2"/>
      <c r="R10" t="str">
        <v/>
      </c>
      <c r="W10" t="str">
        <v/>
      </c>
    </row>
    <row r="11" spans="1:25" ht="15.75" thickBot="1" x14ac:dyDescent="0.3">
      <c r="B11" s="13">
        <f t="shared" si="0"/>
        <v>9</v>
      </c>
      <c r="C11" s="21" t="str">
        <v>Bulova</v>
      </c>
      <c r="F11" s="3"/>
      <c r="J11" s="26" t="b">
        <v>1</v>
      </c>
      <c r="M11" s="3"/>
      <c r="N11" s="2"/>
    </row>
    <row r="12" spans="1:25" x14ac:dyDescent="0.25">
      <c r="B12" s="13">
        <f t="shared" si="0"/>
        <v>10</v>
      </c>
      <c r="C12" s="21" t="str">
        <v>Cartier</v>
      </c>
      <c r="F12" s="3"/>
      <c r="M12" s="3"/>
      <c r="N12" s="2"/>
    </row>
    <row r="13" spans="1:25" x14ac:dyDescent="0.25">
      <c r="A13" s="11"/>
      <c r="B13" s="13">
        <f t="shared" si="0"/>
        <v>11</v>
      </c>
      <c r="C13" s="19" t="str">
        <v>Chopard</v>
      </c>
      <c r="D13" s="11"/>
      <c r="E13" s="11"/>
      <c r="F13" s="11"/>
      <c r="G13" s="11"/>
      <c r="H13" s="11"/>
      <c r="I13" s="11"/>
      <c r="J13" s="11"/>
      <c r="K13" s="11"/>
      <c r="L13" s="11"/>
      <c r="M13" s="11"/>
      <c r="N13" s="11"/>
      <c r="O13" s="11"/>
      <c r="P13" s="11"/>
      <c r="Q13" s="11"/>
      <c r="R13" s="11"/>
      <c r="S13" s="11"/>
      <c r="T13" s="11"/>
      <c r="U13" s="11"/>
      <c r="V13" s="11"/>
      <c r="W13" s="11"/>
    </row>
    <row r="14" spans="1:25" x14ac:dyDescent="0.25">
      <c r="A14" s="11"/>
      <c r="B14" s="13">
        <f t="shared" si="0"/>
        <v>12</v>
      </c>
      <c r="C14" s="19" t="str">
        <v>Frederique Constant</v>
      </c>
      <c r="D14" s="11"/>
      <c r="E14" s="11"/>
      <c r="F14" s="11"/>
      <c r="G14" s="11"/>
      <c r="H14" s="11"/>
      <c r="I14" s="11"/>
      <c r="J14" s="11"/>
      <c r="K14" s="11"/>
      <c r="L14" s="11"/>
      <c r="M14" s="11"/>
      <c r="N14" s="11"/>
      <c r="O14" s="11"/>
      <c r="P14" s="11"/>
      <c r="Q14" s="11"/>
      <c r="R14" s="11"/>
      <c r="S14" s="11"/>
      <c r="T14" s="11"/>
      <c r="U14" s="11"/>
      <c r="V14" s="11"/>
      <c r="W14" s="11"/>
    </row>
    <row r="15" spans="1:25" x14ac:dyDescent="0.25">
      <c r="A15" s="11"/>
      <c r="B15" s="13">
        <f t="shared" si="0"/>
        <v>13</v>
      </c>
      <c r="C15" s="19" t="str">
        <v>Girard-Perregaux</v>
      </c>
      <c r="D15" s="11"/>
      <c r="E15" s="11"/>
      <c r="F15" s="11"/>
      <c r="G15" s="11"/>
      <c r="H15" s="11"/>
      <c r="I15" s="11"/>
      <c r="J15" s="11"/>
      <c r="K15" s="11"/>
      <c r="L15" s="11"/>
      <c r="M15" s="11"/>
      <c r="N15" s="11"/>
      <c r="O15" s="11"/>
      <c r="P15" s="11"/>
      <c r="Q15" s="11"/>
      <c r="R15" s="11"/>
      <c r="S15" s="11"/>
      <c r="T15" s="11"/>
      <c r="U15" s="11"/>
      <c r="V15" s="11"/>
      <c r="W15" s="11"/>
    </row>
    <row r="16" spans="1:25" x14ac:dyDescent="0.25">
      <c r="A16" s="11"/>
      <c r="B16" s="13">
        <f t="shared" si="0"/>
        <v>14</v>
      </c>
      <c r="C16" s="19" t="str">
        <v>Glashütte Original</v>
      </c>
      <c r="D16" s="11"/>
      <c r="E16" s="11"/>
      <c r="F16" s="11"/>
      <c r="G16" s="11"/>
      <c r="H16" s="11"/>
      <c r="I16" s="11"/>
      <c r="J16" s="11"/>
      <c r="K16" s="11"/>
      <c r="L16" s="11"/>
      <c r="M16" s="11"/>
      <c r="N16" s="11"/>
      <c r="O16" s="11"/>
      <c r="P16" s="11"/>
      <c r="Q16" s="11"/>
      <c r="R16" s="11"/>
      <c r="S16" s="11"/>
      <c r="T16" s="11"/>
      <c r="U16" s="11"/>
      <c r="V16" s="11"/>
      <c r="W16" s="11"/>
    </row>
    <row r="17" spans="1:23" x14ac:dyDescent="0.25">
      <c r="A17" s="11"/>
      <c r="B17" s="13">
        <f t="shared" si="0"/>
        <v>15</v>
      </c>
      <c r="C17" s="19" t="str">
        <v>Hamilton</v>
      </c>
      <c r="D17" s="11"/>
      <c r="E17" s="11"/>
      <c r="F17" s="11"/>
      <c r="G17" s="11"/>
      <c r="H17" s="11"/>
      <c r="I17" s="11"/>
      <c r="J17" s="11"/>
      <c r="K17" s="11"/>
      <c r="L17" s="11"/>
      <c r="M17" s="11"/>
      <c r="N17" s="11"/>
      <c r="O17" s="11"/>
      <c r="P17" s="11"/>
      <c r="Q17" s="11"/>
      <c r="R17" s="11"/>
      <c r="S17" s="11"/>
      <c r="T17" s="11"/>
      <c r="U17" s="11"/>
      <c r="V17" s="11"/>
      <c r="W17" s="11"/>
    </row>
    <row r="18" spans="1:23" ht="15.75" thickBot="1" x14ac:dyDescent="0.3">
      <c r="A18" s="11"/>
      <c r="B18" s="13">
        <f t="shared" si="0"/>
        <v>16</v>
      </c>
      <c r="C18" s="19" t="str">
        <v>Hublot</v>
      </c>
      <c r="D18" s="11"/>
      <c r="E18" s="11"/>
      <c r="F18" s="11"/>
      <c r="G18" s="11"/>
      <c r="H18" s="11"/>
      <c r="I18" s="11"/>
      <c r="J18" s="11"/>
      <c r="K18" s="11"/>
      <c r="L18" s="11"/>
      <c r="M18" s="11"/>
      <c r="N18" s="11"/>
      <c r="O18" s="11"/>
      <c r="P18" s="11"/>
      <c r="Q18" s="11"/>
      <c r="R18" s="11"/>
      <c r="S18" s="11"/>
      <c r="T18" s="11"/>
      <c r="U18" s="11"/>
      <c r="V18" s="11"/>
      <c r="W18" s="11"/>
    </row>
    <row r="19" spans="1:23" x14ac:dyDescent="0.25">
      <c r="A19" s="11"/>
      <c r="B19" s="13">
        <f t="shared" si="0"/>
        <v>17</v>
      </c>
      <c r="C19" s="19" t="str">
        <v>IWC</v>
      </c>
      <c r="D19" s="11"/>
      <c r="E19" s="11"/>
      <c r="F19" s="79" t="s">
        <v>445</v>
      </c>
      <c r="G19" s="80"/>
      <c r="H19" s="11"/>
      <c r="I19" s="11"/>
      <c r="J19" s="11"/>
      <c r="K19" s="11"/>
      <c r="L19" s="11"/>
      <c r="M19" s="11"/>
      <c r="N19" s="11"/>
      <c r="O19" s="11"/>
      <c r="P19" s="11"/>
      <c r="Q19" s="11"/>
      <c r="R19" s="11"/>
      <c r="S19" s="11"/>
      <c r="T19" s="11"/>
      <c r="U19" s="11"/>
      <c r="V19" s="11"/>
      <c r="W19" s="11"/>
    </row>
    <row r="20" spans="1:23" x14ac:dyDescent="0.25">
      <c r="A20" s="11"/>
      <c r="B20" s="13">
        <f t="shared" si="0"/>
        <v>18</v>
      </c>
      <c r="C20" s="19" t="str">
        <v>Jaeger-LeCoultre</v>
      </c>
      <c r="D20" s="11"/>
      <c r="E20" s="11"/>
      <c r="F20" s="17" t="s">
        <v>436</v>
      </c>
      <c r="G20" s="14" t="str">
        <f>_xlfn.XLOOKUP(E3, B3:B38, C3:C38,,0,1)</f>
        <v>Rolex</v>
      </c>
      <c r="H20" s="11"/>
      <c r="I20" s="11"/>
      <c r="J20" s="11"/>
      <c r="K20" s="11"/>
      <c r="L20" s="11"/>
      <c r="M20" s="11"/>
      <c r="N20" s="11"/>
      <c r="O20" s="11"/>
      <c r="P20" s="11"/>
      <c r="Q20" s="11"/>
      <c r="R20" s="11"/>
      <c r="S20" s="11"/>
      <c r="T20" s="11"/>
      <c r="U20" s="11"/>
      <c r="V20" s="11"/>
      <c r="W20" s="11"/>
    </row>
    <row r="21" spans="1:23" x14ac:dyDescent="0.25">
      <c r="A21" s="11"/>
      <c r="B21" s="13">
        <f t="shared" si="0"/>
        <v>19</v>
      </c>
      <c r="C21" s="19" t="str">
        <v>Jaquet Droz</v>
      </c>
      <c r="D21" s="11"/>
      <c r="E21" s="11"/>
      <c r="F21" s="6" t="s">
        <v>438</v>
      </c>
      <c r="G21" s="14" t="str">
        <f>_xlfn.XLOOKUP(J3,G3:G8,H3:H8,,0,1)</f>
        <v>&lt;=100</v>
      </c>
      <c r="H21" s="11"/>
      <c r="I21" s="11"/>
      <c r="J21" s="11"/>
      <c r="K21" s="11"/>
      <c r="L21" s="11"/>
      <c r="M21" s="11"/>
      <c r="N21" s="11"/>
      <c r="O21" s="11"/>
      <c r="P21" s="11"/>
      <c r="Q21" s="11"/>
      <c r="R21" s="11"/>
      <c r="S21" s="11"/>
      <c r="T21" s="11"/>
      <c r="U21" s="11"/>
      <c r="V21" s="11"/>
      <c r="W21" s="11"/>
    </row>
    <row r="22" spans="1:23" x14ac:dyDescent="0.25">
      <c r="A22" s="11"/>
      <c r="B22" s="13">
        <f t="shared" si="0"/>
        <v>20</v>
      </c>
      <c r="C22" s="19" t="str">
        <v>Longines</v>
      </c>
      <c r="D22" s="11"/>
      <c r="E22" s="11"/>
      <c r="F22" s="6" t="s">
        <v>4</v>
      </c>
      <c r="G22" s="14" t="str">
        <f>_xlfn.XLOOKUP(O3, L3:L5,M3:M5,,0,1)</f>
        <v>Automatic</v>
      </c>
      <c r="H22" s="11"/>
      <c r="I22" s="11"/>
      <c r="J22" s="11"/>
      <c r="K22" s="11"/>
      <c r="L22" s="11"/>
      <c r="M22" s="11"/>
      <c r="N22" s="11"/>
      <c r="O22" s="11"/>
      <c r="P22" s="11"/>
      <c r="Q22" s="11"/>
      <c r="R22" s="11"/>
      <c r="S22" s="11"/>
      <c r="T22" s="11"/>
      <c r="U22" s="11"/>
      <c r="V22" s="11"/>
      <c r="W22" s="11"/>
    </row>
    <row r="23" spans="1:23" x14ac:dyDescent="0.25">
      <c r="A23" s="11"/>
      <c r="B23" s="13">
        <f t="shared" si="0"/>
        <v>21</v>
      </c>
      <c r="C23" s="19" t="str">
        <v>Montblanc</v>
      </c>
      <c r="D23" s="11"/>
      <c r="E23" s="11"/>
      <c r="F23" s="6" t="s">
        <v>9</v>
      </c>
      <c r="G23" s="14" t="str">
        <f>_xlfn.XLOOKUP(T3,Q3:Q9,R3:R9,0,1)</f>
        <v>Silver</v>
      </c>
      <c r="H23" s="11"/>
      <c r="I23" s="11"/>
      <c r="J23" s="11"/>
      <c r="K23" s="11"/>
      <c r="L23" s="11"/>
      <c r="M23" s="11"/>
      <c r="N23" s="11"/>
      <c r="O23" s="11"/>
      <c r="P23" s="11"/>
      <c r="Q23" s="11"/>
      <c r="R23" s="11"/>
      <c r="S23" s="11"/>
      <c r="T23" s="11"/>
      <c r="U23" s="11"/>
      <c r="V23" s="11"/>
      <c r="W23" s="11"/>
    </row>
    <row r="24" spans="1:23" ht="15.75" thickBot="1" x14ac:dyDescent="0.3">
      <c r="A24" s="11"/>
      <c r="B24" s="13">
        <f t="shared" si="0"/>
        <v>22</v>
      </c>
      <c r="C24" s="19" t="str">
        <v>Omega</v>
      </c>
      <c r="D24" s="11"/>
      <c r="E24" s="11"/>
      <c r="F24" s="8" t="s">
        <v>443</v>
      </c>
      <c r="G24" s="16" t="str">
        <f>_xlfn.XLOOKUP(Y3,V3:V9,W3:W9,,0,1)</f>
        <v>&lt;= 10000$</v>
      </c>
      <c r="H24" s="11"/>
      <c r="I24" s="11"/>
      <c r="J24" s="11"/>
      <c r="K24" s="11"/>
      <c r="L24" s="11"/>
      <c r="M24" s="11"/>
      <c r="N24" s="11"/>
      <c r="O24" s="11"/>
      <c r="P24" s="11"/>
      <c r="Q24" s="11"/>
      <c r="R24" s="11"/>
      <c r="S24" s="11"/>
      <c r="T24" s="11"/>
      <c r="U24" s="11"/>
      <c r="V24" s="11"/>
      <c r="W24" s="11"/>
    </row>
    <row r="25" spans="1:23" x14ac:dyDescent="0.25">
      <c r="A25" s="11"/>
      <c r="B25" s="13">
        <f t="shared" si="0"/>
        <v>23</v>
      </c>
      <c r="C25" s="19" t="str">
        <v>Oris</v>
      </c>
      <c r="D25" s="11"/>
      <c r="E25" s="11"/>
      <c r="F25" s="11"/>
      <c r="G25" s="11"/>
      <c r="H25" s="11"/>
      <c r="I25" s="11"/>
      <c r="J25" s="11"/>
      <c r="K25" s="11"/>
      <c r="L25" s="11"/>
      <c r="M25" s="11"/>
      <c r="N25" s="11"/>
      <c r="O25" s="11"/>
      <c r="P25" s="11"/>
      <c r="Q25" s="11"/>
      <c r="R25" s="11"/>
      <c r="S25" s="11"/>
      <c r="T25" s="11"/>
      <c r="U25" s="11"/>
      <c r="V25" s="11"/>
      <c r="W25" s="11"/>
    </row>
    <row r="26" spans="1:23" x14ac:dyDescent="0.25">
      <c r="A26" s="11"/>
      <c r="B26" s="13">
        <f t="shared" si="0"/>
        <v>24</v>
      </c>
      <c r="C26" s="19" t="str">
        <v>Panerai</v>
      </c>
      <c r="D26" s="11"/>
      <c r="E26" s="11"/>
      <c r="F26" s="11"/>
      <c r="G26" s="11"/>
      <c r="H26" s="11"/>
      <c r="I26" s="11"/>
      <c r="J26" s="11"/>
      <c r="K26" s="11"/>
      <c r="L26" s="11"/>
      <c r="M26" s="11"/>
      <c r="N26" s="11"/>
      <c r="O26" s="11"/>
      <c r="P26" s="11"/>
      <c r="Q26" s="11"/>
      <c r="R26" s="11"/>
      <c r="S26" s="11"/>
      <c r="T26" s="11"/>
      <c r="U26" s="11"/>
      <c r="V26" s="11"/>
      <c r="W26" s="11"/>
    </row>
    <row r="27" spans="1:23" x14ac:dyDescent="0.25">
      <c r="A27" s="11"/>
      <c r="B27" s="13">
        <f t="shared" si="0"/>
        <v>25</v>
      </c>
      <c r="C27" s="19" t="str">
        <v>Patek Philippe</v>
      </c>
      <c r="D27" s="11"/>
      <c r="E27" s="11"/>
      <c r="F27" s="11"/>
      <c r="G27" s="11"/>
      <c r="H27" s="11"/>
      <c r="I27" s="11"/>
      <c r="J27" s="11"/>
      <c r="K27" s="11"/>
      <c r="L27" s="11"/>
      <c r="M27" s="11"/>
      <c r="N27" s="11"/>
      <c r="O27" s="11"/>
      <c r="P27" s="11"/>
      <c r="Q27" s="11"/>
      <c r="R27" s="11"/>
      <c r="S27" s="11"/>
      <c r="T27" s="11"/>
      <c r="U27" s="11"/>
      <c r="V27" s="11"/>
      <c r="W27" s="11"/>
    </row>
    <row r="28" spans="1:23" x14ac:dyDescent="0.25">
      <c r="A28" s="11"/>
      <c r="B28" s="13">
        <f t="shared" si="0"/>
        <v>26</v>
      </c>
      <c r="C28" s="19" t="str">
        <v>Piaget</v>
      </c>
      <c r="D28" s="11"/>
      <c r="E28" s="11"/>
      <c r="F28" s="11"/>
      <c r="G28" s="11"/>
      <c r="H28" s="11"/>
      <c r="I28" s="11"/>
      <c r="J28" s="11"/>
      <c r="K28" s="11"/>
      <c r="L28" s="11"/>
      <c r="M28" s="11"/>
      <c r="N28" s="11"/>
      <c r="O28" s="11"/>
      <c r="P28" s="11"/>
      <c r="Q28" s="11"/>
      <c r="R28" s="11"/>
      <c r="S28" s="11"/>
      <c r="T28" s="11"/>
      <c r="U28" s="11"/>
      <c r="V28" s="11"/>
      <c r="W28" s="11"/>
    </row>
    <row r="29" spans="1:23" x14ac:dyDescent="0.25">
      <c r="A29" s="11"/>
      <c r="B29" s="13">
        <f t="shared" si="0"/>
        <v>27</v>
      </c>
      <c r="C29" s="19" t="str">
        <v>Rado</v>
      </c>
      <c r="D29" s="11"/>
      <c r="E29" s="11"/>
      <c r="F29" s="11"/>
      <c r="G29" s="11"/>
      <c r="H29" s="11"/>
      <c r="I29" s="11"/>
      <c r="J29" s="11"/>
      <c r="K29" s="11"/>
      <c r="L29" s="11"/>
      <c r="M29" s="11"/>
      <c r="N29" s="11"/>
      <c r="O29" s="11"/>
      <c r="P29" s="11"/>
      <c r="Q29" s="11"/>
      <c r="R29" s="11"/>
      <c r="S29" s="11"/>
      <c r="T29" s="11"/>
      <c r="U29" s="11"/>
      <c r="V29" s="11"/>
      <c r="W29" s="11"/>
    </row>
    <row r="30" spans="1:23" x14ac:dyDescent="0.25">
      <c r="A30" s="11"/>
      <c r="B30" s="13">
        <f t="shared" si="0"/>
        <v>28</v>
      </c>
      <c r="C30" s="19" t="str">
        <v>Rolex</v>
      </c>
      <c r="D30" s="11"/>
      <c r="E30" s="11"/>
      <c r="F30" s="11"/>
      <c r="G30" s="11"/>
      <c r="H30" s="11"/>
      <c r="I30" s="11"/>
      <c r="J30" s="11"/>
      <c r="K30" s="11"/>
      <c r="L30" s="11"/>
      <c r="M30" s="11"/>
      <c r="N30" s="11"/>
      <c r="O30" s="11"/>
      <c r="P30" s="11"/>
      <c r="Q30" s="11"/>
      <c r="R30" s="11"/>
      <c r="S30" s="11"/>
      <c r="T30" s="11"/>
      <c r="U30" s="11"/>
      <c r="V30" s="11"/>
      <c r="W30" s="11"/>
    </row>
    <row r="31" spans="1:23" x14ac:dyDescent="0.25">
      <c r="A31" s="11"/>
      <c r="B31" s="13">
        <f t="shared" si="0"/>
        <v>29</v>
      </c>
      <c r="C31" s="19" t="str">
        <v>Seiko</v>
      </c>
      <c r="D31" s="11"/>
      <c r="E31" s="11"/>
      <c r="F31" s="11"/>
      <c r="G31" s="11"/>
      <c r="H31" s="11"/>
      <c r="I31" s="11"/>
      <c r="J31" s="11"/>
      <c r="K31" s="11"/>
      <c r="L31" s="11"/>
      <c r="M31" s="11"/>
      <c r="N31" s="11"/>
      <c r="O31" s="11"/>
      <c r="P31" s="11"/>
      <c r="Q31" s="11"/>
      <c r="R31" s="11"/>
      <c r="S31" s="11"/>
      <c r="T31" s="11"/>
      <c r="U31" s="11"/>
      <c r="V31" s="11"/>
      <c r="W31" s="11"/>
    </row>
    <row r="32" spans="1:23" x14ac:dyDescent="0.25">
      <c r="A32" s="11"/>
      <c r="B32" s="13">
        <f t="shared" si="0"/>
        <v>30</v>
      </c>
      <c r="C32" s="19" t="str">
        <v>Sinn</v>
      </c>
      <c r="D32" s="11"/>
      <c r="E32" s="11"/>
      <c r="F32" s="11"/>
      <c r="G32" s="11"/>
      <c r="H32" s="11"/>
      <c r="I32" s="11"/>
      <c r="J32" s="11"/>
      <c r="K32" s="11"/>
      <c r="L32" s="11"/>
      <c r="M32" s="11"/>
      <c r="N32" s="11"/>
      <c r="O32" s="11"/>
      <c r="P32" s="11"/>
      <c r="Q32" s="11"/>
      <c r="R32" s="11"/>
      <c r="S32" s="11"/>
      <c r="T32" s="11"/>
      <c r="U32" s="11"/>
      <c r="V32" s="11"/>
      <c r="W32" s="11"/>
    </row>
    <row r="33" spans="1:23" x14ac:dyDescent="0.25">
      <c r="A33" s="11"/>
      <c r="B33" s="13">
        <f t="shared" si="0"/>
        <v>31</v>
      </c>
      <c r="C33" s="19" t="str">
        <v>TAG Heuer</v>
      </c>
      <c r="D33" s="11"/>
      <c r="E33" s="11"/>
      <c r="F33" s="11"/>
      <c r="G33" s="11"/>
      <c r="H33" s="11"/>
      <c r="I33" s="11"/>
      <c r="J33" s="11"/>
      <c r="K33" s="11"/>
      <c r="L33" s="11"/>
      <c r="M33" s="11"/>
      <c r="N33" s="11"/>
      <c r="O33" s="11"/>
      <c r="P33" s="11"/>
      <c r="Q33" s="11"/>
      <c r="R33" s="11"/>
      <c r="S33" s="11"/>
      <c r="T33" s="11"/>
      <c r="U33" s="11"/>
      <c r="V33" s="11"/>
      <c r="W33" s="11"/>
    </row>
    <row r="34" spans="1:23" x14ac:dyDescent="0.25">
      <c r="A34" s="11"/>
      <c r="B34" s="13">
        <f t="shared" si="0"/>
        <v>32</v>
      </c>
      <c r="C34" s="19" t="str">
        <v>Tissot</v>
      </c>
      <c r="D34" s="11"/>
      <c r="E34" s="11"/>
      <c r="F34" s="11"/>
      <c r="G34" s="11"/>
      <c r="H34" s="11"/>
      <c r="I34" s="11"/>
      <c r="J34" s="11"/>
      <c r="K34" s="11"/>
      <c r="L34" s="11"/>
      <c r="M34" s="11"/>
      <c r="N34" s="11"/>
      <c r="O34" s="11"/>
      <c r="P34" s="11"/>
      <c r="Q34" s="11"/>
      <c r="R34" s="11"/>
      <c r="S34" s="11"/>
      <c r="T34" s="11"/>
      <c r="U34" s="11"/>
      <c r="V34" s="11"/>
      <c r="W34" s="11"/>
    </row>
    <row r="35" spans="1:23" x14ac:dyDescent="0.25">
      <c r="A35" s="11"/>
      <c r="B35" s="13">
        <f t="shared" si="0"/>
        <v>33</v>
      </c>
      <c r="C35" s="19" t="str">
        <v>Tudor</v>
      </c>
      <c r="D35" s="11"/>
      <c r="E35" s="11"/>
      <c r="F35" s="11"/>
      <c r="G35" s="11"/>
      <c r="H35" s="11"/>
      <c r="I35" s="11"/>
      <c r="J35" s="11"/>
      <c r="K35" s="11"/>
      <c r="L35" s="11"/>
      <c r="M35" s="11"/>
      <c r="N35" s="11"/>
      <c r="O35" s="11"/>
      <c r="P35" s="11"/>
      <c r="Q35" s="11"/>
      <c r="R35" s="11"/>
      <c r="S35" s="11"/>
      <c r="T35" s="11"/>
      <c r="U35" s="11"/>
      <c r="V35" s="11"/>
      <c r="W35" s="11"/>
    </row>
    <row r="36" spans="1:23" x14ac:dyDescent="0.25">
      <c r="A36" s="11"/>
      <c r="B36" s="13">
        <f t="shared" si="0"/>
        <v>34</v>
      </c>
      <c r="C36" s="19" t="str">
        <v>Ulysse Nardin</v>
      </c>
      <c r="D36" s="11"/>
      <c r="E36" s="11"/>
      <c r="F36" s="11"/>
      <c r="G36" s="11"/>
      <c r="H36" s="11"/>
      <c r="I36" s="11"/>
      <c r="J36" s="11"/>
      <c r="K36" s="11"/>
      <c r="L36" s="11"/>
      <c r="M36" s="11"/>
      <c r="N36" s="11"/>
      <c r="O36" s="11"/>
      <c r="P36" s="11"/>
      <c r="Q36" s="11"/>
      <c r="R36" s="11"/>
      <c r="S36" s="11"/>
      <c r="T36" s="11"/>
      <c r="U36" s="11"/>
      <c r="V36" s="11"/>
      <c r="W36" s="11"/>
    </row>
    <row r="37" spans="1:23" x14ac:dyDescent="0.25">
      <c r="A37" s="11"/>
      <c r="B37" s="13">
        <f t="shared" si="0"/>
        <v>35</v>
      </c>
      <c r="C37" s="19" t="str">
        <v>Vacheron Constantin</v>
      </c>
      <c r="D37" s="11"/>
      <c r="E37" s="11"/>
      <c r="F37" s="11"/>
      <c r="G37" s="11"/>
      <c r="H37" s="11"/>
      <c r="I37" s="11"/>
      <c r="J37" s="11"/>
      <c r="K37" s="11"/>
      <c r="L37" s="11"/>
      <c r="M37" s="11"/>
      <c r="N37" s="11"/>
      <c r="O37" s="11"/>
      <c r="P37" s="11"/>
      <c r="Q37" s="11"/>
      <c r="R37" s="11"/>
      <c r="S37" s="11"/>
      <c r="T37" s="11"/>
      <c r="U37" s="11"/>
      <c r="V37" s="11"/>
      <c r="W37" s="11"/>
    </row>
    <row r="38" spans="1:23" ht="15.75" thickBot="1" x14ac:dyDescent="0.3">
      <c r="A38" s="11"/>
      <c r="B38" s="15">
        <f t="shared" si="0"/>
        <v>36</v>
      </c>
      <c r="C38" s="20" t="str">
        <v>Zenith</v>
      </c>
      <c r="D38" s="11"/>
      <c r="E38" s="11"/>
      <c r="F38" s="11"/>
      <c r="G38" s="11"/>
      <c r="H38" s="11"/>
      <c r="I38" s="11"/>
      <c r="J38" s="11"/>
      <c r="K38" s="11"/>
      <c r="L38" s="11"/>
      <c r="M38" s="11"/>
      <c r="N38" s="11"/>
      <c r="O38" s="11"/>
      <c r="P38" s="11"/>
      <c r="Q38" s="11"/>
      <c r="R38" s="11"/>
      <c r="S38" s="11"/>
      <c r="T38" s="11"/>
      <c r="U38" s="11"/>
      <c r="V38" s="11"/>
      <c r="W38" s="11"/>
    </row>
    <row r="39" spans="1:23" x14ac:dyDescent="0.25">
      <c r="A39" s="11"/>
      <c r="B39" s="11"/>
      <c r="C39" s="11" t="str">
        <v/>
      </c>
      <c r="D39" s="11"/>
      <c r="E39" s="11"/>
      <c r="F39" s="11"/>
      <c r="G39" s="11"/>
      <c r="H39" s="11"/>
      <c r="I39" s="11"/>
      <c r="J39" s="11"/>
      <c r="K39" s="11"/>
      <c r="L39" s="11"/>
      <c r="M39" s="11"/>
      <c r="N39" s="11"/>
      <c r="O39" s="11"/>
      <c r="P39" s="11"/>
      <c r="Q39" s="11"/>
      <c r="R39" s="11"/>
      <c r="S39" s="11"/>
      <c r="T39" s="11"/>
      <c r="U39" s="11"/>
      <c r="V39" s="11"/>
      <c r="W39" s="11"/>
    </row>
    <row r="40" spans="1:23" x14ac:dyDescent="0.25">
      <c r="A40" s="11"/>
      <c r="B40" s="11"/>
      <c r="C40" s="11"/>
      <c r="D40" s="11"/>
      <c r="E40" s="11"/>
      <c r="F40" s="11"/>
      <c r="G40" s="11"/>
      <c r="H40" s="11"/>
      <c r="I40" s="11"/>
      <c r="J40" s="11"/>
      <c r="K40" s="11"/>
      <c r="L40" s="11"/>
      <c r="M40" s="11"/>
      <c r="N40" s="11"/>
      <c r="O40" s="11"/>
      <c r="P40" s="11"/>
      <c r="Q40" s="11"/>
      <c r="R40" s="11"/>
      <c r="S40" s="11"/>
      <c r="T40" s="11"/>
      <c r="U40" s="11"/>
      <c r="V40" s="11"/>
      <c r="W40" s="11"/>
    </row>
    <row r="68" spans="1:13" x14ac:dyDescent="0.25">
      <c r="D68" s="3"/>
      <c r="K68" s="3"/>
      <c r="L68" s="2"/>
    </row>
    <row r="69" spans="1:13" x14ac:dyDescent="0.25">
      <c r="A69">
        <v>391</v>
      </c>
      <c r="B69" t="s">
        <v>398</v>
      </c>
      <c r="C69" t="s">
        <v>104</v>
      </c>
      <c r="D69" t="s">
        <v>17</v>
      </c>
      <c r="E69" s="3">
        <v>100</v>
      </c>
      <c r="F69">
        <v>36</v>
      </c>
      <c r="G69">
        <v>12</v>
      </c>
      <c r="H69">
        <v>20</v>
      </c>
      <c r="I69" t="s">
        <v>44</v>
      </c>
      <c r="J69" t="s">
        <v>20</v>
      </c>
      <c r="K69" t="s">
        <v>21</v>
      </c>
      <c r="L69" s="3">
        <v>70</v>
      </c>
      <c r="M69" s="2">
        <v>9000</v>
      </c>
    </row>
    <row r="70" spans="1:13" x14ac:dyDescent="0.25">
      <c r="A70">
        <v>392</v>
      </c>
      <c r="B70" t="s">
        <v>397</v>
      </c>
      <c r="C70" t="s">
        <v>16</v>
      </c>
      <c r="D70" t="s">
        <v>17</v>
      </c>
      <c r="E70" s="3">
        <v>100</v>
      </c>
      <c r="F70">
        <v>41</v>
      </c>
      <c r="G70">
        <v>11.2</v>
      </c>
      <c r="H70">
        <v>20</v>
      </c>
      <c r="I70" t="s">
        <v>44</v>
      </c>
      <c r="J70" t="s">
        <v>20</v>
      </c>
      <c r="K70" t="s">
        <v>21</v>
      </c>
      <c r="L70" s="3">
        <v>70</v>
      </c>
      <c r="M70" s="2">
        <v>8900</v>
      </c>
    </row>
    <row r="71" spans="1:13" x14ac:dyDescent="0.25">
      <c r="A71">
        <v>393</v>
      </c>
      <c r="B71" t="s">
        <v>398</v>
      </c>
      <c r="C71" t="s">
        <v>209</v>
      </c>
      <c r="D71" t="s">
        <v>17</v>
      </c>
      <c r="E71" s="3">
        <v>100</v>
      </c>
      <c r="F71">
        <v>36</v>
      </c>
      <c r="G71">
        <v>12.5</v>
      </c>
      <c r="H71">
        <v>20</v>
      </c>
      <c r="I71" t="s">
        <v>44</v>
      </c>
      <c r="J71" t="s">
        <v>20</v>
      </c>
      <c r="K71" t="s">
        <v>21</v>
      </c>
      <c r="L71" s="3">
        <v>70</v>
      </c>
      <c r="M71" s="2">
        <v>8900</v>
      </c>
    </row>
    <row r="72" spans="1:13" x14ac:dyDescent="0.25">
      <c r="A72">
        <v>401</v>
      </c>
      <c r="B72" t="s">
        <v>398</v>
      </c>
      <c r="C72" t="s">
        <v>16</v>
      </c>
      <c r="D72" t="s">
        <v>17</v>
      </c>
      <c r="E72" s="3">
        <v>100</v>
      </c>
      <c r="F72">
        <v>36</v>
      </c>
      <c r="G72">
        <v>12</v>
      </c>
      <c r="H72">
        <v>20</v>
      </c>
      <c r="I72" t="s">
        <v>44</v>
      </c>
      <c r="J72" t="s">
        <v>20</v>
      </c>
      <c r="K72" t="s">
        <v>21</v>
      </c>
      <c r="L72" s="3">
        <v>70</v>
      </c>
      <c r="M72" s="2">
        <v>7500</v>
      </c>
    </row>
    <row r="73" spans="1:13" x14ac:dyDescent="0.25">
      <c r="E73" s="3"/>
      <c r="L73" s="3"/>
      <c r="M73" s="2"/>
    </row>
    <row r="74" spans="1:13" x14ac:dyDescent="0.25">
      <c r="E74" s="3"/>
      <c r="L74" s="3"/>
      <c r="M74" s="2"/>
    </row>
    <row r="75" spans="1:13" x14ac:dyDescent="0.25">
      <c r="E75" s="3"/>
      <c r="L75" s="3"/>
      <c r="M75" s="2"/>
    </row>
    <row r="76" spans="1:13" x14ac:dyDescent="0.25">
      <c r="E76" s="3"/>
      <c r="L76" s="3"/>
      <c r="M76" s="2"/>
    </row>
    <row r="77" spans="1:13" x14ac:dyDescent="0.25">
      <c r="E77" s="3"/>
      <c r="L77" s="3"/>
      <c r="M77" s="2"/>
    </row>
    <row r="78" spans="1:13" x14ac:dyDescent="0.25">
      <c r="E78" s="3"/>
      <c r="L78" s="3"/>
      <c r="M78" s="2"/>
    </row>
    <row r="79" spans="1:13" x14ac:dyDescent="0.25">
      <c r="E79" s="3"/>
      <c r="L79" s="3"/>
      <c r="M79" s="2"/>
    </row>
    <row r="80" spans="1:13" x14ac:dyDescent="0.25">
      <c r="E80" s="3"/>
      <c r="L80" s="3"/>
      <c r="M80" s="2"/>
    </row>
    <row r="81" spans="5:13" x14ac:dyDescent="0.25">
      <c r="E81" s="3"/>
      <c r="L81" s="3"/>
      <c r="M81" s="2"/>
    </row>
    <row r="82" spans="5:13" x14ac:dyDescent="0.25">
      <c r="E82" s="3"/>
      <c r="L82" s="3"/>
      <c r="M82" s="2"/>
    </row>
  </sheetData>
  <mergeCells count="1">
    <mergeCell ref="F19:G19"/>
  </mergeCells>
  <conditionalFormatting sqref="B81">
    <cfRule type="expression" dxfId="53" priority="85">
      <formula>$M81="N/A"</formula>
    </cfRule>
  </conditionalFormatting>
  <conditionalFormatting sqref="M81">
    <cfRule type="dataBar" priority="84">
      <dataBar>
        <cfvo type="min"/>
        <cfvo type="max"/>
        <color rgb="FF63C384"/>
      </dataBar>
      <extLst>
        <ext xmlns:x14="http://schemas.microsoft.com/office/spreadsheetml/2009/9/main" uri="{B025F937-C7B1-47D3-B67F-A62EFF666E3E}">
          <x14:id>{6FB69CBD-194A-428E-AED5-2F0D598787D1}</x14:id>
        </ext>
      </extLst>
    </cfRule>
  </conditionalFormatting>
  <conditionalFormatting sqref="B82">
    <cfRule type="expression" dxfId="52" priority="83">
      <formula>$M82="N/A"</formula>
    </cfRule>
  </conditionalFormatting>
  <conditionalFormatting sqref="M82">
    <cfRule type="dataBar" priority="82">
      <dataBar>
        <cfvo type="min"/>
        <cfvo type="max"/>
        <color rgb="FF63C384"/>
      </dataBar>
      <extLst>
        <ext xmlns:x14="http://schemas.microsoft.com/office/spreadsheetml/2009/9/main" uri="{B025F937-C7B1-47D3-B67F-A62EFF666E3E}">
          <x14:id>{4E1CB2F9-3926-468C-AD4E-1B8243B2108F}</x14:id>
        </ext>
      </extLst>
    </cfRule>
  </conditionalFormatting>
  <conditionalFormatting sqref="B74">
    <cfRule type="expression" dxfId="51" priority="52">
      <formula>$M74="N/A"</formula>
    </cfRule>
  </conditionalFormatting>
  <conditionalFormatting sqref="B75">
    <cfRule type="expression" dxfId="50" priority="51">
      <formula>$M75="N/A"</formula>
    </cfRule>
  </conditionalFormatting>
  <conditionalFormatting sqref="B76">
    <cfRule type="expression" dxfId="49" priority="50">
      <formula>$M76="N/A"</formula>
    </cfRule>
  </conditionalFormatting>
  <conditionalFormatting sqref="B77">
    <cfRule type="expression" dxfId="48" priority="49">
      <formula>$M77="N/A"</formula>
    </cfRule>
  </conditionalFormatting>
  <conditionalFormatting sqref="B78">
    <cfRule type="expression" dxfId="47" priority="48">
      <formula>$M78="N/A"</formula>
    </cfRule>
  </conditionalFormatting>
  <conditionalFormatting sqref="B79">
    <cfRule type="expression" dxfId="46" priority="47">
      <formula>$M79="N/A"</formula>
    </cfRule>
  </conditionalFormatting>
  <conditionalFormatting sqref="B80">
    <cfRule type="expression" dxfId="45" priority="46">
      <formula>$M80="N/A"</formula>
    </cfRule>
  </conditionalFormatting>
  <conditionalFormatting sqref="E73">
    <cfRule type="cellIs" dxfId="44" priority="25" operator="greaterThan">
      <formula>299</formula>
    </cfRule>
  </conditionalFormatting>
  <conditionalFormatting sqref="E73">
    <cfRule type="cellIs" dxfId="43" priority="24" operator="greaterThan">
      <formula>999</formula>
    </cfRule>
  </conditionalFormatting>
  <conditionalFormatting sqref="M73">
    <cfRule type="dataBar" priority="23">
      <dataBar>
        <cfvo type="min"/>
        <cfvo type="max"/>
        <color rgb="FFFF555A"/>
      </dataBar>
      <extLst>
        <ext xmlns:x14="http://schemas.microsoft.com/office/spreadsheetml/2009/9/main" uri="{B025F937-C7B1-47D3-B67F-A62EFF666E3E}">
          <x14:id>{5ACB0927-A9FA-4BD8-9953-97935ADB9C44}</x14:id>
        </ext>
      </extLst>
    </cfRule>
  </conditionalFormatting>
  <conditionalFormatting sqref="L73">
    <cfRule type="dataBar" priority="22">
      <dataBar>
        <cfvo type="min"/>
        <cfvo type="max"/>
        <color rgb="FF638EC6"/>
      </dataBar>
      <extLst>
        <ext xmlns:x14="http://schemas.microsoft.com/office/spreadsheetml/2009/9/main" uri="{B025F937-C7B1-47D3-B67F-A62EFF666E3E}">
          <x14:id>{C997FDB9-19F8-43AB-BBB9-62746583B3C0}</x14:id>
        </ext>
      </extLst>
    </cfRule>
  </conditionalFormatting>
  <conditionalFormatting sqref="B73">
    <cfRule type="expression" dxfId="42" priority="21">
      <formula>$E73="Quartz"</formula>
    </cfRule>
  </conditionalFormatting>
  <conditionalFormatting sqref="E69">
    <cfRule type="cellIs" dxfId="41" priority="20" operator="greaterThan">
      <formula>299</formula>
    </cfRule>
  </conditionalFormatting>
  <conditionalFormatting sqref="E69">
    <cfRule type="cellIs" dxfId="40" priority="19" operator="greaterThan">
      <formula>999</formula>
    </cfRule>
  </conditionalFormatting>
  <conditionalFormatting sqref="M69">
    <cfRule type="dataBar" priority="18">
      <dataBar>
        <cfvo type="min"/>
        <cfvo type="max"/>
        <color rgb="FFFF555A"/>
      </dataBar>
      <extLst>
        <ext xmlns:x14="http://schemas.microsoft.com/office/spreadsheetml/2009/9/main" uri="{B025F937-C7B1-47D3-B67F-A62EFF666E3E}">
          <x14:id>{25CA2486-8497-437D-AFCF-8B15F1499B83}</x14:id>
        </ext>
      </extLst>
    </cfRule>
  </conditionalFormatting>
  <conditionalFormatting sqref="L69">
    <cfRule type="dataBar" priority="17">
      <dataBar>
        <cfvo type="min"/>
        <cfvo type="max"/>
        <color rgb="FF638EC6"/>
      </dataBar>
      <extLst>
        <ext xmlns:x14="http://schemas.microsoft.com/office/spreadsheetml/2009/9/main" uri="{B025F937-C7B1-47D3-B67F-A62EFF666E3E}">
          <x14:id>{D815C365-1C28-4933-B69A-23D3E3CCA6D2}</x14:id>
        </ext>
      </extLst>
    </cfRule>
  </conditionalFormatting>
  <conditionalFormatting sqref="B69">
    <cfRule type="expression" dxfId="39" priority="16">
      <formula>$E69="Quartz"</formula>
    </cfRule>
  </conditionalFormatting>
  <conditionalFormatting sqref="E70">
    <cfRule type="cellIs" dxfId="38" priority="15" operator="greaterThan">
      <formula>299</formula>
    </cfRule>
  </conditionalFormatting>
  <conditionalFormatting sqref="E70">
    <cfRule type="cellIs" dxfId="37" priority="14" operator="greaterThan">
      <formula>999</formula>
    </cfRule>
  </conditionalFormatting>
  <conditionalFormatting sqref="M70">
    <cfRule type="dataBar" priority="13">
      <dataBar>
        <cfvo type="min"/>
        <cfvo type="max"/>
        <color rgb="FFFF555A"/>
      </dataBar>
      <extLst>
        <ext xmlns:x14="http://schemas.microsoft.com/office/spreadsheetml/2009/9/main" uri="{B025F937-C7B1-47D3-B67F-A62EFF666E3E}">
          <x14:id>{89CFE829-3110-4A15-A5E3-05C0296EE744}</x14:id>
        </ext>
      </extLst>
    </cfRule>
  </conditionalFormatting>
  <conditionalFormatting sqref="L70">
    <cfRule type="dataBar" priority="12">
      <dataBar>
        <cfvo type="min"/>
        <cfvo type="max"/>
        <color rgb="FF638EC6"/>
      </dataBar>
      <extLst>
        <ext xmlns:x14="http://schemas.microsoft.com/office/spreadsheetml/2009/9/main" uri="{B025F937-C7B1-47D3-B67F-A62EFF666E3E}">
          <x14:id>{71CE8C0E-2677-4D06-9D76-5EA8E0C2E162}</x14:id>
        </ext>
      </extLst>
    </cfRule>
  </conditionalFormatting>
  <conditionalFormatting sqref="B70">
    <cfRule type="expression" dxfId="36" priority="11">
      <formula>$E70="Quartz"</formula>
    </cfRule>
  </conditionalFormatting>
  <conditionalFormatting sqref="E71">
    <cfRule type="cellIs" dxfId="35" priority="10" operator="greaterThan">
      <formula>299</formula>
    </cfRule>
  </conditionalFormatting>
  <conditionalFormatting sqref="E71">
    <cfRule type="cellIs" dxfId="34" priority="9" operator="greaterThan">
      <formula>999</formula>
    </cfRule>
  </conditionalFormatting>
  <conditionalFormatting sqref="M71">
    <cfRule type="dataBar" priority="8">
      <dataBar>
        <cfvo type="min"/>
        <cfvo type="max"/>
        <color rgb="FFFF555A"/>
      </dataBar>
      <extLst>
        <ext xmlns:x14="http://schemas.microsoft.com/office/spreadsheetml/2009/9/main" uri="{B025F937-C7B1-47D3-B67F-A62EFF666E3E}">
          <x14:id>{C80904CF-6648-427F-99A4-526BA23CE2E1}</x14:id>
        </ext>
      </extLst>
    </cfRule>
  </conditionalFormatting>
  <conditionalFormatting sqref="L71">
    <cfRule type="dataBar" priority="7">
      <dataBar>
        <cfvo type="min"/>
        <cfvo type="max"/>
        <color rgb="FF638EC6"/>
      </dataBar>
      <extLst>
        <ext xmlns:x14="http://schemas.microsoft.com/office/spreadsheetml/2009/9/main" uri="{B025F937-C7B1-47D3-B67F-A62EFF666E3E}">
          <x14:id>{7315910D-3C7C-4ECB-857F-EF9A9CEFF517}</x14:id>
        </ext>
      </extLst>
    </cfRule>
  </conditionalFormatting>
  <conditionalFormatting sqref="B71">
    <cfRule type="expression" dxfId="33" priority="6">
      <formula>$E71="Quartz"</formula>
    </cfRule>
  </conditionalFormatting>
  <conditionalFormatting sqref="E72">
    <cfRule type="cellIs" dxfId="32" priority="5" operator="greaterThan">
      <formula>299</formula>
    </cfRule>
  </conditionalFormatting>
  <conditionalFormatting sqref="E72">
    <cfRule type="cellIs" dxfId="31" priority="4" operator="greaterThan">
      <formula>999</formula>
    </cfRule>
  </conditionalFormatting>
  <conditionalFormatting sqref="M72">
    <cfRule type="dataBar" priority="3">
      <dataBar>
        <cfvo type="min"/>
        <cfvo type="max"/>
        <color rgb="FFFF555A"/>
      </dataBar>
      <extLst>
        <ext xmlns:x14="http://schemas.microsoft.com/office/spreadsheetml/2009/9/main" uri="{B025F937-C7B1-47D3-B67F-A62EFF666E3E}">
          <x14:id>{8C0A428C-48EC-40D5-9A76-60E7FBA625FC}</x14:id>
        </ext>
      </extLst>
    </cfRule>
  </conditionalFormatting>
  <conditionalFormatting sqref="L72">
    <cfRule type="dataBar" priority="2">
      <dataBar>
        <cfvo type="min"/>
        <cfvo type="max"/>
        <color rgb="FF638EC6"/>
      </dataBar>
      <extLst>
        <ext xmlns:x14="http://schemas.microsoft.com/office/spreadsheetml/2009/9/main" uri="{B025F937-C7B1-47D3-B67F-A62EFF666E3E}">
          <x14:id>{6C2DBA63-D737-4FE6-9E85-5DA7D6A4053A}</x14:id>
        </ext>
      </extLst>
    </cfRule>
  </conditionalFormatting>
  <conditionalFormatting sqref="B72">
    <cfRule type="expression" dxfId="30" priority="1">
      <formula>$E72="Quartz"</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6FB69CBD-194A-428E-AED5-2F0D598787D1}">
            <x14:dataBar minLength="0" maxLength="100" border="1" negativeBarBorderColorSameAsPositive="0">
              <x14:cfvo type="autoMin"/>
              <x14:cfvo type="autoMax"/>
              <x14:borderColor rgb="FF63C384"/>
              <x14:negativeFillColor rgb="FFFF0000"/>
              <x14:negativeBorderColor rgb="FFFF0000"/>
              <x14:axisColor rgb="FF000000"/>
            </x14:dataBar>
          </x14:cfRule>
          <xm:sqref>M81</xm:sqref>
        </x14:conditionalFormatting>
        <x14:conditionalFormatting xmlns:xm="http://schemas.microsoft.com/office/excel/2006/main">
          <x14:cfRule type="dataBar" id="{4E1CB2F9-3926-468C-AD4E-1B8243B2108F}">
            <x14:dataBar minLength="0" maxLength="100" border="1" negativeBarBorderColorSameAsPositive="0">
              <x14:cfvo type="autoMin"/>
              <x14:cfvo type="autoMax"/>
              <x14:borderColor rgb="FF63C384"/>
              <x14:negativeFillColor rgb="FFFF0000"/>
              <x14:negativeBorderColor rgb="FFFF0000"/>
              <x14:axisColor rgb="FF000000"/>
            </x14:dataBar>
          </x14:cfRule>
          <xm:sqref>M82</xm:sqref>
        </x14:conditionalFormatting>
        <x14:conditionalFormatting xmlns:xm="http://schemas.microsoft.com/office/excel/2006/main">
          <x14:cfRule type="dataBar" id="{5ACB0927-A9FA-4BD8-9953-97935ADB9C44}">
            <x14:dataBar minLength="0" maxLength="100" border="1" negativeBarBorderColorSameAsPositive="0">
              <x14:cfvo type="autoMin"/>
              <x14:cfvo type="autoMax"/>
              <x14:borderColor rgb="FFFF555A"/>
              <x14:negativeFillColor rgb="FFFF0000"/>
              <x14:negativeBorderColor rgb="FFFF0000"/>
              <x14:axisColor rgb="FF000000"/>
            </x14:dataBar>
          </x14:cfRule>
          <xm:sqref>M73</xm:sqref>
        </x14:conditionalFormatting>
        <x14:conditionalFormatting xmlns:xm="http://schemas.microsoft.com/office/excel/2006/main">
          <x14:cfRule type="dataBar" id="{C997FDB9-19F8-43AB-BBB9-62746583B3C0}">
            <x14:dataBar minLength="0" maxLength="100" border="1" negativeBarBorderColorSameAsPositive="0">
              <x14:cfvo type="autoMin"/>
              <x14:cfvo type="autoMax"/>
              <x14:borderColor rgb="FF638EC6"/>
              <x14:negativeFillColor rgb="FFFF0000"/>
              <x14:negativeBorderColor rgb="FFFF0000"/>
              <x14:axisColor rgb="FF000000"/>
            </x14:dataBar>
          </x14:cfRule>
          <xm:sqref>L73</xm:sqref>
        </x14:conditionalFormatting>
        <x14:conditionalFormatting xmlns:xm="http://schemas.microsoft.com/office/excel/2006/main">
          <x14:cfRule type="dataBar" id="{25CA2486-8497-437D-AFCF-8B15F1499B83}">
            <x14:dataBar minLength="0" maxLength="100" border="1" negativeBarBorderColorSameAsPositive="0">
              <x14:cfvo type="autoMin"/>
              <x14:cfvo type="autoMax"/>
              <x14:borderColor rgb="FFFF555A"/>
              <x14:negativeFillColor rgb="FFFF0000"/>
              <x14:negativeBorderColor rgb="FFFF0000"/>
              <x14:axisColor rgb="FF000000"/>
            </x14:dataBar>
          </x14:cfRule>
          <xm:sqref>M69</xm:sqref>
        </x14:conditionalFormatting>
        <x14:conditionalFormatting xmlns:xm="http://schemas.microsoft.com/office/excel/2006/main">
          <x14:cfRule type="dataBar" id="{D815C365-1C28-4933-B69A-23D3E3CCA6D2}">
            <x14:dataBar minLength="0" maxLength="100" border="1" negativeBarBorderColorSameAsPositive="0">
              <x14:cfvo type="autoMin"/>
              <x14:cfvo type="autoMax"/>
              <x14:borderColor rgb="FF638EC6"/>
              <x14:negativeFillColor rgb="FFFF0000"/>
              <x14:negativeBorderColor rgb="FFFF0000"/>
              <x14:axisColor rgb="FF000000"/>
            </x14:dataBar>
          </x14:cfRule>
          <xm:sqref>L69</xm:sqref>
        </x14:conditionalFormatting>
        <x14:conditionalFormatting xmlns:xm="http://schemas.microsoft.com/office/excel/2006/main">
          <x14:cfRule type="dataBar" id="{89CFE829-3110-4A15-A5E3-05C0296EE744}">
            <x14:dataBar minLength="0" maxLength="100" border="1" negativeBarBorderColorSameAsPositive="0">
              <x14:cfvo type="autoMin"/>
              <x14:cfvo type="autoMax"/>
              <x14:borderColor rgb="FFFF555A"/>
              <x14:negativeFillColor rgb="FFFF0000"/>
              <x14:negativeBorderColor rgb="FFFF0000"/>
              <x14:axisColor rgb="FF000000"/>
            </x14:dataBar>
          </x14:cfRule>
          <xm:sqref>M70</xm:sqref>
        </x14:conditionalFormatting>
        <x14:conditionalFormatting xmlns:xm="http://schemas.microsoft.com/office/excel/2006/main">
          <x14:cfRule type="dataBar" id="{71CE8C0E-2677-4D06-9D76-5EA8E0C2E162}">
            <x14:dataBar minLength="0" maxLength="100" border="1" negativeBarBorderColorSameAsPositive="0">
              <x14:cfvo type="autoMin"/>
              <x14:cfvo type="autoMax"/>
              <x14:borderColor rgb="FF638EC6"/>
              <x14:negativeFillColor rgb="FFFF0000"/>
              <x14:negativeBorderColor rgb="FFFF0000"/>
              <x14:axisColor rgb="FF000000"/>
            </x14:dataBar>
          </x14:cfRule>
          <xm:sqref>L70</xm:sqref>
        </x14:conditionalFormatting>
        <x14:conditionalFormatting xmlns:xm="http://schemas.microsoft.com/office/excel/2006/main">
          <x14:cfRule type="dataBar" id="{C80904CF-6648-427F-99A4-526BA23CE2E1}">
            <x14:dataBar minLength="0" maxLength="100" border="1" negativeBarBorderColorSameAsPositive="0">
              <x14:cfvo type="autoMin"/>
              <x14:cfvo type="autoMax"/>
              <x14:borderColor rgb="FFFF555A"/>
              <x14:negativeFillColor rgb="FFFF0000"/>
              <x14:negativeBorderColor rgb="FFFF0000"/>
              <x14:axisColor rgb="FF000000"/>
            </x14:dataBar>
          </x14:cfRule>
          <xm:sqref>M71</xm:sqref>
        </x14:conditionalFormatting>
        <x14:conditionalFormatting xmlns:xm="http://schemas.microsoft.com/office/excel/2006/main">
          <x14:cfRule type="dataBar" id="{7315910D-3C7C-4ECB-857F-EF9A9CEFF517}">
            <x14:dataBar minLength="0" maxLength="100" border="1" negativeBarBorderColorSameAsPositive="0">
              <x14:cfvo type="autoMin"/>
              <x14:cfvo type="autoMax"/>
              <x14:borderColor rgb="FF638EC6"/>
              <x14:negativeFillColor rgb="FFFF0000"/>
              <x14:negativeBorderColor rgb="FFFF0000"/>
              <x14:axisColor rgb="FF000000"/>
            </x14:dataBar>
          </x14:cfRule>
          <xm:sqref>L71</xm:sqref>
        </x14:conditionalFormatting>
        <x14:conditionalFormatting xmlns:xm="http://schemas.microsoft.com/office/excel/2006/main">
          <x14:cfRule type="dataBar" id="{8C0A428C-48EC-40D5-9A76-60E7FBA625FC}">
            <x14:dataBar minLength="0" maxLength="100" border="1" negativeBarBorderColorSameAsPositive="0">
              <x14:cfvo type="autoMin"/>
              <x14:cfvo type="autoMax"/>
              <x14:borderColor rgb="FFFF555A"/>
              <x14:negativeFillColor rgb="FFFF0000"/>
              <x14:negativeBorderColor rgb="FFFF0000"/>
              <x14:axisColor rgb="FF000000"/>
            </x14:dataBar>
          </x14:cfRule>
          <xm:sqref>M72</xm:sqref>
        </x14:conditionalFormatting>
        <x14:conditionalFormatting xmlns:xm="http://schemas.microsoft.com/office/excel/2006/main">
          <x14:cfRule type="dataBar" id="{6C2DBA63-D737-4FE6-9E85-5DA7D6A4053A}">
            <x14:dataBar minLength="0" maxLength="100" border="1" negativeBarBorderColorSameAsPositive="0">
              <x14:cfvo type="autoMin"/>
              <x14:cfvo type="autoMax"/>
              <x14:borderColor rgb="FF638EC6"/>
              <x14:negativeFillColor rgb="FFFF0000"/>
              <x14:negativeBorderColor rgb="FFFF0000"/>
              <x14:axisColor rgb="FF000000"/>
            </x14:dataBar>
          </x14:cfRule>
          <xm:sqref>L72</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2AA65-7BDD-4AF6-9A32-988782A44DA2}">
  <sheetPr codeName="Sheet3">
    <tabColor rgb="FFFFFF00"/>
  </sheetPr>
  <dimension ref="B3:T77"/>
  <sheetViews>
    <sheetView workbookViewId="0">
      <selection activeCell="G9" sqref="G9"/>
    </sheetView>
  </sheetViews>
  <sheetFormatPr defaultRowHeight="15" x14ac:dyDescent="0.25"/>
  <cols>
    <col min="1" max="1" width="4.5703125" customWidth="1"/>
    <col min="2" max="2" width="1.85546875" customWidth="1"/>
    <col min="3" max="3" width="17" bestFit="1" customWidth="1"/>
    <col min="4" max="4" width="58.7109375" customWidth="1"/>
    <col min="5" max="5" width="3.42578125" customWidth="1"/>
    <col min="6" max="6" width="7.140625" bestFit="1" customWidth="1"/>
    <col min="7" max="7" width="8.85546875" bestFit="1" customWidth="1"/>
    <col min="8" max="8" width="24.5703125" bestFit="1" customWidth="1"/>
    <col min="9" max="9" width="15.28515625" bestFit="1" customWidth="1"/>
    <col min="10" max="10" width="15.5703125" bestFit="1" customWidth="1"/>
    <col min="11" max="11" width="16.42578125" bestFit="1" customWidth="1"/>
    <col min="12" max="12" width="19.42578125" bestFit="1" customWidth="1"/>
    <col min="13" max="13" width="19.7109375" bestFit="1" customWidth="1"/>
    <col min="14" max="14" width="16.7109375" bestFit="1" customWidth="1"/>
    <col min="15" max="15" width="9.5703125" bestFit="1" customWidth="1"/>
    <col min="16" max="16" width="15" bestFit="1" customWidth="1"/>
    <col min="17" max="17" width="13.7109375" bestFit="1" customWidth="1"/>
    <col min="18" max="18" width="14.42578125" bestFit="1" customWidth="1"/>
    <col min="19" max="19" width="10.85546875" bestFit="1" customWidth="1"/>
  </cols>
  <sheetData>
    <row r="3" spans="2:19" ht="12" customHeight="1" thickBot="1" x14ac:dyDescent="0.3"/>
    <row r="4" spans="2:19" ht="15.75" hidden="1" thickBot="1" x14ac:dyDescent="0.3"/>
    <row r="5" spans="2:19" ht="15" customHeight="1" x14ac:dyDescent="0.25">
      <c r="B5" s="81" t="s">
        <v>435</v>
      </c>
      <c r="C5" s="82"/>
      <c r="D5" s="82"/>
      <c r="E5" s="82"/>
      <c r="F5" s="82"/>
      <c r="G5" s="82"/>
      <c r="H5" s="82"/>
      <c r="I5" s="82"/>
      <c r="J5" s="82"/>
      <c r="K5" s="82"/>
      <c r="L5" s="82"/>
      <c r="M5" s="82"/>
      <c r="N5" s="82"/>
      <c r="O5" s="82"/>
      <c r="P5" s="82"/>
      <c r="Q5" s="82"/>
      <c r="R5" s="82"/>
      <c r="S5" s="83"/>
    </row>
    <row r="6" spans="2:19" ht="8.25" customHeight="1" x14ac:dyDescent="0.25">
      <c r="B6" s="84"/>
      <c r="C6" s="85"/>
      <c r="D6" s="85"/>
      <c r="E6" s="85"/>
      <c r="F6" s="85"/>
      <c r="G6" s="85"/>
      <c r="H6" s="85"/>
      <c r="I6" s="85"/>
      <c r="J6" s="85"/>
      <c r="K6" s="85"/>
      <c r="L6" s="85"/>
      <c r="M6" s="85"/>
      <c r="N6" s="85"/>
      <c r="O6" s="85"/>
      <c r="P6" s="85"/>
      <c r="Q6" s="85"/>
      <c r="R6" s="85"/>
      <c r="S6" s="86"/>
    </row>
    <row r="7" spans="2:19" ht="27.75" customHeight="1" thickBot="1" x14ac:dyDescent="0.3">
      <c r="B7" s="87">
        <f ca="1">NOW()</f>
        <v>45242.734067708334</v>
      </c>
      <c r="C7" s="88"/>
      <c r="D7" s="88"/>
      <c r="E7" s="88"/>
      <c r="F7" s="88"/>
      <c r="G7" s="88"/>
      <c r="H7" s="88"/>
      <c r="I7" s="88"/>
      <c r="J7" s="88"/>
      <c r="K7" s="88"/>
      <c r="L7" s="88"/>
      <c r="M7" s="88"/>
      <c r="N7" s="88"/>
      <c r="O7" s="88"/>
      <c r="P7" s="88"/>
      <c r="Q7" s="88"/>
      <c r="R7" s="88"/>
      <c r="S7" s="89"/>
    </row>
    <row r="8" spans="2:19" ht="35.25" customHeight="1" thickBot="1" x14ac:dyDescent="0.3">
      <c r="B8" s="44"/>
      <c r="C8" s="74" t="s">
        <v>436</v>
      </c>
      <c r="D8" s="75"/>
      <c r="E8" s="75"/>
      <c r="F8" s="52" t="s">
        <v>454</v>
      </c>
      <c r="G8" s="52" t="s">
        <v>434</v>
      </c>
      <c r="H8" s="52" t="s">
        <v>1</v>
      </c>
      <c r="I8" s="52" t="s">
        <v>3</v>
      </c>
      <c r="J8" s="52" t="s">
        <v>4</v>
      </c>
      <c r="K8" s="53" t="s">
        <v>5</v>
      </c>
      <c r="L8" s="52" t="s">
        <v>6</v>
      </c>
      <c r="M8" s="52" t="s">
        <v>7</v>
      </c>
      <c r="N8" s="52" t="s">
        <v>8</v>
      </c>
      <c r="O8" s="52" t="s">
        <v>9</v>
      </c>
      <c r="P8" s="52" t="s">
        <v>10</v>
      </c>
      <c r="Q8" s="52" t="s">
        <v>11</v>
      </c>
      <c r="R8" s="53" t="s">
        <v>12</v>
      </c>
      <c r="S8" s="54" t="s">
        <v>13</v>
      </c>
    </row>
    <row r="9" spans="2:19" ht="49.5" customHeight="1" x14ac:dyDescent="0.25">
      <c r="B9" s="44"/>
      <c r="C9" s="74" t="s">
        <v>447</v>
      </c>
      <c r="D9" s="75"/>
      <c r="E9" s="75"/>
      <c r="F9" s="75"/>
      <c r="G9" s="75">
        <v>391</v>
      </c>
      <c r="H9" s="75" t="s">
        <v>398</v>
      </c>
      <c r="I9" s="75" t="s">
        <v>104</v>
      </c>
      <c r="J9" s="75" t="s">
        <v>17</v>
      </c>
      <c r="K9" s="76">
        <v>100</v>
      </c>
      <c r="L9" s="75">
        <v>36</v>
      </c>
      <c r="M9" s="75">
        <v>12</v>
      </c>
      <c r="N9" s="75">
        <v>20</v>
      </c>
      <c r="O9" s="75" t="s">
        <v>44</v>
      </c>
      <c r="P9" s="75" t="s">
        <v>20</v>
      </c>
      <c r="Q9" s="75" t="s">
        <v>21</v>
      </c>
      <c r="R9" s="76">
        <v>70</v>
      </c>
      <c r="S9" s="47">
        <v>9000</v>
      </c>
    </row>
    <row r="10" spans="2:19" ht="41.25" customHeight="1" x14ac:dyDescent="0.25">
      <c r="B10" s="44"/>
      <c r="C10" s="74" t="s">
        <v>440</v>
      </c>
      <c r="D10" s="75"/>
      <c r="E10" s="75"/>
      <c r="F10" s="75"/>
      <c r="G10" s="75">
        <v>392</v>
      </c>
      <c r="H10" s="75" t="s">
        <v>397</v>
      </c>
      <c r="I10" s="75" t="s">
        <v>16</v>
      </c>
      <c r="J10" s="75" t="s">
        <v>17</v>
      </c>
      <c r="K10" s="76">
        <v>100</v>
      </c>
      <c r="L10" s="75">
        <v>41</v>
      </c>
      <c r="M10" s="75">
        <v>11.2</v>
      </c>
      <c r="N10" s="75">
        <v>20</v>
      </c>
      <c r="O10" s="75" t="s">
        <v>44</v>
      </c>
      <c r="P10" s="75" t="s">
        <v>20</v>
      </c>
      <c r="Q10" s="75" t="s">
        <v>21</v>
      </c>
      <c r="R10" s="76">
        <v>70</v>
      </c>
      <c r="S10" s="47">
        <v>8900</v>
      </c>
    </row>
    <row r="11" spans="2:19" ht="30.75" customHeight="1" x14ac:dyDescent="0.25">
      <c r="B11" s="44"/>
      <c r="C11" s="74" t="s">
        <v>441</v>
      </c>
      <c r="D11" s="75"/>
      <c r="E11" s="75"/>
      <c r="F11" s="75"/>
      <c r="G11" s="75">
        <v>393</v>
      </c>
      <c r="H11" s="75" t="s">
        <v>398</v>
      </c>
      <c r="I11" s="75" t="s">
        <v>209</v>
      </c>
      <c r="J11" s="75" t="s">
        <v>17</v>
      </c>
      <c r="K11" s="76">
        <v>100</v>
      </c>
      <c r="L11" s="75">
        <v>36</v>
      </c>
      <c r="M11" s="75">
        <v>12.5</v>
      </c>
      <c r="N11" s="75">
        <v>20</v>
      </c>
      <c r="O11" s="75" t="s">
        <v>44</v>
      </c>
      <c r="P11" s="75" t="s">
        <v>20</v>
      </c>
      <c r="Q11" s="75" t="s">
        <v>21</v>
      </c>
      <c r="R11" s="76">
        <v>70</v>
      </c>
      <c r="S11" s="47">
        <v>8900</v>
      </c>
    </row>
    <row r="12" spans="2:19" ht="31.5" customHeight="1" x14ac:dyDescent="0.25">
      <c r="B12" s="44"/>
      <c r="C12" s="74" t="s">
        <v>442</v>
      </c>
      <c r="D12" s="75"/>
      <c r="E12" s="75"/>
      <c r="F12" s="77"/>
      <c r="G12" s="75">
        <v>401</v>
      </c>
      <c r="H12" s="75" t="s">
        <v>398</v>
      </c>
      <c r="I12" s="75" t="s">
        <v>16</v>
      </c>
      <c r="J12" s="75" t="s">
        <v>17</v>
      </c>
      <c r="K12" s="76">
        <v>100</v>
      </c>
      <c r="L12" s="75">
        <v>36</v>
      </c>
      <c r="M12" s="75">
        <v>12</v>
      </c>
      <c r="N12" s="75">
        <v>20</v>
      </c>
      <c r="O12" s="75" t="s">
        <v>44</v>
      </c>
      <c r="P12" s="75" t="s">
        <v>20</v>
      </c>
      <c r="Q12" s="75" t="s">
        <v>21</v>
      </c>
      <c r="R12" s="76">
        <v>70</v>
      </c>
      <c r="S12" s="47">
        <v>7500</v>
      </c>
    </row>
    <row r="13" spans="2:19" ht="25.5" customHeight="1" x14ac:dyDescent="0.25">
      <c r="B13" s="44"/>
      <c r="C13" s="74" t="s">
        <v>509</v>
      </c>
      <c r="D13" s="75"/>
      <c r="E13" s="75"/>
      <c r="F13" s="75"/>
      <c r="G13" s="75"/>
      <c r="H13" s="75"/>
      <c r="I13" s="75"/>
      <c r="J13" s="75"/>
      <c r="K13" s="76"/>
      <c r="L13" s="75"/>
      <c r="M13" s="75"/>
      <c r="N13" s="75"/>
      <c r="O13" s="75"/>
      <c r="P13" s="75"/>
      <c r="Q13" s="75"/>
      <c r="R13" s="76"/>
      <c r="S13" s="47"/>
    </row>
    <row r="14" spans="2:19" x14ac:dyDescent="0.25">
      <c r="B14" s="44"/>
      <c r="C14" s="75"/>
      <c r="D14" s="75"/>
      <c r="E14" s="75"/>
      <c r="F14" s="75"/>
      <c r="G14" s="75"/>
      <c r="H14" s="75"/>
      <c r="I14" s="75"/>
      <c r="J14" s="75"/>
      <c r="K14" s="76"/>
      <c r="L14" s="75"/>
      <c r="M14" s="75"/>
      <c r="N14" s="75"/>
      <c r="O14" s="75"/>
      <c r="P14" s="75"/>
      <c r="Q14" s="75"/>
      <c r="R14" s="76"/>
      <c r="S14" s="47"/>
    </row>
    <row r="15" spans="2:19" x14ac:dyDescent="0.25">
      <c r="B15" s="44"/>
      <c r="C15" s="75"/>
      <c r="D15" s="75"/>
      <c r="E15" s="75"/>
      <c r="F15" s="75"/>
      <c r="G15" s="75"/>
      <c r="H15" s="75"/>
      <c r="I15" s="75"/>
      <c r="J15" s="75"/>
      <c r="K15" s="76"/>
      <c r="L15" s="75"/>
      <c r="M15" s="75"/>
      <c r="N15" s="75"/>
      <c r="O15" s="75"/>
      <c r="P15" s="75"/>
      <c r="Q15" s="75"/>
      <c r="R15" s="76"/>
      <c r="S15" s="47"/>
    </row>
    <row r="16" spans="2:19" x14ac:dyDescent="0.25">
      <c r="B16" s="44"/>
      <c r="C16" s="75"/>
      <c r="D16" s="75"/>
      <c r="E16" s="75"/>
      <c r="F16" s="75"/>
      <c r="G16" s="75"/>
      <c r="H16" s="75"/>
      <c r="I16" s="75"/>
      <c r="J16" s="75"/>
      <c r="K16" s="76"/>
      <c r="L16" s="75"/>
      <c r="M16" s="75"/>
      <c r="N16" s="75"/>
      <c r="O16" s="75"/>
      <c r="P16" s="75"/>
      <c r="Q16" s="75"/>
      <c r="R16" s="76"/>
      <c r="S16" s="47"/>
    </row>
    <row r="17" spans="2:20" x14ac:dyDescent="0.25">
      <c r="B17" s="44"/>
      <c r="C17" s="75"/>
      <c r="D17" s="75"/>
      <c r="E17" s="75"/>
      <c r="F17" s="75"/>
      <c r="G17" s="75"/>
      <c r="H17" s="75"/>
      <c r="I17" s="75"/>
      <c r="J17" s="75"/>
      <c r="K17" s="76"/>
      <c r="L17" s="75"/>
      <c r="M17" s="75"/>
      <c r="N17" s="75"/>
      <c r="O17" s="75"/>
      <c r="P17" s="75"/>
      <c r="Q17" s="75"/>
      <c r="R17" s="76"/>
      <c r="S17" s="47"/>
    </row>
    <row r="18" spans="2:20" x14ac:dyDescent="0.25">
      <c r="B18" s="44"/>
      <c r="C18" s="75"/>
      <c r="D18" s="75"/>
      <c r="E18" s="75"/>
      <c r="F18" s="75"/>
      <c r="G18" s="75"/>
      <c r="H18" s="75"/>
      <c r="I18" s="75"/>
      <c r="J18" s="75"/>
      <c r="K18" s="76"/>
      <c r="L18" s="75"/>
      <c r="M18" s="75"/>
      <c r="N18" s="75"/>
      <c r="O18" s="75"/>
      <c r="P18" s="75"/>
      <c r="Q18" s="75"/>
      <c r="R18" s="76"/>
      <c r="S18" s="47"/>
    </row>
    <row r="19" spans="2:20" x14ac:dyDescent="0.25">
      <c r="B19" s="44"/>
      <c r="C19" s="75"/>
      <c r="D19" s="75"/>
      <c r="E19" s="75"/>
      <c r="F19" s="75"/>
      <c r="G19" s="75"/>
      <c r="H19" s="75"/>
      <c r="I19" s="75"/>
      <c r="J19" s="75"/>
      <c r="K19" s="76"/>
      <c r="L19" s="75"/>
      <c r="M19" s="75"/>
      <c r="N19" s="75"/>
      <c r="O19" s="75"/>
      <c r="P19" s="75"/>
      <c r="Q19" s="75"/>
      <c r="R19" s="76"/>
      <c r="S19" s="47"/>
    </row>
    <row r="20" spans="2:20" x14ac:dyDescent="0.25">
      <c r="B20" s="44"/>
      <c r="C20" s="75"/>
      <c r="D20" s="75"/>
      <c r="E20" s="75"/>
      <c r="F20" s="75"/>
      <c r="G20" s="75"/>
      <c r="H20" s="75"/>
      <c r="I20" s="75"/>
      <c r="J20" s="75"/>
      <c r="K20" s="76"/>
      <c r="L20" s="75"/>
      <c r="M20" s="75"/>
      <c r="N20" s="75"/>
      <c r="O20" s="75"/>
      <c r="P20" s="75"/>
      <c r="Q20" s="75"/>
      <c r="R20" s="76"/>
      <c r="S20" s="47"/>
    </row>
    <row r="21" spans="2:20" x14ac:dyDescent="0.25">
      <c r="B21" s="44"/>
      <c r="C21" s="75"/>
      <c r="D21" s="75"/>
      <c r="E21" s="75"/>
      <c r="F21" s="75"/>
      <c r="G21" s="75"/>
      <c r="H21" s="75"/>
      <c r="I21" s="75"/>
      <c r="J21" s="75"/>
      <c r="K21" s="76"/>
      <c r="L21" s="75"/>
      <c r="M21" s="75"/>
      <c r="N21" s="75"/>
      <c r="O21" s="75"/>
      <c r="P21" s="75"/>
      <c r="Q21" s="75"/>
      <c r="R21" s="76"/>
      <c r="S21" s="47"/>
    </row>
    <row r="22" spans="2:20" x14ac:dyDescent="0.25">
      <c r="B22" s="44"/>
      <c r="C22" s="75"/>
      <c r="D22" s="75"/>
      <c r="E22" s="75"/>
      <c r="F22" s="75"/>
      <c r="G22" s="75"/>
      <c r="H22" s="75"/>
      <c r="I22" s="75"/>
      <c r="J22" s="75"/>
      <c r="K22" s="76"/>
      <c r="L22" s="75"/>
      <c r="M22" s="75"/>
      <c r="N22" s="75"/>
      <c r="O22" s="75"/>
      <c r="P22" s="75"/>
      <c r="Q22" s="75"/>
      <c r="R22" s="76"/>
      <c r="S22" s="47"/>
    </row>
    <row r="23" spans="2:20" x14ac:dyDescent="0.25">
      <c r="B23" s="44"/>
      <c r="C23" s="75"/>
      <c r="D23" s="75"/>
      <c r="E23" s="75"/>
      <c r="F23" s="75"/>
      <c r="G23" s="75"/>
      <c r="H23" s="75"/>
      <c r="I23" s="75"/>
      <c r="J23" s="75"/>
      <c r="K23" s="75"/>
      <c r="L23" s="75"/>
      <c r="M23" s="75"/>
      <c r="N23" s="75"/>
      <c r="O23" s="75"/>
      <c r="P23" s="75"/>
      <c r="Q23" s="75"/>
      <c r="R23" s="75"/>
      <c r="S23" s="48"/>
      <c r="T23" s="11"/>
    </row>
    <row r="24" spans="2:20" x14ac:dyDescent="0.25">
      <c r="B24" s="44"/>
      <c r="C24" s="75"/>
      <c r="D24" s="75"/>
      <c r="E24" s="75"/>
      <c r="F24" s="75"/>
      <c r="G24" s="75"/>
      <c r="H24" s="75"/>
      <c r="I24" s="75"/>
      <c r="J24" s="75"/>
      <c r="K24" s="75"/>
      <c r="L24" s="75"/>
      <c r="M24" s="75"/>
      <c r="N24" s="75"/>
      <c r="O24" s="75"/>
      <c r="P24" s="75"/>
      <c r="Q24" s="75"/>
      <c r="R24" s="75"/>
      <c r="S24" s="48"/>
      <c r="T24" s="11"/>
    </row>
    <row r="25" spans="2:20" x14ac:dyDescent="0.25">
      <c r="B25" s="44"/>
      <c r="C25" s="75"/>
      <c r="D25" s="75"/>
      <c r="E25" s="75"/>
      <c r="F25" s="75"/>
      <c r="G25" s="78"/>
      <c r="H25" s="75"/>
      <c r="I25" s="75"/>
      <c r="J25" s="75"/>
      <c r="K25" s="75"/>
      <c r="L25" s="75"/>
      <c r="M25" s="75"/>
      <c r="N25" s="75"/>
      <c r="O25" s="75"/>
      <c r="P25" s="75"/>
      <c r="Q25" s="75"/>
      <c r="R25" s="78"/>
      <c r="S25" s="49"/>
      <c r="T25" s="11"/>
    </row>
    <row r="26" spans="2:20" x14ac:dyDescent="0.25">
      <c r="B26" s="44"/>
      <c r="C26" s="75"/>
      <c r="D26" s="75"/>
      <c r="E26" s="75"/>
      <c r="F26" s="75"/>
      <c r="G26" s="78"/>
      <c r="H26" s="75"/>
      <c r="I26" s="75"/>
      <c r="J26" s="75"/>
      <c r="K26" s="75"/>
      <c r="L26" s="75"/>
      <c r="M26" s="75"/>
      <c r="N26" s="75"/>
      <c r="O26" s="75"/>
      <c r="P26" s="75"/>
      <c r="Q26" s="75"/>
      <c r="R26" s="78"/>
      <c r="S26" s="49"/>
      <c r="T26" s="11"/>
    </row>
    <row r="27" spans="2:20" x14ac:dyDescent="0.25">
      <c r="B27" s="44"/>
      <c r="C27" s="75"/>
      <c r="D27" s="75"/>
      <c r="E27" s="75"/>
      <c r="F27" s="75"/>
      <c r="G27" s="78"/>
      <c r="H27" s="75"/>
      <c r="I27" s="75"/>
      <c r="J27" s="75"/>
      <c r="K27" s="75"/>
      <c r="L27" s="75"/>
      <c r="M27" s="75"/>
      <c r="N27" s="75"/>
      <c r="O27" s="75"/>
      <c r="P27" s="75"/>
      <c r="Q27" s="75"/>
      <c r="R27" s="78"/>
      <c r="S27" s="49"/>
      <c r="T27" s="11"/>
    </row>
    <row r="28" spans="2:20" x14ac:dyDescent="0.25">
      <c r="B28" s="44"/>
      <c r="C28" s="75"/>
      <c r="D28" s="75"/>
      <c r="E28" s="75"/>
      <c r="F28" s="75"/>
      <c r="G28" s="78"/>
      <c r="H28" s="75"/>
      <c r="I28" s="75"/>
      <c r="J28" s="75"/>
      <c r="K28" s="75"/>
      <c r="L28" s="75"/>
      <c r="M28" s="75"/>
      <c r="N28" s="75"/>
      <c r="O28" s="75"/>
      <c r="P28" s="75"/>
      <c r="Q28" s="75"/>
      <c r="R28" s="78"/>
      <c r="S28" s="49"/>
      <c r="T28" s="11"/>
    </row>
    <row r="29" spans="2:20" x14ac:dyDescent="0.25">
      <c r="B29" s="44"/>
      <c r="C29" s="75"/>
      <c r="D29" s="75"/>
      <c r="E29" s="75"/>
      <c r="F29" s="75"/>
      <c r="G29" s="78"/>
      <c r="H29" s="75"/>
      <c r="I29" s="75"/>
      <c r="J29" s="75"/>
      <c r="K29" s="75"/>
      <c r="L29" s="75"/>
      <c r="M29" s="75"/>
      <c r="N29" s="75"/>
      <c r="O29" s="75"/>
      <c r="P29" s="75"/>
      <c r="Q29" s="75"/>
      <c r="R29" s="78"/>
      <c r="S29" s="49"/>
      <c r="T29" s="11"/>
    </row>
    <row r="30" spans="2:20" x14ac:dyDescent="0.25">
      <c r="B30" s="44"/>
      <c r="C30" s="75"/>
      <c r="D30" s="75"/>
      <c r="E30" s="75"/>
      <c r="F30" s="75"/>
      <c r="G30" s="78"/>
      <c r="H30" s="75"/>
      <c r="I30" s="75"/>
      <c r="J30" s="75"/>
      <c r="K30" s="75"/>
      <c r="L30" s="75"/>
      <c r="M30" s="75"/>
      <c r="N30" s="75"/>
      <c r="O30" s="75"/>
      <c r="P30" s="75"/>
      <c r="Q30" s="75"/>
      <c r="R30" s="78"/>
      <c r="S30" s="49"/>
      <c r="T30" s="11"/>
    </row>
    <row r="31" spans="2:20" x14ac:dyDescent="0.25">
      <c r="B31" s="44"/>
      <c r="C31" s="75"/>
      <c r="D31" s="75"/>
      <c r="E31" s="75"/>
      <c r="F31" s="75"/>
      <c r="G31" s="78"/>
      <c r="H31" s="75"/>
      <c r="I31" s="75"/>
      <c r="J31" s="75"/>
      <c r="K31" s="75"/>
      <c r="L31" s="75"/>
      <c r="M31" s="75"/>
      <c r="N31" s="75"/>
      <c r="O31" s="75"/>
      <c r="P31" s="75"/>
      <c r="Q31" s="75"/>
      <c r="R31" s="78"/>
      <c r="S31" s="49"/>
      <c r="T31" s="11"/>
    </row>
    <row r="32" spans="2:20" x14ac:dyDescent="0.25">
      <c r="B32" s="44"/>
      <c r="C32" s="75"/>
      <c r="D32" s="75"/>
      <c r="E32" s="75"/>
      <c r="F32" s="75"/>
      <c r="G32" s="78"/>
      <c r="H32" s="75"/>
      <c r="I32" s="75"/>
      <c r="J32" s="75"/>
      <c r="K32" s="75"/>
      <c r="L32" s="75"/>
      <c r="M32" s="75"/>
      <c r="N32" s="75"/>
      <c r="O32" s="75"/>
      <c r="P32" s="75"/>
      <c r="Q32" s="75"/>
      <c r="R32" s="78"/>
      <c r="S32" s="49"/>
      <c r="T32" s="11"/>
    </row>
    <row r="33" spans="2:20" x14ac:dyDescent="0.25">
      <c r="B33" s="44"/>
      <c r="C33" s="75"/>
      <c r="D33" s="75"/>
      <c r="E33" s="75"/>
      <c r="F33" s="75"/>
      <c r="G33" s="78"/>
      <c r="H33" s="75"/>
      <c r="I33" s="75"/>
      <c r="J33" s="75"/>
      <c r="K33" s="75"/>
      <c r="L33" s="75"/>
      <c r="M33" s="75"/>
      <c r="N33" s="75"/>
      <c r="O33" s="75"/>
      <c r="P33" s="75"/>
      <c r="Q33" s="75"/>
      <c r="R33" s="78"/>
      <c r="S33" s="49"/>
      <c r="T33" s="11"/>
    </row>
    <row r="34" spans="2:20" x14ac:dyDescent="0.25">
      <c r="B34" s="44"/>
      <c r="C34" s="75"/>
      <c r="D34" s="75"/>
      <c r="E34" s="75"/>
      <c r="F34" s="75"/>
      <c r="G34" s="78"/>
      <c r="H34" s="75"/>
      <c r="I34" s="75"/>
      <c r="J34" s="75"/>
      <c r="K34" s="75"/>
      <c r="L34" s="75"/>
      <c r="M34" s="75"/>
      <c r="N34" s="75"/>
      <c r="O34" s="75"/>
      <c r="P34" s="75"/>
      <c r="Q34" s="75"/>
      <c r="R34" s="78"/>
      <c r="S34" s="49"/>
      <c r="T34" s="11"/>
    </row>
    <row r="35" spans="2:20" x14ac:dyDescent="0.25">
      <c r="B35" s="44"/>
      <c r="C35" s="75"/>
      <c r="D35" s="75"/>
      <c r="E35" s="75"/>
      <c r="F35" s="75"/>
      <c r="G35" s="78"/>
      <c r="H35" s="75"/>
      <c r="I35" s="75"/>
      <c r="J35" s="75"/>
      <c r="K35" s="75"/>
      <c r="L35" s="75"/>
      <c r="M35" s="75"/>
      <c r="N35" s="75"/>
      <c r="O35" s="75"/>
      <c r="P35" s="75"/>
      <c r="Q35" s="75"/>
      <c r="R35" s="78"/>
      <c r="S35" s="49"/>
      <c r="T35" s="11"/>
    </row>
    <row r="36" spans="2:20" ht="15.75" thickBot="1" x14ac:dyDescent="0.3">
      <c r="B36" s="45"/>
      <c r="C36" s="46"/>
      <c r="D36" s="46"/>
      <c r="E36" s="46"/>
      <c r="F36" s="46"/>
      <c r="G36" s="50"/>
      <c r="H36" s="46"/>
      <c r="I36" s="46"/>
      <c r="J36" s="46"/>
      <c r="K36" s="46"/>
      <c r="L36" s="46"/>
      <c r="M36" s="46"/>
      <c r="N36" s="46"/>
      <c r="O36" s="46"/>
      <c r="P36" s="46"/>
      <c r="Q36" s="46"/>
      <c r="R36" s="50"/>
      <c r="S36" s="51"/>
      <c r="T36" s="11"/>
    </row>
    <row r="37" spans="2:20" x14ac:dyDescent="0.25">
      <c r="G37" s="11"/>
      <c r="R37" s="11"/>
      <c r="S37" s="11"/>
      <c r="T37" s="11"/>
    </row>
    <row r="38" spans="2:20" x14ac:dyDescent="0.25">
      <c r="G38" s="11"/>
      <c r="R38" s="11"/>
      <c r="S38" s="11"/>
      <c r="T38" s="11"/>
    </row>
    <row r="39" spans="2:20" x14ac:dyDescent="0.25">
      <c r="G39" s="11"/>
      <c r="R39" s="11"/>
      <c r="S39" s="11"/>
      <c r="T39" s="11"/>
    </row>
    <row r="40" spans="2:20" x14ac:dyDescent="0.25">
      <c r="G40" s="11"/>
      <c r="R40" s="11"/>
      <c r="S40" s="11"/>
      <c r="T40" s="11"/>
    </row>
    <row r="41" spans="2:20" x14ac:dyDescent="0.25">
      <c r="G41" s="11"/>
      <c r="R41" s="11"/>
      <c r="S41" s="11"/>
      <c r="T41" s="11"/>
    </row>
    <row r="42" spans="2:20" x14ac:dyDescent="0.25">
      <c r="G42" s="11"/>
      <c r="R42" s="11"/>
      <c r="S42" s="11"/>
      <c r="T42" s="11"/>
    </row>
    <row r="43" spans="2:20" x14ac:dyDescent="0.25">
      <c r="G43" s="11"/>
      <c r="R43" s="11"/>
      <c r="S43" s="11"/>
      <c r="T43" s="11"/>
    </row>
    <row r="44" spans="2:20" x14ac:dyDescent="0.25">
      <c r="G44" s="11"/>
      <c r="R44" s="11"/>
      <c r="S44" s="11"/>
      <c r="T44" s="11"/>
    </row>
    <row r="45" spans="2:20" x14ac:dyDescent="0.25">
      <c r="G45" s="11"/>
      <c r="R45" s="11"/>
      <c r="S45" s="11"/>
      <c r="T45" s="11"/>
    </row>
    <row r="46" spans="2:20" x14ac:dyDescent="0.25">
      <c r="G46" s="11"/>
      <c r="R46" s="11"/>
      <c r="S46" s="11"/>
      <c r="T46" s="11"/>
    </row>
    <row r="47" spans="2:20" x14ac:dyDescent="0.25">
      <c r="G47" s="11"/>
      <c r="R47" s="11"/>
      <c r="S47" s="11"/>
      <c r="T47" s="11"/>
    </row>
    <row r="48" spans="2:20" x14ac:dyDescent="0.25">
      <c r="G48" s="11"/>
      <c r="H48" s="11"/>
      <c r="I48" s="11"/>
      <c r="J48" s="11"/>
      <c r="K48" s="11"/>
      <c r="L48" s="11"/>
      <c r="M48" s="11"/>
      <c r="N48" s="11"/>
      <c r="O48" s="11"/>
      <c r="P48" s="11"/>
      <c r="Q48" s="11"/>
      <c r="R48" s="11"/>
      <c r="S48" s="11"/>
      <c r="T48" s="11"/>
    </row>
    <row r="76" spans="10:18" x14ac:dyDescent="0.25">
      <c r="J76" s="3"/>
      <c r="Q76" s="3"/>
      <c r="R76" s="2"/>
    </row>
    <row r="77" spans="10:18" x14ac:dyDescent="0.25">
      <c r="J77" s="3"/>
      <c r="Q77" s="3"/>
      <c r="R77" s="2"/>
    </row>
  </sheetData>
  <mergeCells count="2">
    <mergeCell ref="B5:S6"/>
    <mergeCell ref="B7:S7"/>
  </mergeCells>
  <conditionalFormatting sqref="H21">
    <cfRule type="expression" dxfId="29" priority="85">
      <formula>$M21="N/A"</formula>
    </cfRule>
  </conditionalFormatting>
  <conditionalFormatting sqref="S21">
    <cfRule type="dataBar" priority="84">
      <dataBar>
        <cfvo type="min"/>
        <cfvo type="max"/>
        <color rgb="FF63C384"/>
      </dataBar>
      <extLst>
        <ext xmlns:x14="http://schemas.microsoft.com/office/spreadsheetml/2009/9/main" uri="{B025F937-C7B1-47D3-B67F-A62EFF666E3E}">
          <x14:id>{61CBBE99-48D0-41E4-AB30-B9F2C0418946}</x14:id>
        </ext>
      </extLst>
    </cfRule>
  </conditionalFormatting>
  <conditionalFormatting sqref="H22">
    <cfRule type="expression" dxfId="28" priority="83">
      <formula>$M22="N/A"</formula>
    </cfRule>
  </conditionalFormatting>
  <conditionalFormatting sqref="S22">
    <cfRule type="dataBar" priority="82">
      <dataBar>
        <cfvo type="min"/>
        <cfvo type="max"/>
        <color rgb="FF63C384"/>
      </dataBar>
      <extLst>
        <ext xmlns:x14="http://schemas.microsoft.com/office/spreadsheetml/2009/9/main" uri="{B025F937-C7B1-47D3-B67F-A62EFF666E3E}">
          <x14:id>{ACE34CC4-A6F5-4CF8-9DEF-50F77C650E44}</x14:id>
        </ext>
      </extLst>
    </cfRule>
  </conditionalFormatting>
  <conditionalFormatting sqref="H14">
    <cfRule type="expression" dxfId="27" priority="52">
      <formula>$M14="N/A"</formula>
    </cfRule>
  </conditionalFormatting>
  <conditionalFormatting sqref="H15">
    <cfRule type="expression" dxfId="26" priority="51">
      <formula>$M15="N/A"</formula>
    </cfRule>
  </conditionalFormatting>
  <conditionalFormatting sqref="H16">
    <cfRule type="expression" dxfId="25" priority="50">
      <formula>$M16="N/A"</formula>
    </cfRule>
  </conditionalFormatting>
  <conditionalFormatting sqref="H17">
    <cfRule type="expression" dxfId="24" priority="49">
      <formula>$M17="N/A"</formula>
    </cfRule>
  </conditionalFormatting>
  <conditionalFormatting sqref="H18">
    <cfRule type="expression" dxfId="23" priority="48">
      <formula>$M18="N/A"</formula>
    </cfRule>
  </conditionalFormatting>
  <conditionalFormatting sqref="H19">
    <cfRule type="expression" dxfId="22" priority="47">
      <formula>$M19="N/A"</formula>
    </cfRule>
  </conditionalFormatting>
  <conditionalFormatting sqref="H20">
    <cfRule type="expression" dxfId="21" priority="46">
      <formula>$M20="N/A"</formula>
    </cfRule>
  </conditionalFormatting>
  <conditionalFormatting sqref="K13">
    <cfRule type="cellIs" dxfId="20" priority="25" operator="greaterThan">
      <formula>299</formula>
    </cfRule>
  </conditionalFormatting>
  <conditionalFormatting sqref="K13">
    <cfRule type="cellIs" dxfId="19" priority="24" operator="greaterThan">
      <formula>999</formula>
    </cfRule>
  </conditionalFormatting>
  <conditionalFormatting sqref="S13">
    <cfRule type="dataBar" priority="23">
      <dataBar>
        <cfvo type="min"/>
        <cfvo type="max"/>
        <color rgb="FFFF555A"/>
      </dataBar>
      <extLst>
        <ext xmlns:x14="http://schemas.microsoft.com/office/spreadsheetml/2009/9/main" uri="{B025F937-C7B1-47D3-B67F-A62EFF666E3E}">
          <x14:id>{16C88DCA-BDA3-4DF6-82C2-47B9D00D4940}</x14:id>
        </ext>
      </extLst>
    </cfRule>
  </conditionalFormatting>
  <conditionalFormatting sqref="R13">
    <cfRule type="dataBar" priority="22">
      <dataBar>
        <cfvo type="min"/>
        <cfvo type="max"/>
        <color rgb="FF638EC6"/>
      </dataBar>
      <extLst>
        <ext xmlns:x14="http://schemas.microsoft.com/office/spreadsheetml/2009/9/main" uri="{B025F937-C7B1-47D3-B67F-A62EFF666E3E}">
          <x14:id>{CB26656E-5D81-449C-B2F7-8BAFB270E789}</x14:id>
        </ext>
      </extLst>
    </cfRule>
  </conditionalFormatting>
  <conditionalFormatting sqref="H13">
    <cfRule type="expression" dxfId="18" priority="21">
      <formula>$E13="Quartz"</formula>
    </cfRule>
  </conditionalFormatting>
  <conditionalFormatting sqref="K9">
    <cfRule type="cellIs" dxfId="17" priority="20" operator="greaterThan">
      <formula>299</formula>
    </cfRule>
  </conditionalFormatting>
  <conditionalFormatting sqref="K9">
    <cfRule type="cellIs" dxfId="16" priority="19" operator="greaterThan">
      <formula>999</formula>
    </cfRule>
  </conditionalFormatting>
  <conditionalFormatting sqref="S9">
    <cfRule type="dataBar" priority="18">
      <dataBar>
        <cfvo type="min"/>
        <cfvo type="max"/>
        <color rgb="FFFF555A"/>
      </dataBar>
      <extLst>
        <ext xmlns:x14="http://schemas.microsoft.com/office/spreadsheetml/2009/9/main" uri="{B025F937-C7B1-47D3-B67F-A62EFF666E3E}">
          <x14:id>{1280C4C8-0733-461C-A480-2722284C4FD1}</x14:id>
        </ext>
      </extLst>
    </cfRule>
  </conditionalFormatting>
  <conditionalFormatting sqref="R9">
    <cfRule type="dataBar" priority="17">
      <dataBar>
        <cfvo type="min"/>
        <cfvo type="max"/>
        <color rgb="FF638EC6"/>
      </dataBar>
      <extLst>
        <ext xmlns:x14="http://schemas.microsoft.com/office/spreadsheetml/2009/9/main" uri="{B025F937-C7B1-47D3-B67F-A62EFF666E3E}">
          <x14:id>{3450390F-8689-44B7-9973-247CDBF24CDF}</x14:id>
        </ext>
      </extLst>
    </cfRule>
  </conditionalFormatting>
  <conditionalFormatting sqref="H9">
    <cfRule type="expression" dxfId="15" priority="16">
      <formula>$E9="Quartz"</formula>
    </cfRule>
  </conditionalFormatting>
  <conditionalFormatting sqref="K10">
    <cfRule type="cellIs" dxfId="14" priority="15" operator="greaterThan">
      <formula>299</formula>
    </cfRule>
  </conditionalFormatting>
  <conditionalFormatting sqref="K10">
    <cfRule type="cellIs" dxfId="13" priority="14" operator="greaterThan">
      <formula>999</formula>
    </cfRule>
  </conditionalFormatting>
  <conditionalFormatting sqref="S10">
    <cfRule type="dataBar" priority="13">
      <dataBar>
        <cfvo type="min"/>
        <cfvo type="max"/>
        <color rgb="FFFF555A"/>
      </dataBar>
      <extLst>
        <ext xmlns:x14="http://schemas.microsoft.com/office/spreadsheetml/2009/9/main" uri="{B025F937-C7B1-47D3-B67F-A62EFF666E3E}">
          <x14:id>{284A254A-0CF3-4A99-B3A1-488C12E037A8}</x14:id>
        </ext>
      </extLst>
    </cfRule>
  </conditionalFormatting>
  <conditionalFormatting sqref="R10">
    <cfRule type="dataBar" priority="12">
      <dataBar>
        <cfvo type="min"/>
        <cfvo type="max"/>
        <color rgb="FF638EC6"/>
      </dataBar>
      <extLst>
        <ext xmlns:x14="http://schemas.microsoft.com/office/spreadsheetml/2009/9/main" uri="{B025F937-C7B1-47D3-B67F-A62EFF666E3E}">
          <x14:id>{6476956C-2DD1-4846-8607-33E0E3238D88}</x14:id>
        </ext>
      </extLst>
    </cfRule>
  </conditionalFormatting>
  <conditionalFormatting sqref="H10">
    <cfRule type="expression" dxfId="12" priority="11">
      <formula>$E10="Quartz"</formula>
    </cfRule>
  </conditionalFormatting>
  <conditionalFormatting sqref="K11">
    <cfRule type="cellIs" dxfId="11" priority="10" operator="greaterThan">
      <formula>299</formula>
    </cfRule>
  </conditionalFormatting>
  <conditionalFormatting sqref="K11">
    <cfRule type="cellIs" dxfId="10" priority="9" operator="greaterThan">
      <formula>999</formula>
    </cfRule>
  </conditionalFormatting>
  <conditionalFormatting sqref="S11">
    <cfRule type="dataBar" priority="8">
      <dataBar>
        <cfvo type="min"/>
        <cfvo type="max"/>
        <color rgb="FFFF555A"/>
      </dataBar>
      <extLst>
        <ext xmlns:x14="http://schemas.microsoft.com/office/spreadsheetml/2009/9/main" uri="{B025F937-C7B1-47D3-B67F-A62EFF666E3E}">
          <x14:id>{DFFA9691-9F7C-4FA9-B78C-F3EC3E1FD052}</x14:id>
        </ext>
      </extLst>
    </cfRule>
  </conditionalFormatting>
  <conditionalFormatting sqref="R11">
    <cfRule type="dataBar" priority="7">
      <dataBar>
        <cfvo type="min"/>
        <cfvo type="max"/>
        <color rgb="FF638EC6"/>
      </dataBar>
      <extLst>
        <ext xmlns:x14="http://schemas.microsoft.com/office/spreadsheetml/2009/9/main" uri="{B025F937-C7B1-47D3-B67F-A62EFF666E3E}">
          <x14:id>{07C5FE14-BDC7-4B42-9AAC-16BDCF72B4BF}</x14:id>
        </ext>
      </extLst>
    </cfRule>
  </conditionalFormatting>
  <conditionalFormatting sqref="H11">
    <cfRule type="expression" dxfId="9" priority="6">
      <formula>$E11="Quartz"</formula>
    </cfRule>
  </conditionalFormatting>
  <conditionalFormatting sqref="K12">
    <cfRule type="cellIs" dxfId="8" priority="5" operator="greaterThan">
      <formula>299</formula>
    </cfRule>
  </conditionalFormatting>
  <conditionalFormatting sqref="K12">
    <cfRule type="cellIs" dxfId="7" priority="4" operator="greaterThan">
      <formula>999</formula>
    </cfRule>
  </conditionalFormatting>
  <conditionalFormatting sqref="S12">
    <cfRule type="dataBar" priority="3">
      <dataBar>
        <cfvo type="min"/>
        <cfvo type="max"/>
        <color rgb="FFFF555A"/>
      </dataBar>
      <extLst>
        <ext xmlns:x14="http://schemas.microsoft.com/office/spreadsheetml/2009/9/main" uri="{B025F937-C7B1-47D3-B67F-A62EFF666E3E}">
          <x14:id>{B29B456F-BBA8-48A1-BB56-FB97DCD091CF}</x14:id>
        </ext>
      </extLst>
    </cfRule>
  </conditionalFormatting>
  <conditionalFormatting sqref="R12">
    <cfRule type="dataBar" priority="2">
      <dataBar>
        <cfvo type="min"/>
        <cfvo type="max"/>
        <color rgb="FF638EC6"/>
      </dataBar>
      <extLst>
        <ext xmlns:x14="http://schemas.microsoft.com/office/spreadsheetml/2009/9/main" uri="{B025F937-C7B1-47D3-B67F-A62EFF666E3E}">
          <x14:id>{7A64A248-3681-463C-9D7A-8784A055B5DC}</x14:id>
        </ext>
      </extLst>
    </cfRule>
  </conditionalFormatting>
  <conditionalFormatting sqref="H12">
    <cfRule type="expression" dxfId="6" priority="1">
      <formula>$E12="Quartz"</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Drop Down 1">
              <controlPr defaultSize="0" autoLine="0" autoPict="0">
                <anchor moveWithCells="1">
                  <from>
                    <xdr:col>3</xdr:col>
                    <xdr:colOff>0</xdr:colOff>
                    <xdr:row>7</xdr:row>
                    <xdr:rowOff>9525</xdr:rowOff>
                  </from>
                  <to>
                    <xdr:col>4</xdr:col>
                    <xdr:colOff>9525</xdr:colOff>
                    <xdr:row>8</xdr:row>
                    <xdr:rowOff>0</xdr:rowOff>
                  </to>
                </anchor>
              </controlPr>
            </control>
          </mc:Choice>
        </mc:AlternateContent>
        <mc:AlternateContent xmlns:mc="http://schemas.openxmlformats.org/markup-compatibility/2006">
          <mc:Choice Requires="x14">
            <control shapeId="2053" r:id="rId4" name="Group Box 5">
              <controlPr defaultSize="0" autoFill="0" autoPict="0">
                <anchor moveWithCells="1">
                  <from>
                    <xdr:col>3</xdr:col>
                    <xdr:colOff>9525</xdr:colOff>
                    <xdr:row>8</xdr:row>
                    <xdr:rowOff>0</xdr:rowOff>
                  </from>
                  <to>
                    <xdr:col>4</xdr:col>
                    <xdr:colOff>0</xdr:colOff>
                    <xdr:row>9</xdr:row>
                    <xdr:rowOff>0</xdr:rowOff>
                  </to>
                </anchor>
              </controlPr>
            </control>
          </mc:Choice>
        </mc:AlternateContent>
        <mc:AlternateContent xmlns:mc="http://schemas.openxmlformats.org/markup-compatibility/2006">
          <mc:Choice Requires="x14">
            <control shapeId="2054" r:id="rId5" name="Option Button 6">
              <controlPr defaultSize="0" autoFill="0" autoLine="0" autoPict="0">
                <anchor moveWithCells="1">
                  <from>
                    <xdr:col>3</xdr:col>
                    <xdr:colOff>85725</xdr:colOff>
                    <xdr:row>8</xdr:row>
                    <xdr:rowOff>95250</xdr:rowOff>
                  </from>
                  <to>
                    <xdr:col>3</xdr:col>
                    <xdr:colOff>1104900</xdr:colOff>
                    <xdr:row>8</xdr:row>
                    <xdr:rowOff>304800</xdr:rowOff>
                  </to>
                </anchor>
              </controlPr>
            </control>
          </mc:Choice>
        </mc:AlternateContent>
        <mc:AlternateContent xmlns:mc="http://schemas.openxmlformats.org/markup-compatibility/2006">
          <mc:Choice Requires="x14">
            <control shapeId="2055" r:id="rId6" name="Option Button 7">
              <controlPr defaultSize="0" autoFill="0" autoLine="0" autoPict="0">
                <anchor moveWithCells="1">
                  <from>
                    <xdr:col>3</xdr:col>
                    <xdr:colOff>1171575</xdr:colOff>
                    <xdr:row>8</xdr:row>
                    <xdr:rowOff>114300</xdr:rowOff>
                  </from>
                  <to>
                    <xdr:col>3</xdr:col>
                    <xdr:colOff>2190750</xdr:colOff>
                    <xdr:row>8</xdr:row>
                    <xdr:rowOff>323850</xdr:rowOff>
                  </to>
                </anchor>
              </controlPr>
            </control>
          </mc:Choice>
        </mc:AlternateContent>
        <mc:AlternateContent xmlns:mc="http://schemas.openxmlformats.org/markup-compatibility/2006">
          <mc:Choice Requires="x14">
            <control shapeId="2056" r:id="rId7" name="Option Button 8">
              <controlPr defaultSize="0" autoFill="0" autoLine="0" autoPict="0">
                <anchor moveWithCells="1">
                  <from>
                    <xdr:col>3</xdr:col>
                    <xdr:colOff>2305050</xdr:colOff>
                    <xdr:row>8</xdr:row>
                    <xdr:rowOff>85725</xdr:rowOff>
                  </from>
                  <to>
                    <xdr:col>3</xdr:col>
                    <xdr:colOff>3324225</xdr:colOff>
                    <xdr:row>8</xdr:row>
                    <xdr:rowOff>295275</xdr:rowOff>
                  </to>
                </anchor>
              </controlPr>
            </control>
          </mc:Choice>
        </mc:AlternateContent>
        <mc:AlternateContent xmlns:mc="http://schemas.openxmlformats.org/markup-compatibility/2006">
          <mc:Choice Requires="x14">
            <control shapeId="2057" r:id="rId8" name="Option Button 9">
              <controlPr defaultSize="0" autoFill="0" autoLine="0" autoPict="0">
                <anchor moveWithCells="1">
                  <from>
                    <xdr:col>3</xdr:col>
                    <xdr:colOff>85725</xdr:colOff>
                    <xdr:row>8</xdr:row>
                    <xdr:rowOff>381000</xdr:rowOff>
                  </from>
                  <to>
                    <xdr:col>3</xdr:col>
                    <xdr:colOff>1104900</xdr:colOff>
                    <xdr:row>8</xdr:row>
                    <xdr:rowOff>590550</xdr:rowOff>
                  </to>
                </anchor>
              </controlPr>
            </control>
          </mc:Choice>
        </mc:AlternateContent>
        <mc:AlternateContent xmlns:mc="http://schemas.openxmlformats.org/markup-compatibility/2006">
          <mc:Choice Requires="x14">
            <control shapeId="2058" r:id="rId9" name="Option Button 10">
              <controlPr defaultSize="0" autoFill="0" autoLine="0" autoPict="0">
                <anchor moveWithCells="1">
                  <from>
                    <xdr:col>3</xdr:col>
                    <xdr:colOff>1181100</xdr:colOff>
                    <xdr:row>8</xdr:row>
                    <xdr:rowOff>381000</xdr:rowOff>
                  </from>
                  <to>
                    <xdr:col>3</xdr:col>
                    <xdr:colOff>2200275</xdr:colOff>
                    <xdr:row>8</xdr:row>
                    <xdr:rowOff>590550</xdr:rowOff>
                  </to>
                </anchor>
              </controlPr>
            </control>
          </mc:Choice>
        </mc:AlternateContent>
        <mc:AlternateContent xmlns:mc="http://schemas.openxmlformats.org/markup-compatibility/2006">
          <mc:Choice Requires="x14">
            <control shapeId="2059" r:id="rId10" name="Option Button 11">
              <controlPr defaultSize="0" autoFill="0" autoLine="0" autoPict="0">
                <anchor moveWithCells="1">
                  <from>
                    <xdr:col>3</xdr:col>
                    <xdr:colOff>2324100</xdr:colOff>
                    <xdr:row>8</xdr:row>
                    <xdr:rowOff>361950</xdr:rowOff>
                  </from>
                  <to>
                    <xdr:col>3</xdr:col>
                    <xdr:colOff>3343275</xdr:colOff>
                    <xdr:row>8</xdr:row>
                    <xdr:rowOff>571500</xdr:rowOff>
                  </to>
                </anchor>
              </controlPr>
            </control>
          </mc:Choice>
        </mc:AlternateContent>
        <mc:AlternateContent xmlns:mc="http://schemas.openxmlformats.org/markup-compatibility/2006">
          <mc:Choice Requires="x14">
            <control shapeId="2060" r:id="rId11" name="Group Box 12">
              <controlPr defaultSize="0" autoFill="0" autoPict="0">
                <anchor moveWithCells="1">
                  <from>
                    <xdr:col>3</xdr:col>
                    <xdr:colOff>9525</xdr:colOff>
                    <xdr:row>9</xdr:row>
                    <xdr:rowOff>9525</xdr:rowOff>
                  </from>
                  <to>
                    <xdr:col>4</xdr:col>
                    <xdr:colOff>0</xdr:colOff>
                    <xdr:row>9</xdr:row>
                    <xdr:rowOff>514350</xdr:rowOff>
                  </to>
                </anchor>
              </controlPr>
            </control>
          </mc:Choice>
        </mc:AlternateContent>
        <mc:AlternateContent xmlns:mc="http://schemas.openxmlformats.org/markup-compatibility/2006">
          <mc:Choice Requires="x14">
            <control shapeId="2061" r:id="rId12" name="Option Button 13">
              <controlPr defaultSize="0" autoFill="0" autoLine="0" autoPict="0">
                <anchor moveWithCells="1">
                  <from>
                    <xdr:col>3</xdr:col>
                    <xdr:colOff>142875</xdr:colOff>
                    <xdr:row>9</xdr:row>
                    <xdr:rowOff>133350</xdr:rowOff>
                  </from>
                  <to>
                    <xdr:col>3</xdr:col>
                    <xdr:colOff>1219200</xdr:colOff>
                    <xdr:row>9</xdr:row>
                    <xdr:rowOff>342900</xdr:rowOff>
                  </to>
                </anchor>
              </controlPr>
            </control>
          </mc:Choice>
        </mc:AlternateContent>
        <mc:AlternateContent xmlns:mc="http://schemas.openxmlformats.org/markup-compatibility/2006">
          <mc:Choice Requires="x14">
            <control shapeId="2062" r:id="rId13" name="Option Button 14">
              <controlPr defaultSize="0" autoFill="0" autoLine="0" autoPict="0">
                <anchor moveWithCells="1">
                  <from>
                    <xdr:col>3</xdr:col>
                    <xdr:colOff>1171575</xdr:colOff>
                    <xdr:row>9</xdr:row>
                    <xdr:rowOff>142875</xdr:rowOff>
                  </from>
                  <to>
                    <xdr:col>3</xdr:col>
                    <xdr:colOff>2247900</xdr:colOff>
                    <xdr:row>9</xdr:row>
                    <xdr:rowOff>352425</xdr:rowOff>
                  </to>
                </anchor>
              </controlPr>
            </control>
          </mc:Choice>
        </mc:AlternateContent>
        <mc:AlternateContent xmlns:mc="http://schemas.openxmlformats.org/markup-compatibility/2006">
          <mc:Choice Requires="x14">
            <control shapeId="2063" r:id="rId14" name="Option Button 15">
              <controlPr defaultSize="0" autoFill="0" autoLine="0" autoPict="0">
                <anchor moveWithCells="1">
                  <from>
                    <xdr:col>3</xdr:col>
                    <xdr:colOff>2343150</xdr:colOff>
                    <xdr:row>9</xdr:row>
                    <xdr:rowOff>133350</xdr:rowOff>
                  </from>
                  <to>
                    <xdr:col>3</xdr:col>
                    <xdr:colOff>3419475</xdr:colOff>
                    <xdr:row>9</xdr:row>
                    <xdr:rowOff>342900</xdr:rowOff>
                  </to>
                </anchor>
              </controlPr>
            </control>
          </mc:Choice>
        </mc:AlternateContent>
        <mc:AlternateContent xmlns:mc="http://schemas.openxmlformats.org/markup-compatibility/2006">
          <mc:Choice Requires="x14">
            <control shapeId="2064" r:id="rId15" name="Drop Down 16">
              <controlPr defaultSize="0" autoLine="0" autoPict="0">
                <anchor moveWithCells="1">
                  <from>
                    <xdr:col>3</xdr:col>
                    <xdr:colOff>0</xdr:colOff>
                    <xdr:row>9</xdr:row>
                    <xdr:rowOff>514350</xdr:rowOff>
                  </from>
                  <to>
                    <xdr:col>4</xdr:col>
                    <xdr:colOff>0</xdr:colOff>
                    <xdr:row>10</xdr:row>
                    <xdr:rowOff>381000</xdr:rowOff>
                  </to>
                </anchor>
              </controlPr>
            </control>
          </mc:Choice>
        </mc:AlternateContent>
        <mc:AlternateContent xmlns:mc="http://schemas.openxmlformats.org/markup-compatibility/2006">
          <mc:Choice Requires="x14">
            <control shapeId="2065" r:id="rId16" name="Drop Down 17">
              <controlPr defaultSize="0" autoLine="0" autoPict="0">
                <anchor moveWithCells="1">
                  <from>
                    <xdr:col>3</xdr:col>
                    <xdr:colOff>9525</xdr:colOff>
                    <xdr:row>10</xdr:row>
                    <xdr:rowOff>371475</xdr:rowOff>
                  </from>
                  <to>
                    <xdr:col>3</xdr:col>
                    <xdr:colOff>3905250</xdr:colOff>
                    <xdr:row>12</xdr:row>
                    <xdr:rowOff>0</xdr:rowOff>
                  </to>
                </anchor>
              </controlPr>
            </control>
          </mc:Choice>
        </mc:AlternateContent>
        <mc:AlternateContent xmlns:mc="http://schemas.openxmlformats.org/markup-compatibility/2006">
          <mc:Choice Requires="x14">
            <control shapeId="2066" r:id="rId17" name="Check Box 18">
              <controlPr defaultSize="0" autoFill="0" autoLine="0" autoPict="0">
                <anchor moveWithCells="1">
                  <from>
                    <xdr:col>3</xdr:col>
                    <xdr:colOff>38100</xdr:colOff>
                    <xdr:row>12</xdr:row>
                    <xdr:rowOff>85725</xdr:rowOff>
                  </from>
                  <to>
                    <xdr:col>3</xdr:col>
                    <xdr:colOff>2028825</xdr:colOff>
                    <xdr:row>12</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61CBBE99-48D0-41E4-AB30-B9F2C0418946}">
            <x14:dataBar minLength="0" maxLength="100" border="1" negativeBarBorderColorSameAsPositive="0">
              <x14:cfvo type="autoMin"/>
              <x14:cfvo type="autoMax"/>
              <x14:borderColor rgb="FF63C384"/>
              <x14:negativeFillColor rgb="FFFF0000"/>
              <x14:negativeBorderColor rgb="FFFF0000"/>
              <x14:axisColor rgb="FF000000"/>
            </x14:dataBar>
          </x14:cfRule>
          <xm:sqref>S21</xm:sqref>
        </x14:conditionalFormatting>
        <x14:conditionalFormatting xmlns:xm="http://schemas.microsoft.com/office/excel/2006/main">
          <x14:cfRule type="dataBar" id="{ACE34CC4-A6F5-4CF8-9DEF-50F77C650E44}">
            <x14:dataBar minLength="0" maxLength="100" border="1" negativeBarBorderColorSameAsPositive="0">
              <x14:cfvo type="autoMin"/>
              <x14:cfvo type="autoMax"/>
              <x14:borderColor rgb="FF63C384"/>
              <x14:negativeFillColor rgb="FFFF0000"/>
              <x14:negativeBorderColor rgb="FFFF0000"/>
              <x14:axisColor rgb="FF000000"/>
            </x14:dataBar>
          </x14:cfRule>
          <xm:sqref>S22</xm:sqref>
        </x14:conditionalFormatting>
        <x14:conditionalFormatting xmlns:xm="http://schemas.microsoft.com/office/excel/2006/main">
          <x14:cfRule type="dataBar" id="{16C88DCA-BDA3-4DF6-82C2-47B9D00D4940}">
            <x14:dataBar minLength="0" maxLength="100" border="1" negativeBarBorderColorSameAsPositive="0">
              <x14:cfvo type="autoMin"/>
              <x14:cfvo type="autoMax"/>
              <x14:borderColor rgb="FFFF555A"/>
              <x14:negativeFillColor rgb="FFFF0000"/>
              <x14:negativeBorderColor rgb="FFFF0000"/>
              <x14:axisColor rgb="FF000000"/>
            </x14:dataBar>
          </x14:cfRule>
          <xm:sqref>S13</xm:sqref>
        </x14:conditionalFormatting>
        <x14:conditionalFormatting xmlns:xm="http://schemas.microsoft.com/office/excel/2006/main">
          <x14:cfRule type="dataBar" id="{CB26656E-5D81-449C-B2F7-8BAFB270E789}">
            <x14:dataBar minLength="0" maxLength="100" border="1" negativeBarBorderColorSameAsPositive="0">
              <x14:cfvo type="autoMin"/>
              <x14:cfvo type="autoMax"/>
              <x14:borderColor rgb="FF638EC6"/>
              <x14:negativeFillColor rgb="FFFF0000"/>
              <x14:negativeBorderColor rgb="FFFF0000"/>
              <x14:axisColor rgb="FF000000"/>
            </x14:dataBar>
          </x14:cfRule>
          <xm:sqref>R13</xm:sqref>
        </x14:conditionalFormatting>
        <x14:conditionalFormatting xmlns:xm="http://schemas.microsoft.com/office/excel/2006/main">
          <x14:cfRule type="dataBar" id="{1280C4C8-0733-461C-A480-2722284C4FD1}">
            <x14:dataBar minLength="0" maxLength="100" border="1" negativeBarBorderColorSameAsPositive="0">
              <x14:cfvo type="autoMin"/>
              <x14:cfvo type="autoMax"/>
              <x14:borderColor rgb="FFFF555A"/>
              <x14:negativeFillColor rgb="FFFF0000"/>
              <x14:negativeBorderColor rgb="FFFF0000"/>
              <x14:axisColor rgb="FF000000"/>
            </x14:dataBar>
          </x14:cfRule>
          <xm:sqref>S9</xm:sqref>
        </x14:conditionalFormatting>
        <x14:conditionalFormatting xmlns:xm="http://schemas.microsoft.com/office/excel/2006/main">
          <x14:cfRule type="dataBar" id="{3450390F-8689-44B7-9973-247CDBF24CDF}">
            <x14:dataBar minLength="0" maxLength="100" border="1" negativeBarBorderColorSameAsPositive="0">
              <x14:cfvo type="autoMin"/>
              <x14:cfvo type="autoMax"/>
              <x14:borderColor rgb="FF638EC6"/>
              <x14:negativeFillColor rgb="FFFF0000"/>
              <x14:negativeBorderColor rgb="FFFF0000"/>
              <x14:axisColor rgb="FF000000"/>
            </x14:dataBar>
          </x14:cfRule>
          <xm:sqref>R9</xm:sqref>
        </x14:conditionalFormatting>
        <x14:conditionalFormatting xmlns:xm="http://schemas.microsoft.com/office/excel/2006/main">
          <x14:cfRule type="dataBar" id="{284A254A-0CF3-4A99-B3A1-488C12E037A8}">
            <x14:dataBar minLength="0" maxLength="100" border="1" negativeBarBorderColorSameAsPositive="0">
              <x14:cfvo type="autoMin"/>
              <x14:cfvo type="autoMax"/>
              <x14:borderColor rgb="FFFF555A"/>
              <x14:negativeFillColor rgb="FFFF0000"/>
              <x14:negativeBorderColor rgb="FFFF0000"/>
              <x14:axisColor rgb="FF000000"/>
            </x14:dataBar>
          </x14:cfRule>
          <xm:sqref>S10</xm:sqref>
        </x14:conditionalFormatting>
        <x14:conditionalFormatting xmlns:xm="http://schemas.microsoft.com/office/excel/2006/main">
          <x14:cfRule type="dataBar" id="{6476956C-2DD1-4846-8607-33E0E3238D88}">
            <x14:dataBar minLength="0" maxLength="100" border="1" negativeBarBorderColorSameAsPositive="0">
              <x14:cfvo type="autoMin"/>
              <x14:cfvo type="autoMax"/>
              <x14:borderColor rgb="FF638EC6"/>
              <x14:negativeFillColor rgb="FFFF0000"/>
              <x14:negativeBorderColor rgb="FFFF0000"/>
              <x14:axisColor rgb="FF000000"/>
            </x14:dataBar>
          </x14:cfRule>
          <xm:sqref>R10</xm:sqref>
        </x14:conditionalFormatting>
        <x14:conditionalFormatting xmlns:xm="http://schemas.microsoft.com/office/excel/2006/main">
          <x14:cfRule type="dataBar" id="{DFFA9691-9F7C-4FA9-B78C-F3EC3E1FD052}">
            <x14:dataBar minLength="0" maxLength="100" border="1" negativeBarBorderColorSameAsPositive="0">
              <x14:cfvo type="autoMin"/>
              <x14:cfvo type="autoMax"/>
              <x14:borderColor rgb="FFFF555A"/>
              <x14:negativeFillColor rgb="FFFF0000"/>
              <x14:negativeBorderColor rgb="FFFF0000"/>
              <x14:axisColor rgb="FF000000"/>
            </x14:dataBar>
          </x14:cfRule>
          <xm:sqref>S11</xm:sqref>
        </x14:conditionalFormatting>
        <x14:conditionalFormatting xmlns:xm="http://schemas.microsoft.com/office/excel/2006/main">
          <x14:cfRule type="dataBar" id="{07C5FE14-BDC7-4B42-9AAC-16BDCF72B4BF}">
            <x14:dataBar minLength="0" maxLength="100" border="1" negativeBarBorderColorSameAsPositive="0">
              <x14:cfvo type="autoMin"/>
              <x14:cfvo type="autoMax"/>
              <x14:borderColor rgb="FF638EC6"/>
              <x14:negativeFillColor rgb="FFFF0000"/>
              <x14:negativeBorderColor rgb="FFFF0000"/>
              <x14:axisColor rgb="FF000000"/>
            </x14:dataBar>
          </x14:cfRule>
          <xm:sqref>R11</xm:sqref>
        </x14:conditionalFormatting>
        <x14:conditionalFormatting xmlns:xm="http://schemas.microsoft.com/office/excel/2006/main">
          <x14:cfRule type="dataBar" id="{B29B456F-BBA8-48A1-BB56-FB97DCD091CF}">
            <x14:dataBar minLength="0" maxLength="100" border="1" negativeBarBorderColorSameAsPositive="0">
              <x14:cfvo type="autoMin"/>
              <x14:cfvo type="autoMax"/>
              <x14:borderColor rgb="FFFF555A"/>
              <x14:negativeFillColor rgb="FFFF0000"/>
              <x14:negativeBorderColor rgb="FFFF0000"/>
              <x14:axisColor rgb="FF000000"/>
            </x14:dataBar>
          </x14:cfRule>
          <xm:sqref>S12</xm:sqref>
        </x14:conditionalFormatting>
        <x14:conditionalFormatting xmlns:xm="http://schemas.microsoft.com/office/excel/2006/main">
          <x14:cfRule type="dataBar" id="{7A64A248-3681-463C-9D7A-8784A055B5DC}">
            <x14:dataBar minLength="0" maxLength="100" border="1" negativeBarBorderColorSameAsPositive="0">
              <x14:cfvo type="autoMin"/>
              <x14:cfvo type="autoMax"/>
              <x14:borderColor rgb="FF638EC6"/>
              <x14:negativeFillColor rgb="FFFF0000"/>
              <x14:negativeBorderColor rgb="FFFF0000"/>
              <x14:axisColor rgb="FF000000"/>
            </x14:dataBar>
          </x14:cfRule>
          <xm:sqref>R12</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CE5F5-4FE9-4C20-9473-5C9B28AE1CF2}">
  <sheetPr codeName="Sheet6">
    <tabColor rgb="FF92D050"/>
  </sheetPr>
  <dimension ref="B2:O24"/>
  <sheetViews>
    <sheetView workbookViewId="0">
      <selection activeCell="J7" sqref="J7"/>
    </sheetView>
  </sheetViews>
  <sheetFormatPr defaultRowHeight="15" x14ac:dyDescent="0.25"/>
  <cols>
    <col min="2" max="2" width="26.28515625" customWidth="1"/>
    <col min="3" max="3" width="36.28515625" customWidth="1"/>
    <col min="7" max="7" width="40.5703125" bestFit="1" customWidth="1"/>
    <col min="8" max="8" width="20.85546875" customWidth="1"/>
    <col min="9" max="9" width="34.140625" bestFit="1" customWidth="1"/>
    <col min="10" max="10" width="20.5703125" customWidth="1"/>
  </cols>
  <sheetData>
    <row r="2" spans="2:15" ht="15.75" thickBot="1" x14ac:dyDescent="0.3"/>
    <row r="3" spans="2:15" ht="33" customHeight="1" thickBot="1" x14ac:dyDescent="0.3">
      <c r="B3" s="31" t="s">
        <v>434</v>
      </c>
      <c r="C3" s="32">
        <v>391</v>
      </c>
      <c r="M3" s="90" t="s">
        <v>471</v>
      </c>
      <c r="N3" s="91"/>
      <c r="O3" s="92"/>
    </row>
    <row r="4" spans="2:15" x14ac:dyDescent="0.25">
      <c r="B4" s="33"/>
      <c r="C4" s="27"/>
      <c r="G4" t="s">
        <v>459</v>
      </c>
      <c r="H4" s="11" t="s">
        <v>460</v>
      </c>
    </row>
    <row r="5" spans="2:15" x14ac:dyDescent="0.25">
      <c r="B5" s="33" t="s">
        <v>0</v>
      </c>
      <c r="C5" s="27" t="str">
        <f>IFERROR(VLOOKUP($C$3, data, 2, FALSE), "Not Found")</f>
        <v>Rolex</v>
      </c>
      <c r="G5" t="s">
        <v>455</v>
      </c>
      <c r="H5" s="29">
        <v>70000</v>
      </c>
    </row>
    <row r="6" spans="2:15" x14ac:dyDescent="0.25">
      <c r="B6" s="33" t="s">
        <v>1</v>
      </c>
      <c r="C6" s="27" t="str">
        <f>IFERROR(VLOOKUP($C$3, data, 3, FALSE), "Not Found")</f>
        <v>Datejust Stainless Steel 36</v>
      </c>
      <c r="G6" t="s">
        <v>456</v>
      </c>
      <c r="H6" s="29">
        <v>10000</v>
      </c>
    </row>
    <row r="7" spans="2:15" x14ac:dyDescent="0.25">
      <c r="B7" s="33" t="s">
        <v>3</v>
      </c>
      <c r="C7" s="27" t="str">
        <f>IFERROR(VLOOKUP($C$3, data, 4, FALSE), "Not Found")</f>
        <v>Jubilee</v>
      </c>
      <c r="G7" t="s">
        <v>513</v>
      </c>
      <c r="H7" s="29">
        <v>10000</v>
      </c>
    </row>
    <row r="8" spans="2:15" x14ac:dyDescent="0.25">
      <c r="B8" s="33" t="s">
        <v>4</v>
      </c>
      <c r="C8" s="27" t="str">
        <f>IFERROR(VLOOKUP($C$3, data, 5, FALSE), "Not Found")</f>
        <v>Automatic</v>
      </c>
      <c r="G8" t="s">
        <v>457</v>
      </c>
      <c r="H8" s="29">
        <f>SUM(H5:H7)</f>
        <v>90000</v>
      </c>
    </row>
    <row r="9" spans="2:15" x14ac:dyDescent="0.25">
      <c r="B9" s="34" t="s">
        <v>5</v>
      </c>
      <c r="C9" s="27">
        <f>IFERROR(VLOOKUP($C$3, data, 6, FALSE), "Not Found")</f>
        <v>100</v>
      </c>
      <c r="G9" t="s">
        <v>458</v>
      </c>
      <c r="H9" s="29">
        <f>H8/12</f>
        <v>7500</v>
      </c>
    </row>
    <row r="10" spans="2:15" x14ac:dyDescent="0.25">
      <c r="B10" s="33" t="s">
        <v>6</v>
      </c>
      <c r="C10" s="27">
        <f>IFERROR(VLOOKUP($C$3, data, 7, FALSE), "Not Found")</f>
        <v>36</v>
      </c>
      <c r="H10" s="29"/>
    </row>
    <row r="11" spans="2:15" x14ac:dyDescent="0.25">
      <c r="B11" s="33" t="s">
        <v>7</v>
      </c>
      <c r="C11" s="27">
        <f>IFERROR(VLOOKUP($C$3, data, 8, FALSE), "Not Found")</f>
        <v>12</v>
      </c>
      <c r="G11" t="s">
        <v>511</v>
      </c>
      <c r="H11" s="29" t="s">
        <v>460</v>
      </c>
    </row>
    <row r="12" spans="2:15" x14ac:dyDescent="0.25">
      <c r="B12" s="33" t="s">
        <v>8</v>
      </c>
      <c r="C12" s="27">
        <f>IFERROR(VLOOKUP($C$3, data, 9, FALSE), "Not Found")</f>
        <v>20</v>
      </c>
      <c r="G12" t="s">
        <v>461</v>
      </c>
      <c r="H12" s="29">
        <v>500</v>
      </c>
    </row>
    <row r="13" spans="2:15" x14ac:dyDescent="0.25">
      <c r="B13" s="33" t="s">
        <v>9</v>
      </c>
      <c r="C13" s="27" t="str">
        <f>IFERROR(VLOOKUP($C$3, data, 10, FALSE), "Not Found")</f>
        <v>Silver</v>
      </c>
      <c r="G13" t="s">
        <v>462</v>
      </c>
      <c r="H13" s="29">
        <v>300</v>
      </c>
    </row>
    <row r="14" spans="2:15" x14ac:dyDescent="0.25">
      <c r="B14" s="33" t="s">
        <v>10</v>
      </c>
      <c r="C14" s="27" t="str">
        <f>IFERROR(VLOOKUP($C$3, data, 11, FALSE), "Not Found")</f>
        <v>Sapphire</v>
      </c>
      <c r="G14" t="s">
        <v>463</v>
      </c>
      <c r="H14" s="29">
        <v>500</v>
      </c>
    </row>
    <row r="15" spans="2:15" x14ac:dyDescent="0.25">
      <c r="B15" s="33" t="s">
        <v>11</v>
      </c>
      <c r="C15" s="27" t="str">
        <f>IFERROR(VLOOKUP($C$3, data, 12, FALSE), "Not Found")</f>
        <v>Date</v>
      </c>
      <c r="G15" t="s">
        <v>512</v>
      </c>
      <c r="H15" s="29">
        <v>200</v>
      </c>
    </row>
    <row r="16" spans="2:15" x14ac:dyDescent="0.25">
      <c r="B16" s="34" t="s">
        <v>12</v>
      </c>
      <c r="C16" s="27">
        <f>IFERROR(VLOOKUP($C$3, data, 13, FALSE), "Not Found")</f>
        <v>70</v>
      </c>
      <c r="G16" t="s">
        <v>464</v>
      </c>
      <c r="H16" s="29">
        <f>SUM(H12:H15)</f>
        <v>1500</v>
      </c>
    </row>
    <row r="17" spans="2:8" x14ac:dyDescent="0.25">
      <c r="B17" s="35" t="s">
        <v>13</v>
      </c>
      <c r="C17" s="36">
        <f>IFERROR(VLOOKUP($C$3, data, 14, FALSE), "Not Found")</f>
        <v>9000</v>
      </c>
      <c r="H17" s="29"/>
    </row>
    <row r="18" spans="2:8" ht="15.75" thickBot="1" x14ac:dyDescent="0.3">
      <c r="B18" s="37"/>
      <c r="C18" s="10"/>
      <c r="H18" s="29"/>
    </row>
    <row r="19" spans="2:8" x14ac:dyDescent="0.25">
      <c r="G19" t="s">
        <v>470</v>
      </c>
      <c r="H19" s="29" t="s">
        <v>460</v>
      </c>
    </row>
    <row r="20" spans="2:8" x14ac:dyDescent="0.25">
      <c r="G20" t="s">
        <v>465</v>
      </c>
      <c r="H20" s="29">
        <f>H9-H16</f>
        <v>6000</v>
      </c>
    </row>
    <row r="21" spans="2:8" x14ac:dyDescent="0.25">
      <c r="G21" t="s">
        <v>466</v>
      </c>
      <c r="H21" s="30">
        <v>0.2</v>
      </c>
    </row>
    <row r="22" spans="2:8" x14ac:dyDescent="0.25">
      <c r="G22" t="s">
        <v>467</v>
      </c>
      <c r="H22" s="29">
        <f>H20*H21</f>
        <v>1200</v>
      </c>
    </row>
    <row r="23" spans="2:8" x14ac:dyDescent="0.25">
      <c r="G23" t="s">
        <v>468</v>
      </c>
      <c r="H23" s="29">
        <f>C17</f>
        <v>9000</v>
      </c>
    </row>
    <row r="24" spans="2:8" x14ac:dyDescent="0.25">
      <c r="G24" t="s">
        <v>469</v>
      </c>
      <c r="H24" s="11">
        <f>ROUND(H23/H22,0)</f>
        <v>8</v>
      </c>
    </row>
  </sheetData>
  <scenarios current="2" show="2">
    <scenario name="10%" locked="1" count="1" user="Nguyen Nguyen" comment="Created by Nguyen Nguyen on 11/11/2023">
      <inputCells r="H21" val="0.1" numFmtId="9"/>
    </scenario>
    <scenario name="15%" locked="1" count="1" user="Nguyen Nguyen" comment="Created by Nguyen Nguyen on 11/11/2023">
      <inputCells r="H21" val="0.15" numFmtId="9"/>
    </scenario>
    <scenario name="20%" locked="1" count="1" user="Nguyen Nguyen" comment="Created by Nguyen Nguyen on 11/11/2023">
      <inputCells r="H21" val="0.2" numFmtId="9"/>
    </scenario>
  </scenarios>
  <mergeCells count="1">
    <mergeCell ref="M3:O3"/>
  </mergeCells>
  <dataValidations xWindow="1076" yWindow="509" count="3">
    <dataValidation type="whole" allowBlank="1" showInputMessage="1" showErrorMessage="1" errorTitle="Input Error!" error="Invalid Input! Please try again!" promptTitle="Enter Watch ID" prompt="Please Enter a valid Watch ID. Only whole number are allowed." sqref="C3" xr:uid="{6E7BDB7F-6BC8-4A42-8E89-CAE51F202269}">
      <formula1>1</formula1>
      <formula2>1000</formula2>
    </dataValidation>
    <dataValidation type="decimal" operator="greaterThan" showInputMessage="1" showErrorMessage="1" errorTitle="Input error!" error="Invalid Input!  Please try again!_x000a_" promptTitle="Enter your Salary and Expense:" prompt="Please enter your salary and expense information!" sqref="H5:H6 H12:H14" xr:uid="{99891B2E-3D99-4BC6-BC7B-D6D989573D27}">
      <formula1>0</formula1>
    </dataValidation>
    <dataValidation type="decimal" operator="greaterThan" allowBlank="1" showInputMessage="1" showErrorMessage="1" errorTitle="Input Error!" error="Invalid Input! Please try again!" promptTitle="Salary and Expense Information!" prompt="Please enter your salary and expense information!" sqref="H15 H7" xr:uid="{F7096D65-9318-4FA1-B944-F91B60A85801}">
      <formula1>0</formula1>
    </dataValidation>
  </dataValidations>
  <pageMargins left="0.7" right="0.7" top="0.75" bottom="0.75" header="0.3" footer="0.3"/>
  <drawing r:id="rId1"/>
  <tableParts count="3">
    <tablePart r:id="rId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06082-5701-4425-B0C7-9A4AC8CBDD99}">
  <sheetPr codeName="Sheet4" filterMode="1">
    <tabColor rgb="FF7030A0"/>
  </sheetPr>
  <dimension ref="A1:P572"/>
  <sheetViews>
    <sheetView workbookViewId="0">
      <selection activeCell="P155" sqref="P155:Q155"/>
    </sheetView>
  </sheetViews>
  <sheetFormatPr defaultRowHeight="15" x14ac:dyDescent="0.25"/>
  <cols>
    <col min="2" max="2" width="19.7109375" bestFit="1" customWidth="1"/>
    <col min="3" max="3" width="37.7109375" bestFit="1" customWidth="1"/>
    <col min="4" max="4" width="15.28515625" bestFit="1" customWidth="1"/>
    <col min="5" max="5" width="15.5703125" bestFit="1" customWidth="1"/>
    <col min="6" max="6" width="16.42578125" style="3" bestFit="1" customWidth="1"/>
    <col min="7" max="7" width="19.42578125" bestFit="1" customWidth="1"/>
    <col min="8" max="8" width="19.7109375" bestFit="1" customWidth="1"/>
    <col min="9" max="9" width="16.7109375" bestFit="1" customWidth="1"/>
    <col min="10" max="10" width="11.42578125" bestFit="1" customWidth="1"/>
    <col min="11" max="11" width="15" bestFit="1" customWidth="1"/>
    <col min="12" max="12" width="32" bestFit="1" customWidth="1"/>
    <col min="13" max="13" width="14.42578125" style="3" bestFit="1" customWidth="1"/>
    <col min="14" max="14" width="10.85546875" bestFit="1" customWidth="1"/>
    <col min="15" max="15" width="18.28515625" customWidth="1"/>
    <col min="16" max="16" width="12.5703125" bestFit="1" customWidth="1"/>
  </cols>
  <sheetData>
    <row r="1" spans="1:16" x14ac:dyDescent="0.25">
      <c r="A1" t="s">
        <v>434</v>
      </c>
      <c r="B1" t="s">
        <v>0</v>
      </c>
      <c r="C1" t="s">
        <v>1</v>
      </c>
      <c r="D1" t="s">
        <v>3</v>
      </c>
      <c r="E1" t="s">
        <v>4</v>
      </c>
      <c r="F1" s="3" t="s">
        <v>5</v>
      </c>
      <c r="G1" t="s">
        <v>6</v>
      </c>
      <c r="H1" t="s">
        <v>7</v>
      </c>
      <c r="I1" t="s">
        <v>8</v>
      </c>
      <c r="J1" t="s">
        <v>9</v>
      </c>
      <c r="K1" t="s">
        <v>10</v>
      </c>
      <c r="L1" t="s">
        <v>11</v>
      </c>
      <c r="M1" s="3" t="s">
        <v>12</v>
      </c>
      <c r="N1" s="2" t="s">
        <v>13</v>
      </c>
      <c r="O1" t="s">
        <v>438</v>
      </c>
      <c r="P1" t="s">
        <v>443</v>
      </c>
    </row>
    <row r="2" spans="1:16" hidden="1" x14ac:dyDescent="0.25">
      <c r="A2">
        <v>1</v>
      </c>
      <c r="B2" t="s">
        <v>244</v>
      </c>
      <c r="C2" t="s">
        <v>250</v>
      </c>
      <c r="D2" t="s">
        <v>32</v>
      </c>
      <c r="E2" t="s">
        <v>49</v>
      </c>
      <c r="F2" s="3">
        <v>30</v>
      </c>
      <c r="G2">
        <v>38.5</v>
      </c>
      <c r="H2">
        <v>7.8</v>
      </c>
      <c r="I2">
        <v>18</v>
      </c>
      <c r="J2" t="s">
        <v>44</v>
      </c>
      <c r="K2" t="s">
        <v>20</v>
      </c>
      <c r="L2" t="s">
        <v>45</v>
      </c>
      <c r="M2" s="3">
        <v>45</v>
      </c>
      <c r="N2" s="2">
        <v>23000</v>
      </c>
      <c r="O2" t="str">
        <f>IF($F2&lt;=100, "&lt;=100", IF($F2&lt;=200, "100-200", IF($F2&lt;=300, "200-300", IF($F2&lt;=500, "300-500", IF($F2&lt;1000, "500-1000", "1000+")))))</f>
        <v>&lt;=100</v>
      </c>
      <c r="P2" t="str">
        <f>IF(N2&lt;=1000, "&lt;= 1000$", IF(N2&lt;=2000, " &lt;=2000$", IF(N2&lt;=5000, "&lt;=5000$", IF(N2&lt;=10000, "&lt;= 10000$", IF(N2&lt;=20000, "&lt;= 20000$", IF(N2&lt;40000, "&lt;= 40000$", "40000$ +"))))))</f>
        <v>&lt;= 40000$</v>
      </c>
    </row>
    <row r="3" spans="1:16" hidden="1" x14ac:dyDescent="0.25">
      <c r="A3">
        <v>2</v>
      </c>
      <c r="B3" t="s">
        <v>244</v>
      </c>
      <c r="C3" t="s">
        <v>251</v>
      </c>
      <c r="D3" t="s">
        <v>32</v>
      </c>
      <c r="E3" t="s">
        <v>49</v>
      </c>
      <c r="F3" s="3">
        <v>30</v>
      </c>
      <c r="G3">
        <v>38.5</v>
      </c>
      <c r="H3">
        <v>7.8</v>
      </c>
      <c r="I3">
        <v>18</v>
      </c>
      <c r="J3" t="s">
        <v>44</v>
      </c>
      <c r="K3" t="s">
        <v>20</v>
      </c>
      <c r="L3" t="s">
        <v>45</v>
      </c>
      <c r="M3" s="3">
        <v>72</v>
      </c>
      <c r="N3" s="2">
        <v>23300</v>
      </c>
      <c r="O3" t="str">
        <f t="shared" ref="O3:O66" si="0">IF($F3&lt;=100, "&lt;=100", IF($F3&lt;=200, "100-200", IF($F3&lt;=300, "200-300", IF($F3&lt;=500, "300-500", IF($F3&lt;1000, "500-1000", "1000+")))))</f>
        <v>&lt;=100</v>
      </c>
      <c r="P3" t="str">
        <f t="shared" ref="P3:P66" si="1">IF(N3&lt;=1000, "&lt;= 1000$", IF(N3&lt;=2000, " &lt;=2000$", IF(N3&lt;=5000, "&lt;=5000$", IF(N3&lt;=10000, "&lt;= 10000$", IF(N3&lt;=20000, "&lt;= 20000$", IF(N3&lt;40000, "&lt;= 40000$", "40000$ +"))))))</f>
        <v>&lt;= 40000$</v>
      </c>
    </row>
    <row r="4" spans="1:16" hidden="1" x14ac:dyDescent="0.25">
      <c r="A4">
        <v>3</v>
      </c>
      <c r="B4" t="s">
        <v>244</v>
      </c>
      <c r="C4" t="s">
        <v>252</v>
      </c>
      <c r="D4" t="s">
        <v>32</v>
      </c>
      <c r="E4" t="s">
        <v>49</v>
      </c>
      <c r="F4" s="3">
        <v>30</v>
      </c>
      <c r="G4">
        <v>37</v>
      </c>
      <c r="H4">
        <v>7.5</v>
      </c>
      <c r="I4">
        <v>18</v>
      </c>
      <c r="J4" t="s">
        <v>44</v>
      </c>
      <c r="K4" t="s">
        <v>20</v>
      </c>
      <c r="L4" t="s">
        <v>45</v>
      </c>
      <c r="M4" s="3">
        <v>45</v>
      </c>
      <c r="N4" s="2">
        <v>17500</v>
      </c>
      <c r="O4" t="str">
        <f t="shared" si="0"/>
        <v>&lt;=100</v>
      </c>
      <c r="P4" t="str">
        <f t="shared" si="1"/>
        <v>&lt;= 20000$</v>
      </c>
    </row>
    <row r="5" spans="1:16" hidden="1" x14ac:dyDescent="0.25">
      <c r="A5">
        <v>4</v>
      </c>
      <c r="B5" t="s">
        <v>76</v>
      </c>
      <c r="C5" t="s">
        <v>253</v>
      </c>
      <c r="D5" t="s">
        <v>168</v>
      </c>
      <c r="E5" t="s">
        <v>17</v>
      </c>
      <c r="F5" s="3">
        <v>50</v>
      </c>
      <c r="G5">
        <v>41</v>
      </c>
      <c r="H5">
        <v>9.8000000000000007</v>
      </c>
      <c r="I5">
        <v>20</v>
      </c>
      <c r="J5" t="s">
        <v>28</v>
      </c>
      <c r="K5" t="s">
        <v>20</v>
      </c>
      <c r="L5" t="s">
        <v>21</v>
      </c>
      <c r="M5" s="3">
        <v>60</v>
      </c>
      <c r="N5" s="2">
        <v>55000</v>
      </c>
      <c r="O5" t="str">
        <f t="shared" si="0"/>
        <v>&lt;=100</v>
      </c>
      <c r="P5" t="str">
        <f t="shared" si="1"/>
        <v>40000$ +</v>
      </c>
    </row>
    <row r="6" spans="1:16" hidden="1" x14ac:dyDescent="0.25">
      <c r="A6">
        <v>5</v>
      </c>
      <c r="B6" t="s">
        <v>76</v>
      </c>
      <c r="C6" t="s">
        <v>254</v>
      </c>
      <c r="D6" t="s">
        <v>32</v>
      </c>
      <c r="E6" t="s">
        <v>17</v>
      </c>
      <c r="F6" s="3">
        <v>50</v>
      </c>
      <c r="G6">
        <v>37</v>
      </c>
      <c r="H6">
        <v>9.8000000000000007</v>
      </c>
      <c r="I6">
        <v>20</v>
      </c>
      <c r="J6" t="s">
        <v>19</v>
      </c>
      <c r="K6" t="s">
        <v>20</v>
      </c>
      <c r="L6" t="s">
        <v>21</v>
      </c>
      <c r="M6" s="3">
        <v>60</v>
      </c>
      <c r="N6" s="2">
        <v>38500</v>
      </c>
      <c r="O6" t="str">
        <f t="shared" si="0"/>
        <v>&lt;=100</v>
      </c>
      <c r="P6" t="str">
        <f t="shared" si="1"/>
        <v>&lt;= 40000$</v>
      </c>
    </row>
    <row r="7" spans="1:16" hidden="1" x14ac:dyDescent="0.25">
      <c r="A7">
        <v>6</v>
      </c>
      <c r="B7" t="s">
        <v>76</v>
      </c>
      <c r="C7" t="s">
        <v>254</v>
      </c>
      <c r="D7" t="s">
        <v>168</v>
      </c>
      <c r="E7" t="s">
        <v>17</v>
      </c>
      <c r="F7" s="3">
        <v>50</v>
      </c>
      <c r="G7">
        <v>37</v>
      </c>
      <c r="H7">
        <v>9.8000000000000007</v>
      </c>
      <c r="I7">
        <v>18</v>
      </c>
      <c r="J7" t="s">
        <v>28</v>
      </c>
      <c r="K7" t="s">
        <v>20</v>
      </c>
      <c r="L7" t="s">
        <v>45</v>
      </c>
      <c r="M7" s="3">
        <v>60</v>
      </c>
      <c r="N7" s="2">
        <v>36500</v>
      </c>
      <c r="O7" t="str">
        <f t="shared" si="0"/>
        <v>&lt;=100</v>
      </c>
      <c r="P7" t="str">
        <f t="shared" si="1"/>
        <v>&lt;= 40000$</v>
      </c>
    </row>
    <row r="8" spans="1:16" hidden="1" x14ac:dyDescent="0.25">
      <c r="A8">
        <v>7</v>
      </c>
      <c r="B8" t="s">
        <v>76</v>
      </c>
      <c r="C8" t="s">
        <v>255</v>
      </c>
      <c r="D8" t="s">
        <v>16</v>
      </c>
      <c r="E8" t="s">
        <v>17</v>
      </c>
      <c r="F8" s="3">
        <v>50</v>
      </c>
      <c r="G8">
        <v>41</v>
      </c>
      <c r="H8">
        <v>10.4</v>
      </c>
      <c r="I8">
        <v>20</v>
      </c>
      <c r="J8" t="s">
        <v>28</v>
      </c>
      <c r="K8" t="s">
        <v>20</v>
      </c>
      <c r="L8" t="s">
        <v>21</v>
      </c>
      <c r="M8" s="3">
        <v>60</v>
      </c>
      <c r="N8" s="2">
        <v>28500</v>
      </c>
      <c r="O8" t="str">
        <f t="shared" si="0"/>
        <v>&lt;=100</v>
      </c>
      <c r="P8" t="str">
        <f t="shared" si="1"/>
        <v>&lt;= 40000$</v>
      </c>
    </row>
    <row r="9" spans="1:16" hidden="1" x14ac:dyDescent="0.25">
      <c r="A9">
        <v>8</v>
      </c>
      <c r="B9" t="s">
        <v>76</v>
      </c>
      <c r="C9" t="s">
        <v>255</v>
      </c>
      <c r="D9" t="s">
        <v>16</v>
      </c>
      <c r="E9" t="s">
        <v>17</v>
      </c>
      <c r="F9" s="3">
        <v>50</v>
      </c>
      <c r="G9">
        <v>41</v>
      </c>
      <c r="H9">
        <v>10.4</v>
      </c>
      <c r="I9">
        <v>20</v>
      </c>
      <c r="J9" t="s">
        <v>28</v>
      </c>
      <c r="K9" t="s">
        <v>20</v>
      </c>
      <c r="L9" t="s">
        <v>21</v>
      </c>
      <c r="M9" s="3">
        <v>60</v>
      </c>
      <c r="N9" s="2">
        <v>28500</v>
      </c>
      <c r="O9" t="str">
        <f t="shared" si="0"/>
        <v>&lt;=100</v>
      </c>
      <c r="P9" t="str">
        <f t="shared" si="1"/>
        <v>&lt;= 40000$</v>
      </c>
    </row>
    <row r="10" spans="1:16" hidden="1" x14ac:dyDescent="0.25">
      <c r="A10">
        <v>9</v>
      </c>
      <c r="B10" t="s">
        <v>76</v>
      </c>
      <c r="C10" t="s">
        <v>255</v>
      </c>
      <c r="D10" t="s">
        <v>16</v>
      </c>
      <c r="E10" t="s">
        <v>17</v>
      </c>
      <c r="F10" s="3">
        <v>50</v>
      </c>
      <c r="G10">
        <v>41</v>
      </c>
      <c r="H10">
        <v>10.4</v>
      </c>
      <c r="I10">
        <v>20</v>
      </c>
      <c r="J10" t="s">
        <v>28</v>
      </c>
      <c r="K10" t="s">
        <v>20</v>
      </c>
      <c r="L10" t="s">
        <v>21</v>
      </c>
      <c r="M10" s="3">
        <v>60</v>
      </c>
      <c r="N10" s="2">
        <v>27000</v>
      </c>
      <c r="O10" t="str">
        <f t="shared" si="0"/>
        <v>&lt;=100</v>
      </c>
      <c r="P10" t="str">
        <f t="shared" si="1"/>
        <v>&lt;= 40000$</v>
      </c>
    </row>
    <row r="11" spans="1:16" hidden="1" x14ac:dyDescent="0.25">
      <c r="A11">
        <v>10</v>
      </c>
      <c r="B11" t="s">
        <v>76</v>
      </c>
      <c r="C11" t="s">
        <v>255</v>
      </c>
      <c r="D11" t="s">
        <v>16</v>
      </c>
      <c r="E11" t="s">
        <v>17</v>
      </c>
      <c r="F11" s="3">
        <v>50</v>
      </c>
      <c r="G11">
        <v>41</v>
      </c>
      <c r="H11">
        <v>10.4</v>
      </c>
      <c r="I11">
        <v>20</v>
      </c>
      <c r="J11" t="s">
        <v>28</v>
      </c>
      <c r="K11" t="s">
        <v>20</v>
      </c>
      <c r="L11" t="s">
        <v>21</v>
      </c>
      <c r="M11" s="3">
        <v>60</v>
      </c>
      <c r="N11" s="2">
        <v>26000</v>
      </c>
      <c r="O11" t="str">
        <f t="shared" si="0"/>
        <v>&lt;=100</v>
      </c>
      <c r="P11" t="str">
        <f t="shared" si="1"/>
        <v>&lt;= 40000$</v>
      </c>
    </row>
    <row r="12" spans="1:16" hidden="1" x14ac:dyDescent="0.25">
      <c r="A12">
        <v>11</v>
      </c>
      <c r="B12" t="s">
        <v>76</v>
      </c>
      <c r="C12" t="s">
        <v>255</v>
      </c>
      <c r="D12" t="s">
        <v>16</v>
      </c>
      <c r="E12" t="s">
        <v>17</v>
      </c>
      <c r="F12" s="3">
        <v>50</v>
      </c>
      <c r="G12">
        <v>41</v>
      </c>
      <c r="H12">
        <v>9.8000000000000007</v>
      </c>
      <c r="I12">
        <v>20</v>
      </c>
      <c r="J12" t="s">
        <v>28</v>
      </c>
      <c r="K12" t="s">
        <v>20</v>
      </c>
      <c r="L12" t="s">
        <v>21</v>
      </c>
      <c r="M12" s="3">
        <v>60</v>
      </c>
      <c r="N12" s="2">
        <v>25000</v>
      </c>
      <c r="O12" t="str">
        <f t="shared" si="0"/>
        <v>&lt;=100</v>
      </c>
      <c r="P12" t="str">
        <f t="shared" si="1"/>
        <v>&lt;= 40000$</v>
      </c>
    </row>
    <row r="13" spans="1:16" hidden="1" x14ac:dyDescent="0.25">
      <c r="A13">
        <v>12</v>
      </c>
      <c r="B13" t="s">
        <v>76</v>
      </c>
      <c r="C13" t="s">
        <v>255</v>
      </c>
      <c r="D13" t="s">
        <v>16</v>
      </c>
      <c r="E13" t="s">
        <v>17</v>
      </c>
      <c r="F13" s="3">
        <v>50</v>
      </c>
      <c r="G13">
        <v>41</v>
      </c>
      <c r="H13">
        <v>10.4</v>
      </c>
      <c r="I13">
        <v>20</v>
      </c>
      <c r="J13" t="s">
        <v>28</v>
      </c>
      <c r="K13" t="s">
        <v>20</v>
      </c>
      <c r="L13" t="s">
        <v>222</v>
      </c>
      <c r="M13" s="3">
        <v>60</v>
      </c>
      <c r="N13" s="2">
        <v>25000</v>
      </c>
      <c r="O13" t="str">
        <f t="shared" si="0"/>
        <v>&lt;=100</v>
      </c>
      <c r="P13" t="str">
        <f t="shared" si="1"/>
        <v>&lt;= 40000$</v>
      </c>
    </row>
    <row r="14" spans="1:16" hidden="1" x14ac:dyDescent="0.25">
      <c r="A14">
        <v>13</v>
      </c>
      <c r="B14" t="s">
        <v>76</v>
      </c>
      <c r="C14" t="s">
        <v>255</v>
      </c>
      <c r="D14" t="s">
        <v>16</v>
      </c>
      <c r="E14" t="s">
        <v>17</v>
      </c>
      <c r="F14" s="3">
        <v>50</v>
      </c>
      <c r="G14">
        <v>41</v>
      </c>
      <c r="H14">
        <v>9.8000000000000007</v>
      </c>
      <c r="I14">
        <v>20</v>
      </c>
      <c r="J14" t="s">
        <v>28</v>
      </c>
      <c r="K14" t="s">
        <v>20</v>
      </c>
      <c r="L14" t="s">
        <v>169</v>
      </c>
      <c r="M14" s="3">
        <v>60</v>
      </c>
      <c r="N14" s="2">
        <v>25000</v>
      </c>
      <c r="O14" t="str">
        <f t="shared" si="0"/>
        <v>&lt;=100</v>
      </c>
      <c r="P14" t="str">
        <f t="shared" si="1"/>
        <v>&lt;= 40000$</v>
      </c>
    </row>
    <row r="15" spans="1:16" hidden="1" x14ac:dyDescent="0.25">
      <c r="A15">
        <v>14</v>
      </c>
      <c r="B15" t="s">
        <v>76</v>
      </c>
      <c r="C15" t="s">
        <v>255</v>
      </c>
      <c r="D15" t="s">
        <v>16</v>
      </c>
      <c r="E15" t="s">
        <v>17</v>
      </c>
      <c r="F15" s="3">
        <v>50</v>
      </c>
      <c r="G15">
        <v>41</v>
      </c>
      <c r="H15">
        <v>10.4</v>
      </c>
      <c r="I15">
        <v>20</v>
      </c>
      <c r="J15" t="s">
        <v>28</v>
      </c>
      <c r="K15" t="s">
        <v>20</v>
      </c>
      <c r="L15" t="s">
        <v>21</v>
      </c>
      <c r="M15" s="3">
        <v>60</v>
      </c>
      <c r="N15" s="2">
        <v>24800</v>
      </c>
      <c r="O15" t="str">
        <f t="shared" si="0"/>
        <v>&lt;=100</v>
      </c>
      <c r="P15" t="str">
        <f t="shared" si="1"/>
        <v>&lt;= 40000$</v>
      </c>
    </row>
    <row r="16" spans="1:16" hidden="1" x14ac:dyDescent="0.25">
      <c r="A16">
        <v>15</v>
      </c>
      <c r="B16" t="s">
        <v>76</v>
      </c>
      <c r="C16" t="s">
        <v>255</v>
      </c>
      <c r="D16" t="s">
        <v>16</v>
      </c>
      <c r="E16" t="s">
        <v>17</v>
      </c>
      <c r="F16" s="3">
        <v>50</v>
      </c>
      <c r="G16">
        <v>41</v>
      </c>
      <c r="H16">
        <v>9.8000000000000007</v>
      </c>
      <c r="I16">
        <v>20</v>
      </c>
      <c r="J16" t="s">
        <v>28</v>
      </c>
      <c r="K16" t="s">
        <v>20</v>
      </c>
      <c r="L16" t="s">
        <v>21</v>
      </c>
      <c r="M16" s="3">
        <v>60</v>
      </c>
      <c r="N16" s="2">
        <v>24500</v>
      </c>
      <c r="O16" t="str">
        <f t="shared" si="0"/>
        <v>&lt;=100</v>
      </c>
      <c r="P16" t="str">
        <f t="shared" si="1"/>
        <v>&lt;= 40000$</v>
      </c>
    </row>
    <row r="17" spans="1:16" hidden="1" x14ac:dyDescent="0.25">
      <c r="A17">
        <v>16</v>
      </c>
      <c r="B17" t="s">
        <v>76</v>
      </c>
      <c r="C17" t="s">
        <v>255</v>
      </c>
      <c r="D17" t="s">
        <v>16</v>
      </c>
      <c r="E17" t="s">
        <v>17</v>
      </c>
      <c r="F17" s="3">
        <v>50</v>
      </c>
      <c r="G17">
        <v>41</v>
      </c>
      <c r="H17">
        <v>9.8000000000000007</v>
      </c>
      <c r="I17">
        <v>20</v>
      </c>
      <c r="J17" t="s">
        <v>28</v>
      </c>
      <c r="K17" t="s">
        <v>20</v>
      </c>
      <c r="L17" t="s">
        <v>21</v>
      </c>
      <c r="M17" s="3">
        <v>60</v>
      </c>
      <c r="N17" s="2">
        <v>24500</v>
      </c>
      <c r="O17" t="str">
        <f t="shared" si="0"/>
        <v>&lt;=100</v>
      </c>
      <c r="P17" t="str">
        <f t="shared" si="1"/>
        <v>&lt;= 40000$</v>
      </c>
    </row>
    <row r="18" spans="1:16" hidden="1" x14ac:dyDescent="0.25">
      <c r="A18">
        <v>17</v>
      </c>
      <c r="B18" t="s">
        <v>76</v>
      </c>
      <c r="C18" t="s">
        <v>255</v>
      </c>
      <c r="D18" t="s">
        <v>16</v>
      </c>
      <c r="E18" t="s">
        <v>17</v>
      </c>
      <c r="F18" s="3">
        <v>50</v>
      </c>
      <c r="G18">
        <v>41</v>
      </c>
      <c r="H18">
        <v>10.4</v>
      </c>
      <c r="I18">
        <v>20</v>
      </c>
      <c r="J18" t="s">
        <v>19</v>
      </c>
      <c r="K18" t="s">
        <v>20</v>
      </c>
      <c r="L18" t="s">
        <v>21</v>
      </c>
      <c r="M18" s="3">
        <v>60</v>
      </c>
      <c r="N18" s="2">
        <v>24000</v>
      </c>
      <c r="O18" t="str">
        <f t="shared" si="0"/>
        <v>&lt;=100</v>
      </c>
      <c r="P18" t="str">
        <f t="shared" si="1"/>
        <v>&lt;= 40000$</v>
      </c>
    </row>
    <row r="19" spans="1:16" hidden="1" x14ac:dyDescent="0.25">
      <c r="A19">
        <v>18</v>
      </c>
      <c r="B19" t="s">
        <v>76</v>
      </c>
      <c r="C19" t="s">
        <v>255</v>
      </c>
      <c r="D19" t="s">
        <v>16</v>
      </c>
      <c r="E19" t="s">
        <v>17</v>
      </c>
      <c r="F19" s="3">
        <v>50</v>
      </c>
      <c r="G19">
        <v>41</v>
      </c>
      <c r="H19">
        <v>9.8000000000000007</v>
      </c>
      <c r="I19">
        <v>20</v>
      </c>
      <c r="J19" t="s">
        <v>19</v>
      </c>
      <c r="K19" t="s">
        <v>20</v>
      </c>
      <c r="L19" t="s">
        <v>21</v>
      </c>
      <c r="M19" s="3">
        <v>60</v>
      </c>
      <c r="N19" s="2">
        <v>23100</v>
      </c>
      <c r="O19" t="str">
        <f t="shared" si="0"/>
        <v>&lt;=100</v>
      </c>
      <c r="P19" t="str">
        <f t="shared" si="1"/>
        <v>&lt;= 40000$</v>
      </c>
    </row>
    <row r="20" spans="1:16" hidden="1" x14ac:dyDescent="0.25">
      <c r="A20">
        <v>19</v>
      </c>
      <c r="B20" t="s">
        <v>76</v>
      </c>
      <c r="C20" t="s">
        <v>255</v>
      </c>
      <c r="D20" t="s">
        <v>16</v>
      </c>
      <c r="E20" t="s">
        <v>17</v>
      </c>
      <c r="F20" s="3">
        <v>50</v>
      </c>
      <c r="G20">
        <v>41</v>
      </c>
      <c r="H20">
        <v>9.8000000000000007</v>
      </c>
      <c r="I20">
        <v>20</v>
      </c>
      <c r="J20" t="s">
        <v>19</v>
      </c>
      <c r="K20" t="s">
        <v>20</v>
      </c>
      <c r="L20" t="s">
        <v>21</v>
      </c>
      <c r="M20" s="3">
        <v>60</v>
      </c>
      <c r="N20" s="2">
        <v>22500</v>
      </c>
      <c r="O20" t="str">
        <f t="shared" si="0"/>
        <v>&lt;=100</v>
      </c>
      <c r="P20" t="str">
        <f t="shared" si="1"/>
        <v>&lt;= 40000$</v>
      </c>
    </row>
    <row r="21" spans="1:16" hidden="1" x14ac:dyDescent="0.25">
      <c r="A21">
        <v>20</v>
      </c>
      <c r="B21" t="s">
        <v>76</v>
      </c>
      <c r="C21" t="s">
        <v>255</v>
      </c>
      <c r="D21" t="s">
        <v>16</v>
      </c>
      <c r="E21" t="s">
        <v>17</v>
      </c>
      <c r="F21" s="3">
        <v>50</v>
      </c>
      <c r="G21">
        <v>41</v>
      </c>
      <c r="H21">
        <v>9.8000000000000007</v>
      </c>
      <c r="I21">
        <v>20</v>
      </c>
      <c r="J21" t="s">
        <v>28</v>
      </c>
      <c r="K21" t="s">
        <v>20</v>
      </c>
      <c r="L21" t="s">
        <v>148</v>
      </c>
      <c r="M21" s="3">
        <v>50</v>
      </c>
      <c r="N21" s="2">
        <v>22300</v>
      </c>
      <c r="O21" t="str">
        <f t="shared" si="0"/>
        <v>&lt;=100</v>
      </c>
      <c r="P21" t="str">
        <f t="shared" si="1"/>
        <v>&lt;= 40000$</v>
      </c>
    </row>
    <row r="22" spans="1:16" hidden="1" x14ac:dyDescent="0.25">
      <c r="A22">
        <v>21</v>
      </c>
      <c r="B22" t="s">
        <v>76</v>
      </c>
      <c r="C22" t="s">
        <v>255</v>
      </c>
      <c r="D22" t="s">
        <v>16</v>
      </c>
      <c r="E22" t="s">
        <v>17</v>
      </c>
      <c r="F22" s="3">
        <v>50</v>
      </c>
      <c r="G22">
        <v>41</v>
      </c>
      <c r="H22">
        <v>9.8000000000000007</v>
      </c>
      <c r="I22">
        <v>20</v>
      </c>
      <c r="J22" t="s">
        <v>44</v>
      </c>
      <c r="K22" t="s">
        <v>20</v>
      </c>
      <c r="L22" t="s">
        <v>21</v>
      </c>
      <c r="M22" s="3">
        <v>60</v>
      </c>
      <c r="N22" s="2">
        <v>22000</v>
      </c>
      <c r="O22" t="str">
        <f t="shared" si="0"/>
        <v>&lt;=100</v>
      </c>
      <c r="P22" t="str">
        <f t="shared" si="1"/>
        <v>&lt;= 40000$</v>
      </c>
    </row>
    <row r="23" spans="1:16" hidden="1" x14ac:dyDescent="0.25">
      <c r="A23">
        <v>22</v>
      </c>
      <c r="B23" t="s">
        <v>76</v>
      </c>
      <c r="C23" t="s">
        <v>255</v>
      </c>
      <c r="D23" t="s">
        <v>16</v>
      </c>
      <c r="E23" t="s">
        <v>17</v>
      </c>
      <c r="F23" s="3">
        <v>50</v>
      </c>
      <c r="G23">
        <v>41</v>
      </c>
      <c r="H23">
        <v>9.8000000000000007</v>
      </c>
      <c r="I23">
        <v>20</v>
      </c>
      <c r="J23" t="s">
        <v>28</v>
      </c>
      <c r="K23" t="s">
        <v>20</v>
      </c>
      <c r="L23" t="s">
        <v>21</v>
      </c>
      <c r="M23" s="3">
        <v>60</v>
      </c>
      <c r="N23" s="2">
        <v>22000</v>
      </c>
      <c r="O23" t="str">
        <f t="shared" si="0"/>
        <v>&lt;=100</v>
      </c>
      <c r="P23" t="str">
        <f t="shared" si="1"/>
        <v>&lt;= 40000$</v>
      </c>
    </row>
    <row r="24" spans="1:16" hidden="1" x14ac:dyDescent="0.25">
      <c r="A24">
        <v>23</v>
      </c>
      <c r="B24" t="s">
        <v>76</v>
      </c>
      <c r="C24" t="s">
        <v>255</v>
      </c>
      <c r="D24" t="s">
        <v>16</v>
      </c>
      <c r="E24" t="s">
        <v>17</v>
      </c>
      <c r="F24" s="3">
        <v>50</v>
      </c>
      <c r="G24">
        <v>41</v>
      </c>
      <c r="H24">
        <v>9.8000000000000007</v>
      </c>
      <c r="I24">
        <v>20</v>
      </c>
      <c r="J24" t="s">
        <v>19</v>
      </c>
      <c r="K24" t="s">
        <v>20</v>
      </c>
      <c r="L24" t="s">
        <v>21</v>
      </c>
      <c r="M24" s="3">
        <v>60</v>
      </c>
      <c r="N24" s="2">
        <v>22000</v>
      </c>
      <c r="O24" t="str">
        <f t="shared" si="0"/>
        <v>&lt;=100</v>
      </c>
      <c r="P24" t="str">
        <f t="shared" si="1"/>
        <v>&lt;= 40000$</v>
      </c>
    </row>
    <row r="25" spans="1:16" hidden="1" x14ac:dyDescent="0.25">
      <c r="A25">
        <v>24</v>
      </c>
      <c r="B25" t="s">
        <v>76</v>
      </c>
      <c r="C25" t="s">
        <v>255</v>
      </c>
      <c r="D25" t="s">
        <v>16</v>
      </c>
      <c r="E25" t="s">
        <v>17</v>
      </c>
      <c r="F25" s="3">
        <v>50</v>
      </c>
      <c r="G25">
        <v>41</v>
      </c>
      <c r="H25">
        <v>9.8000000000000007</v>
      </c>
      <c r="I25">
        <v>20</v>
      </c>
      <c r="J25" t="s">
        <v>28</v>
      </c>
      <c r="K25" t="s">
        <v>20</v>
      </c>
      <c r="L25" t="s">
        <v>21</v>
      </c>
      <c r="M25" s="3">
        <v>60</v>
      </c>
      <c r="N25" s="2">
        <v>22000</v>
      </c>
      <c r="O25" t="str">
        <f t="shared" si="0"/>
        <v>&lt;=100</v>
      </c>
      <c r="P25" t="str">
        <f t="shared" si="1"/>
        <v>&lt;= 40000$</v>
      </c>
    </row>
    <row r="26" spans="1:16" hidden="1" x14ac:dyDescent="0.25">
      <c r="A26">
        <v>25</v>
      </c>
      <c r="B26" t="s">
        <v>76</v>
      </c>
      <c r="C26" t="s">
        <v>255</v>
      </c>
      <c r="D26" t="s">
        <v>16</v>
      </c>
      <c r="E26" t="s">
        <v>17</v>
      </c>
      <c r="F26" s="3">
        <v>50</v>
      </c>
      <c r="G26">
        <v>41</v>
      </c>
      <c r="H26">
        <v>10.4</v>
      </c>
      <c r="I26">
        <v>20</v>
      </c>
      <c r="J26" t="s">
        <v>19</v>
      </c>
      <c r="K26" t="s">
        <v>20</v>
      </c>
      <c r="L26" t="s">
        <v>21</v>
      </c>
      <c r="M26" s="3">
        <v>60</v>
      </c>
      <c r="N26" s="2">
        <v>22000</v>
      </c>
      <c r="O26" t="str">
        <f t="shared" si="0"/>
        <v>&lt;=100</v>
      </c>
      <c r="P26" t="str">
        <f t="shared" si="1"/>
        <v>&lt;= 40000$</v>
      </c>
    </row>
    <row r="27" spans="1:16" hidden="1" x14ac:dyDescent="0.25">
      <c r="A27">
        <v>26</v>
      </c>
      <c r="B27" t="s">
        <v>76</v>
      </c>
      <c r="C27" t="s">
        <v>255</v>
      </c>
      <c r="D27" t="s">
        <v>16</v>
      </c>
      <c r="E27" t="s">
        <v>17</v>
      </c>
      <c r="F27" s="3">
        <v>50</v>
      </c>
      <c r="G27">
        <v>41</v>
      </c>
      <c r="H27">
        <v>9.8000000000000007</v>
      </c>
      <c r="I27">
        <v>20</v>
      </c>
      <c r="J27" t="s">
        <v>19</v>
      </c>
      <c r="K27" t="s">
        <v>20</v>
      </c>
      <c r="L27" t="s">
        <v>21</v>
      </c>
      <c r="M27" s="3">
        <v>60</v>
      </c>
      <c r="N27" s="2">
        <v>22000</v>
      </c>
      <c r="O27" t="str">
        <f t="shared" si="0"/>
        <v>&lt;=100</v>
      </c>
      <c r="P27" t="str">
        <f t="shared" si="1"/>
        <v>&lt;= 40000$</v>
      </c>
    </row>
    <row r="28" spans="1:16" hidden="1" x14ac:dyDescent="0.25">
      <c r="A28">
        <v>27</v>
      </c>
      <c r="B28" t="s">
        <v>76</v>
      </c>
      <c r="C28" t="s">
        <v>255</v>
      </c>
      <c r="D28" t="s">
        <v>16</v>
      </c>
      <c r="E28" t="s">
        <v>17</v>
      </c>
      <c r="F28" s="3">
        <v>50</v>
      </c>
      <c r="G28">
        <v>41</v>
      </c>
      <c r="H28">
        <v>10.4</v>
      </c>
      <c r="I28">
        <v>20</v>
      </c>
      <c r="J28" t="s">
        <v>19</v>
      </c>
      <c r="K28" t="s">
        <v>20</v>
      </c>
      <c r="L28" t="s">
        <v>21</v>
      </c>
      <c r="M28" s="3">
        <v>60</v>
      </c>
      <c r="N28" s="2">
        <v>21000</v>
      </c>
      <c r="O28" t="str">
        <f t="shared" si="0"/>
        <v>&lt;=100</v>
      </c>
      <c r="P28" t="str">
        <f t="shared" si="1"/>
        <v>&lt;= 40000$</v>
      </c>
    </row>
    <row r="29" spans="1:16" hidden="1" x14ac:dyDescent="0.25">
      <c r="A29">
        <v>28</v>
      </c>
      <c r="B29" t="s">
        <v>76</v>
      </c>
      <c r="C29" t="s">
        <v>255</v>
      </c>
      <c r="D29" t="s">
        <v>16</v>
      </c>
      <c r="E29" t="s">
        <v>17</v>
      </c>
      <c r="F29" s="3">
        <v>50</v>
      </c>
      <c r="G29">
        <v>41</v>
      </c>
      <c r="H29">
        <v>10.4</v>
      </c>
      <c r="I29">
        <v>20</v>
      </c>
      <c r="J29" t="s">
        <v>44</v>
      </c>
      <c r="K29" t="s">
        <v>20</v>
      </c>
      <c r="L29" t="s">
        <v>21</v>
      </c>
      <c r="M29" s="3">
        <v>60</v>
      </c>
      <c r="N29" s="2">
        <v>21000</v>
      </c>
      <c r="O29" t="str">
        <f t="shared" si="0"/>
        <v>&lt;=100</v>
      </c>
      <c r="P29" t="str">
        <f t="shared" si="1"/>
        <v>&lt;= 40000$</v>
      </c>
    </row>
    <row r="30" spans="1:16" hidden="1" x14ac:dyDescent="0.25">
      <c r="A30">
        <v>29</v>
      </c>
      <c r="B30" t="s">
        <v>76</v>
      </c>
      <c r="C30" t="s">
        <v>255</v>
      </c>
      <c r="D30" t="s">
        <v>16</v>
      </c>
      <c r="E30" t="s">
        <v>17</v>
      </c>
      <c r="F30" s="3">
        <v>50</v>
      </c>
      <c r="G30">
        <v>41</v>
      </c>
      <c r="H30">
        <v>10.4</v>
      </c>
      <c r="I30">
        <v>20</v>
      </c>
      <c r="J30" t="s">
        <v>28</v>
      </c>
      <c r="K30" t="s">
        <v>20</v>
      </c>
      <c r="L30" t="s">
        <v>21</v>
      </c>
      <c r="M30" s="3">
        <v>60</v>
      </c>
      <c r="N30" s="2">
        <v>20900</v>
      </c>
      <c r="O30" t="str">
        <f t="shared" si="0"/>
        <v>&lt;=100</v>
      </c>
      <c r="P30" t="str">
        <f t="shared" si="1"/>
        <v>&lt;= 40000$</v>
      </c>
    </row>
    <row r="31" spans="1:16" hidden="1" x14ac:dyDescent="0.25">
      <c r="A31">
        <v>30</v>
      </c>
      <c r="B31" t="s">
        <v>76</v>
      </c>
      <c r="C31" t="s">
        <v>255</v>
      </c>
      <c r="D31" t="s">
        <v>16</v>
      </c>
      <c r="E31" t="s">
        <v>17</v>
      </c>
      <c r="F31" s="3">
        <v>50</v>
      </c>
      <c r="G31">
        <v>41</v>
      </c>
      <c r="H31">
        <v>9.8000000000000007</v>
      </c>
      <c r="I31">
        <v>20</v>
      </c>
      <c r="J31" t="s">
        <v>28</v>
      </c>
      <c r="K31" t="s">
        <v>20</v>
      </c>
      <c r="L31" t="s">
        <v>21</v>
      </c>
      <c r="M31" s="3">
        <v>60</v>
      </c>
      <c r="N31" s="2">
        <v>20400</v>
      </c>
      <c r="O31" t="str">
        <f t="shared" si="0"/>
        <v>&lt;=100</v>
      </c>
      <c r="P31" t="str">
        <f t="shared" si="1"/>
        <v>&lt;= 40000$</v>
      </c>
    </row>
    <row r="32" spans="1:16" hidden="1" x14ac:dyDescent="0.25">
      <c r="A32">
        <v>31</v>
      </c>
      <c r="B32" t="s">
        <v>76</v>
      </c>
      <c r="C32" t="s">
        <v>255</v>
      </c>
      <c r="D32" t="s">
        <v>16</v>
      </c>
      <c r="E32" t="s">
        <v>17</v>
      </c>
      <c r="F32" s="3">
        <v>50</v>
      </c>
      <c r="G32">
        <v>41</v>
      </c>
      <c r="H32">
        <v>9.8000000000000007</v>
      </c>
      <c r="I32">
        <v>20</v>
      </c>
      <c r="J32" t="s">
        <v>28</v>
      </c>
      <c r="K32" t="s">
        <v>20</v>
      </c>
      <c r="L32" t="s">
        <v>21</v>
      </c>
      <c r="M32" s="3">
        <v>60</v>
      </c>
      <c r="N32" s="2">
        <v>20000</v>
      </c>
      <c r="O32" t="str">
        <f t="shared" si="0"/>
        <v>&lt;=100</v>
      </c>
      <c r="P32" t="str">
        <f t="shared" si="1"/>
        <v>&lt;= 20000$</v>
      </c>
    </row>
    <row r="33" spans="1:16" hidden="1" x14ac:dyDescent="0.25">
      <c r="A33">
        <v>32</v>
      </c>
      <c r="B33" t="s">
        <v>76</v>
      </c>
      <c r="C33" t="s">
        <v>255</v>
      </c>
      <c r="D33" t="s">
        <v>16</v>
      </c>
      <c r="E33" t="s">
        <v>17</v>
      </c>
      <c r="F33" s="3">
        <v>50</v>
      </c>
      <c r="G33">
        <v>41</v>
      </c>
      <c r="H33">
        <v>10.4</v>
      </c>
      <c r="I33">
        <v>20</v>
      </c>
      <c r="J33" t="s">
        <v>28</v>
      </c>
      <c r="K33" t="s">
        <v>20</v>
      </c>
      <c r="L33" t="s">
        <v>21</v>
      </c>
      <c r="M33" s="3">
        <v>60</v>
      </c>
      <c r="N33" s="2">
        <v>19900</v>
      </c>
      <c r="O33" t="str">
        <f t="shared" si="0"/>
        <v>&lt;=100</v>
      </c>
      <c r="P33" t="str">
        <f t="shared" si="1"/>
        <v>&lt;= 20000$</v>
      </c>
    </row>
    <row r="34" spans="1:16" hidden="1" x14ac:dyDescent="0.25">
      <c r="A34">
        <v>33</v>
      </c>
      <c r="B34" t="s">
        <v>76</v>
      </c>
      <c r="C34" t="s">
        <v>255</v>
      </c>
      <c r="D34" t="s">
        <v>16</v>
      </c>
      <c r="E34" t="s">
        <v>17</v>
      </c>
      <c r="F34" s="3">
        <v>50</v>
      </c>
      <c r="G34">
        <v>41</v>
      </c>
      <c r="H34">
        <v>9.5</v>
      </c>
      <c r="I34">
        <v>20</v>
      </c>
      <c r="J34" t="s">
        <v>19</v>
      </c>
      <c r="K34" t="s">
        <v>20</v>
      </c>
      <c r="L34" t="s">
        <v>21</v>
      </c>
      <c r="M34" s="3">
        <v>60</v>
      </c>
      <c r="N34" s="2">
        <v>19800</v>
      </c>
      <c r="O34" t="str">
        <f t="shared" si="0"/>
        <v>&lt;=100</v>
      </c>
      <c r="P34" t="str">
        <f t="shared" si="1"/>
        <v>&lt;= 20000$</v>
      </c>
    </row>
    <row r="35" spans="1:16" hidden="1" x14ac:dyDescent="0.25">
      <c r="A35">
        <v>34</v>
      </c>
      <c r="B35" t="s">
        <v>76</v>
      </c>
      <c r="C35" t="s">
        <v>256</v>
      </c>
      <c r="D35" t="s">
        <v>16</v>
      </c>
      <c r="E35" t="s">
        <v>17</v>
      </c>
      <c r="F35" s="3">
        <v>50</v>
      </c>
      <c r="G35">
        <v>37</v>
      </c>
      <c r="H35">
        <v>9.8000000000000007</v>
      </c>
      <c r="I35">
        <v>20</v>
      </c>
      <c r="J35" t="s">
        <v>28</v>
      </c>
      <c r="K35" t="s">
        <v>20</v>
      </c>
      <c r="L35" t="s">
        <v>21</v>
      </c>
      <c r="M35" s="3">
        <v>40</v>
      </c>
      <c r="N35" s="2">
        <v>19500</v>
      </c>
      <c r="O35" t="str">
        <f t="shared" si="0"/>
        <v>&lt;=100</v>
      </c>
      <c r="P35" t="str">
        <f t="shared" si="1"/>
        <v>&lt;= 20000$</v>
      </c>
    </row>
    <row r="36" spans="1:16" hidden="1" x14ac:dyDescent="0.25">
      <c r="A36">
        <v>35</v>
      </c>
      <c r="B36" t="s">
        <v>76</v>
      </c>
      <c r="C36" t="s">
        <v>255</v>
      </c>
      <c r="D36" t="s">
        <v>16</v>
      </c>
      <c r="E36" t="s">
        <v>17</v>
      </c>
      <c r="F36" s="3">
        <v>50</v>
      </c>
      <c r="G36">
        <v>41</v>
      </c>
      <c r="H36">
        <v>10.4</v>
      </c>
      <c r="I36">
        <v>20</v>
      </c>
      <c r="J36" t="s">
        <v>28</v>
      </c>
      <c r="K36" t="s">
        <v>20</v>
      </c>
      <c r="L36" t="s">
        <v>21</v>
      </c>
      <c r="M36" s="3">
        <v>60</v>
      </c>
      <c r="N36" s="2">
        <v>19500</v>
      </c>
      <c r="O36" t="str">
        <f t="shared" si="0"/>
        <v>&lt;=100</v>
      </c>
      <c r="P36" t="str">
        <f t="shared" si="1"/>
        <v>&lt;= 20000$</v>
      </c>
    </row>
    <row r="37" spans="1:16" hidden="1" x14ac:dyDescent="0.25">
      <c r="A37">
        <v>36</v>
      </c>
      <c r="B37" t="s">
        <v>76</v>
      </c>
      <c r="C37" t="s">
        <v>257</v>
      </c>
      <c r="D37" t="s">
        <v>16</v>
      </c>
      <c r="E37" t="s">
        <v>17</v>
      </c>
      <c r="F37" s="3">
        <v>50</v>
      </c>
      <c r="G37">
        <v>39</v>
      </c>
      <c r="H37">
        <v>9.4</v>
      </c>
      <c r="I37">
        <v>20</v>
      </c>
      <c r="J37" t="s">
        <v>28</v>
      </c>
      <c r="K37" t="s">
        <v>20</v>
      </c>
      <c r="L37" t="s">
        <v>147</v>
      </c>
      <c r="M37" s="3">
        <v>60</v>
      </c>
      <c r="N37" s="2">
        <v>18900</v>
      </c>
      <c r="O37" t="str">
        <f t="shared" si="0"/>
        <v>&lt;=100</v>
      </c>
      <c r="P37" t="str">
        <f t="shared" si="1"/>
        <v>&lt;= 20000$</v>
      </c>
    </row>
    <row r="38" spans="1:16" hidden="1" x14ac:dyDescent="0.25">
      <c r="A38">
        <v>37</v>
      </c>
      <c r="B38" t="s">
        <v>76</v>
      </c>
      <c r="C38" t="s">
        <v>255</v>
      </c>
      <c r="D38" t="s">
        <v>16</v>
      </c>
      <c r="E38" t="s">
        <v>17</v>
      </c>
      <c r="F38" s="3">
        <v>50</v>
      </c>
      <c r="G38">
        <v>41</v>
      </c>
      <c r="H38">
        <v>9.8000000000000007</v>
      </c>
      <c r="I38">
        <v>20</v>
      </c>
      <c r="J38" t="s">
        <v>28</v>
      </c>
      <c r="K38" t="s">
        <v>20</v>
      </c>
      <c r="L38" t="s">
        <v>21</v>
      </c>
      <c r="M38" s="3">
        <v>60</v>
      </c>
      <c r="N38" s="2">
        <v>18500</v>
      </c>
      <c r="O38" t="str">
        <f t="shared" si="0"/>
        <v>&lt;=100</v>
      </c>
      <c r="P38" t="str">
        <f t="shared" si="1"/>
        <v>&lt;= 20000$</v>
      </c>
    </row>
    <row r="39" spans="1:16" hidden="1" x14ac:dyDescent="0.25">
      <c r="A39">
        <v>38</v>
      </c>
      <c r="B39" t="s">
        <v>76</v>
      </c>
      <c r="C39" t="s">
        <v>256</v>
      </c>
      <c r="D39" t="s">
        <v>16</v>
      </c>
      <c r="E39" t="s">
        <v>17</v>
      </c>
      <c r="F39" s="3">
        <v>50</v>
      </c>
      <c r="G39">
        <v>37</v>
      </c>
      <c r="H39">
        <v>9</v>
      </c>
      <c r="I39">
        <v>16</v>
      </c>
      <c r="J39" t="s">
        <v>28</v>
      </c>
      <c r="K39" t="s">
        <v>20</v>
      </c>
      <c r="L39" t="s">
        <v>21</v>
      </c>
      <c r="M39" s="3">
        <v>60</v>
      </c>
      <c r="N39" s="2">
        <v>18000</v>
      </c>
      <c r="O39" t="str">
        <f t="shared" si="0"/>
        <v>&lt;=100</v>
      </c>
      <c r="P39" t="str">
        <f t="shared" si="1"/>
        <v>&lt;= 20000$</v>
      </c>
    </row>
    <row r="40" spans="1:16" hidden="1" x14ac:dyDescent="0.25">
      <c r="A40">
        <v>39</v>
      </c>
      <c r="B40" t="s">
        <v>76</v>
      </c>
      <c r="C40" t="s">
        <v>255</v>
      </c>
      <c r="D40" t="s">
        <v>16</v>
      </c>
      <c r="E40" t="s">
        <v>17</v>
      </c>
      <c r="F40" s="3">
        <v>50</v>
      </c>
      <c r="G40">
        <v>41</v>
      </c>
      <c r="H40">
        <v>10.4</v>
      </c>
      <c r="I40">
        <v>20</v>
      </c>
      <c r="J40" t="s">
        <v>19</v>
      </c>
      <c r="K40" t="s">
        <v>20</v>
      </c>
      <c r="L40" t="s">
        <v>21</v>
      </c>
      <c r="M40" s="3">
        <v>60</v>
      </c>
      <c r="N40" s="2">
        <v>17800</v>
      </c>
      <c r="O40" t="str">
        <f t="shared" si="0"/>
        <v>&lt;=100</v>
      </c>
      <c r="P40" t="str">
        <f t="shared" si="1"/>
        <v>&lt;= 20000$</v>
      </c>
    </row>
    <row r="41" spans="1:16" hidden="1" x14ac:dyDescent="0.25">
      <c r="A41">
        <v>40</v>
      </c>
      <c r="B41" t="s">
        <v>76</v>
      </c>
      <c r="C41" t="s">
        <v>255</v>
      </c>
      <c r="D41" t="s">
        <v>16</v>
      </c>
      <c r="E41" t="s">
        <v>17</v>
      </c>
      <c r="F41" s="3">
        <v>50</v>
      </c>
      <c r="G41">
        <v>41</v>
      </c>
      <c r="H41">
        <v>10.4</v>
      </c>
      <c r="I41">
        <v>20</v>
      </c>
      <c r="J41" t="s">
        <v>28</v>
      </c>
      <c r="K41" t="s">
        <v>20</v>
      </c>
      <c r="L41" t="s">
        <v>21</v>
      </c>
      <c r="M41" s="3">
        <v>60</v>
      </c>
      <c r="N41" s="2">
        <v>17000</v>
      </c>
      <c r="O41" t="str">
        <f t="shared" si="0"/>
        <v>&lt;=100</v>
      </c>
      <c r="P41" t="str">
        <f t="shared" si="1"/>
        <v>&lt;= 20000$</v>
      </c>
    </row>
    <row r="42" spans="1:16" hidden="1" x14ac:dyDescent="0.25">
      <c r="A42">
        <v>41</v>
      </c>
      <c r="B42" t="s">
        <v>76</v>
      </c>
      <c r="C42" t="s">
        <v>255</v>
      </c>
      <c r="D42" t="s">
        <v>16</v>
      </c>
      <c r="E42" t="s">
        <v>17</v>
      </c>
      <c r="F42" s="3">
        <v>50</v>
      </c>
      <c r="G42">
        <v>41</v>
      </c>
      <c r="H42">
        <v>10.4</v>
      </c>
      <c r="I42">
        <v>20</v>
      </c>
      <c r="J42" t="s">
        <v>248</v>
      </c>
      <c r="K42" t="s">
        <v>20</v>
      </c>
      <c r="L42" t="s">
        <v>21</v>
      </c>
      <c r="M42" s="3">
        <v>60</v>
      </c>
      <c r="N42" s="2">
        <v>17000</v>
      </c>
      <c r="O42" t="str">
        <f t="shared" si="0"/>
        <v>&lt;=100</v>
      </c>
      <c r="P42" t="str">
        <f t="shared" si="1"/>
        <v>&lt;= 20000$</v>
      </c>
    </row>
    <row r="43" spans="1:16" hidden="1" x14ac:dyDescent="0.25">
      <c r="A43">
        <v>42</v>
      </c>
      <c r="B43" t="s">
        <v>233</v>
      </c>
      <c r="C43" t="s">
        <v>258</v>
      </c>
      <c r="D43" t="s">
        <v>32</v>
      </c>
      <c r="E43" t="s">
        <v>17</v>
      </c>
      <c r="F43" s="3">
        <v>50</v>
      </c>
      <c r="G43">
        <v>40</v>
      </c>
      <c r="H43">
        <v>10.3</v>
      </c>
      <c r="I43">
        <v>20</v>
      </c>
      <c r="J43" t="s">
        <v>44</v>
      </c>
      <c r="K43" t="s">
        <v>20</v>
      </c>
      <c r="L43" t="s">
        <v>21</v>
      </c>
      <c r="M43" s="3">
        <v>120</v>
      </c>
      <c r="N43" s="2">
        <v>2750</v>
      </c>
      <c r="O43" t="str">
        <f t="shared" si="0"/>
        <v>&lt;=100</v>
      </c>
      <c r="P43" t="str">
        <f t="shared" si="1"/>
        <v>&lt;=5000$</v>
      </c>
    </row>
    <row r="44" spans="1:16" hidden="1" x14ac:dyDescent="0.25">
      <c r="A44">
        <v>43</v>
      </c>
      <c r="B44" t="s">
        <v>69</v>
      </c>
      <c r="C44" t="s">
        <v>259</v>
      </c>
      <c r="D44" t="s">
        <v>26</v>
      </c>
      <c r="E44" t="s">
        <v>17</v>
      </c>
      <c r="F44" s="3">
        <v>100</v>
      </c>
      <c r="G44">
        <v>42</v>
      </c>
      <c r="H44">
        <v>11.5</v>
      </c>
      <c r="I44">
        <v>24</v>
      </c>
      <c r="J44" t="s">
        <v>19</v>
      </c>
      <c r="K44" t="s">
        <v>20</v>
      </c>
      <c r="L44" t="s">
        <v>35</v>
      </c>
      <c r="M44" s="3">
        <v>42</v>
      </c>
      <c r="N44" s="2">
        <v>4500</v>
      </c>
      <c r="O44" t="str">
        <f t="shared" si="0"/>
        <v>&lt;=100</v>
      </c>
      <c r="P44" t="str">
        <f t="shared" si="1"/>
        <v>&lt;=5000$</v>
      </c>
    </row>
    <row r="45" spans="1:16" hidden="1" x14ac:dyDescent="0.25">
      <c r="A45">
        <v>44</v>
      </c>
      <c r="B45" t="s">
        <v>69</v>
      </c>
      <c r="C45" t="s">
        <v>260</v>
      </c>
      <c r="D45" t="s">
        <v>26</v>
      </c>
      <c r="E45" t="s">
        <v>17</v>
      </c>
      <c r="F45" s="3">
        <v>100</v>
      </c>
      <c r="G45">
        <v>42</v>
      </c>
      <c r="H45">
        <v>9.8000000000000007</v>
      </c>
      <c r="I45">
        <v>24</v>
      </c>
      <c r="J45" t="s">
        <v>19</v>
      </c>
      <c r="K45" t="s">
        <v>20</v>
      </c>
      <c r="L45" t="s">
        <v>45</v>
      </c>
      <c r="M45" s="3">
        <v>40</v>
      </c>
      <c r="N45" s="2">
        <v>3800</v>
      </c>
      <c r="O45" t="str">
        <f t="shared" si="0"/>
        <v>&lt;=100</v>
      </c>
      <c r="P45" t="str">
        <f t="shared" si="1"/>
        <v>&lt;=5000$</v>
      </c>
    </row>
    <row r="46" spans="1:16" hidden="1" x14ac:dyDescent="0.25">
      <c r="A46">
        <v>45</v>
      </c>
      <c r="B46" t="s">
        <v>69</v>
      </c>
      <c r="C46" t="s">
        <v>261</v>
      </c>
      <c r="D46" t="s">
        <v>26</v>
      </c>
      <c r="E46" t="s">
        <v>17</v>
      </c>
      <c r="F46" s="3">
        <v>100</v>
      </c>
      <c r="G46">
        <v>41</v>
      </c>
      <c r="H46">
        <v>9.6999999999999993</v>
      </c>
      <c r="I46">
        <v>22</v>
      </c>
      <c r="J46" t="s">
        <v>19</v>
      </c>
      <c r="K46" t="s">
        <v>20</v>
      </c>
      <c r="L46" t="s">
        <v>21</v>
      </c>
      <c r="M46" s="3">
        <v>40</v>
      </c>
      <c r="N46" s="2">
        <v>2500</v>
      </c>
      <c r="O46" t="str">
        <f t="shared" si="0"/>
        <v>&lt;=100</v>
      </c>
      <c r="P46" t="str">
        <f t="shared" si="1"/>
        <v>&lt;=5000$</v>
      </c>
    </row>
    <row r="47" spans="1:16" hidden="1" x14ac:dyDescent="0.25">
      <c r="A47">
        <v>46</v>
      </c>
      <c r="B47" t="s">
        <v>69</v>
      </c>
      <c r="C47" t="s">
        <v>260</v>
      </c>
      <c r="D47" t="s">
        <v>26</v>
      </c>
      <c r="E47" t="s">
        <v>17</v>
      </c>
      <c r="F47" s="3">
        <v>100</v>
      </c>
      <c r="G47">
        <v>42</v>
      </c>
      <c r="H47">
        <v>9.3000000000000007</v>
      </c>
      <c r="I47">
        <v>22</v>
      </c>
      <c r="J47" t="s">
        <v>19</v>
      </c>
      <c r="K47" t="s">
        <v>20</v>
      </c>
      <c r="L47" t="s">
        <v>45</v>
      </c>
      <c r="M47" s="3">
        <v>42</v>
      </c>
      <c r="N47" s="2">
        <v>2399</v>
      </c>
      <c r="O47" t="str">
        <f t="shared" si="0"/>
        <v>&lt;=100</v>
      </c>
      <c r="P47" t="str">
        <f t="shared" si="1"/>
        <v>&lt;=5000$</v>
      </c>
    </row>
    <row r="48" spans="1:16" hidden="1" x14ac:dyDescent="0.25">
      <c r="A48">
        <v>47</v>
      </c>
      <c r="B48" t="s">
        <v>109</v>
      </c>
      <c r="C48" t="s">
        <v>262</v>
      </c>
      <c r="D48" t="s">
        <v>26</v>
      </c>
      <c r="E48" t="s">
        <v>17</v>
      </c>
      <c r="F48" s="3">
        <v>300</v>
      </c>
      <c r="G48">
        <v>45</v>
      </c>
      <c r="H48">
        <v>15.5</v>
      </c>
      <c r="I48">
        <v>23</v>
      </c>
      <c r="J48" t="s">
        <v>19</v>
      </c>
      <c r="K48" t="s">
        <v>20</v>
      </c>
      <c r="L48" t="s">
        <v>45</v>
      </c>
      <c r="M48" s="3">
        <v>120</v>
      </c>
      <c r="N48" s="2">
        <v>16800</v>
      </c>
      <c r="O48" t="str">
        <f t="shared" si="0"/>
        <v>200-300</v>
      </c>
      <c r="P48" t="str">
        <f t="shared" si="1"/>
        <v>&lt;= 20000$</v>
      </c>
    </row>
    <row r="49" spans="1:16" hidden="1" x14ac:dyDescent="0.25">
      <c r="A49">
        <v>48</v>
      </c>
      <c r="B49" t="s">
        <v>109</v>
      </c>
      <c r="C49" t="s">
        <v>263</v>
      </c>
      <c r="D49" t="s">
        <v>111</v>
      </c>
      <c r="E49" t="s">
        <v>17</v>
      </c>
      <c r="F49" s="3">
        <v>300</v>
      </c>
      <c r="G49">
        <v>45</v>
      </c>
      <c r="H49">
        <v>15.4</v>
      </c>
      <c r="I49">
        <v>23</v>
      </c>
      <c r="J49" t="s">
        <v>19</v>
      </c>
      <c r="K49" t="s">
        <v>20</v>
      </c>
      <c r="L49" t="s">
        <v>21</v>
      </c>
      <c r="M49" s="3">
        <v>120</v>
      </c>
      <c r="N49" s="2">
        <v>15000</v>
      </c>
      <c r="O49" t="str">
        <f t="shared" si="0"/>
        <v>200-300</v>
      </c>
      <c r="P49" t="str">
        <f t="shared" si="1"/>
        <v>&lt;= 20000$</v>
      </c>
    </row>
    <row r="50" spans="1:16" hidden="1" x14ac:dyDescent="0.25">
      <c r="A50">
        <v>49</v>
      </c>
      <c r="B50" t="s">
        <v>109</v>
      </c>
      <c r="C50" t="s">
        <v>263</v>
      </c>
      <c r="D50" t="s">
        <v>111</v>
      </c>
      <c r="E50" t="s">
        <v>17</v>
      </c>
      <c r="F50" s="3">
        <v>300</v>
      </c>
      <c r="G50">
        <v>45</v>
      </c>
      <c r="H50">
        <v>15.5</v>
      </c>
      <c r="I50">
        <v>23</v>
      </c>
      <c r="J50" t="s">
        <v>19</v>
      </c>
      <c r="K50" t="s">
        <v>20</v>
      </c>
      <c r="L50" t="s">
        <v>21</v>
      </c>
      <c r="M50" s="3">
        <v>120</v>
      </c>
      <c r="N50" s="2">
        <v>14900</v>
      </c>
      <c r="O50" t="str">
        <f t="shared" si="0"/>
        <v>200-300</v>
      </c>
      <c r="P50" t="str">
        <f t="shared" si="1"/>
        <v>&lt;= 20000$</v>
      </c>
    </row>
    <row r="51" spans="1:16" hidden="1" x14ac:dyDescent="0.25">
      <c r="A51">
        <v>50</v>
      </c>
      <c r="B51" t="s">
        <v>109</v>
      </c>
      <c r="C51" t="s">
        <v>264</v>
      </c>
      <c r="D51" t="s">
        <v>26</v>
      </c>
      <c r="E51" t="s">
        <v>17</v>
      </c>
      <c r="F51" s="3">
        <v>300</v>
      </c>
      <c r="G51">
        <v>43</v>
      </c>
      <c r="H51">
        <v>13.4</v>
      </c>
      <c r="I51">
        <v>23</v>
      </c>
      <c r="J51" t="s">
        <v>19</v>
      </c>
      <c r="K51" t="s">
        <v>20</v>
      </c>
      <c r="L51" t="s">
        <v>21</v>
      </c>
      <c r="M51" s="3">
        <v>120</v>
      </c>
      <c r="N51" s="2">
        <v>14700</v>
      </c>
      <c r="O51" t="str">
        <f t="shared" si="0"/>
        <v>200-300</v>
      </c>
      <c r="P51" t="str">
        <f t="shared" si="1"/>
        <v>&lt;= 20000$</v>
      </c>
    </row>
    <row r="52" spans="1:16" hidden="1" x14ac:dyDescent="0.25">
      <c r="A52">
        <v>51</v>
      </c>
      <c r="B52" t="s">
        <v>109</v>
      </c>
      <c r="C52" t="s">
        <v>262</v>
      </c>
      <c r="D52" t="s">
        <v>140</v>
      </c>
      <c r="E52" t="s">
        <v>17</v>
      </c>
      <c r="F52" s="3">
        <v>300</v>
      </c>
      <c r="G52">
        <v>45</v>
      </c>
      <c r="H52">
        <v>15.4</v>
      </c>
      <c r="I52">
        <v>23</v>
      </c>
      <c r="J52" t="s">
        <v>19</v>
      </c>
      <c r="K52" t="s">
        <v>20</v>
      </c>
      <c r="L52" t="s">
        <v>21</v>
      </c>
      <c r="M52" s="3">
        <v>120</v>
      </c>
      <c r="N52" s="2">
        <v>14500</v>
      </c>
      <c r="O52" t="str">
        <f t="shared" si="0"/>
        <v>200-300</v>
      </c>
      <c r="P52" t="str">
        <f t="shared" si="1"/>
        <v>&lt;= 20000$</v>
      </c>
    </row>
    <row r="53" spans="1:16" hidden="1" x14ac:dyDescent="0.25">
      <c r="A53">
        <v>52</v>
      </c>
      <c r="B53" t="s">
        <v>109</v>
      </c>
      <c r="C53" t="s">
        <v>263</v>
      </c>
      <c r="D53" t="s">
        <v>111</v>
      </c>
      <c r="E53" t="s">
        <v>17</v>
      </c>
      <c r="F53" s="3">
        <v>300</v>
      </c>
      <c r="G53">
        <v>45</v>
      </c>
      <c r="H53">
        <v>15.5</v>
      </c>
      <c r="I53">
        <v>22</v>
      </c>
      <c r="J53" t="s">
        <v>19</v>
      </c>
      <c r="K53" t="s">
        <v>20</v>
      </c>
      <c r="L53" t="s">
        <v>21</v>
      </c>
      <c r="M53" s="3">
        <v>120</v>
      </c>
      <c r="N53" s="2">
        <v>14400</v>
      </c>
      <c r="O53" t="str">
        <f t="shared" si="0"/>
        <v>200-300</v>
      </c>
      <c r="P53" t="str">
        <f t="shared" si="1"/>
        <v>&lt;= 20000$</v>
      </c>
    </row>
    <row r="54" spans="1:16" hidden="1" x14ac:dyDescent="0.25">
      <c r="A54">
        <v>53</v>
      </c>
      <c r="B54" t="s">
        <v>109</v>
      </c>
      <c r="C54" t="s">
        <v>263</v>
      </c>
      <c r="D54" t="s">
        <v>140</v>
      </c>
      <c r="E54" t="s">
        <v>17</v>
      </c>
      <c r="F54" s="3">
        <v>300</v>
      </c>
      <c r="G54">
        <v>45</v>
      </c>
      <c r="H54">
        <v>15.5</v>
      </c>
      <c r="I54">
        <v>23</v>
      </c>
      <c r="J54" t="s">
        <v>19</v>
      </c>
      <c r="K54" t="s">
        <v>20</v>
      </c>
      <c r="L54" t="s">
        <v>21</v>
      </c>
      <c r="M54" s="3">
        <v>120</v>
      </c>
      <c r="N54" s="2">
        <v>14000</v>
      </c>
      <c r="O54" t="str">
        <f t="shared" si="0"/>
        <v>200-300</v>
      </c>
      <c r="P54" t="str">
        <f t="shared" si="1"/>
        <v>&lt;= 20000$</v>
      </c>
    </row>
    <row r="55" spans="1:16" hidden="1" x14ac:dyDescent="0.25">
      <c r="A55">
        <v>54</v>
      </c>
      <c r="B55" t="s">
        <v>109</v>
      </c>
      <c r="C55" t="s">
        <v>263</v>
      </c>
      <c r="D55" t="s">
        <v>111</v>
      </c>
      <c r="E55" t="s">
        <v>17</v>
      </c>
      <c r="F55" s="3">
        <v>300</v>
      </c>
      <c r="G55">
        <v>45</v>
      </c>
      <c r="H55">
        <v>15.4</v>
      </c>
      <c r="I55">
        <v>23</v>
      </c>
      <c r="J55" t="s">
        <v>19</v>
      </c>
      <c r="K55" t="s">
        <v>20</v>
      </c>
      <c r="L55" t="s">
        <v>21</v>
      </c>
      <c r="M55" s="3">
        <v>120</v>
      </c>
      <c r="N55" s="2">
        <v>14000</v>
      </c>
      <c r="O55" t="str">
        <f t="shared" si="0"/>
        <v>200-300</v>
      </c>
      <c r="P55" t="str">
        <f t="shared" si="1"/>
        <v>&lt;= 20000$</v>
      </c>
    </row>
    <row r="56" spans="1:16" hidden="1" x14ac:dyDescent="0.25">
      <c r="A56">
        <v>55</v>
      </c>
      <c r="B56" t="s">
        <v>109</v>
      </c>
      <c r="C56" t="s">
        <v>263</v>
      </c>
      <c r="D56" t="s">
        <v>26</v>
      </c>
      <c r="E56" t="s">
        <v>17</v>
      </c>
      <c r="F56" s="3">
        <v>300</v>
      </c>
      <c r="G56">
        <v>45</v>
      </c>
      <c r="H56">
        <v>15.5</v>
      </c>
      <c r="I56">
        <v>23</v>
      </c>
      <c r="J56" t="s">
        <v>19</v>
      </c>
      <c r="K56" t="s">
        <v>20</v>
      </c>
      <c r="L56" t="s">
        <v>21</v>
      </c>
      <c r="M56" s="3">
        <v>120</v>
      </c>
      <c r="N56" s="2">
        <v>14000</v>
      </c>
      <c r="O56" t="str">
        <f t="shared" si="0"/>
        <v>200-300</v>
      </c>
      <c r="P56" t="str">
        <f t="shared" si="1"/>
        <v>&lt;= 20000$</v>
      </c>
    </row>
    <row r="57" spans="1:16" hidden="1" x14ac:dyDescent="0.25">
      <c r="A57">
        <v>56</v>
      </c>
      <c r="B57" t="s">
        <v>109</v>
      </c>
      <c r="C57" t="s">
        <v>262</v>
      </c>
      <c r="D57" t="s">
        <v>140</v>
      </c>
      <c r="E57" t="s">
        <v>17</v>
      </c>
      <c r="F57" s="3">
        <v>300</v>
      </c>
      <c r="G57">
        <v>45</v>
      </c>
      <c r="H57">
        <v>15.4</v>
      </c>
      <c r="I57">
        <v>23</v>
      </c>
      <c r="J57" t="s">
        <v>19</v>
      </c>
      <c r="K57" t="s">
        <v>20</v>
      </c>
      <c r="L57" t="s">
        <v>45</v>
      </c>
      <c r="M57" s="3">
        <v>120</v>
      </c>
      <c r="N57" s="2">
        <v>14000</v>
      </c>
      <c r="O57" t="str">
        <f t="shared" si="0"/>
        <v>200-300</v>
      </c>
      <c r="P57" t="str">
        <f t="shared" si="1"/>
        <v>&lt;= 20000$</v>
      </c>
    </row>
    <row r="58" spans="1:16" hidden="1" x14ac:dyDescent="0.25">
      <c r="A58">
        <v>57</v>
      </c>
      <c r="B58" t="s">
        <v>109</v>
      </c>
      <c r="C58" t="s">
        <v>263</v>
      </c>
      <c r="D58" t="s">
        <v>140</v>
      </c>
      <c r="E58" t="s">
        <v>17</v>
      </c>
      <c r="F58" s="3">
        <v>300</v>
      </c>
      <c r="G58">
        <v>45</v>
      </c>
      <c r="H58">
        <v>15.4</v>
      </c>
      <c r="I58">
        <v>23</v>
      </c>
      <c r="J58" t="s">
        <v>19</v>
      </c>
      <c r="K58" t="s">
        <v>20</v>
      </c>
      <c r="L58" t="s">
        <v>21</v>
      </c>
      <c r="M58" s="3">
        <v>120</v>
      </c>
      <c r="N58" s="2">
        <v>13900</v>
      </c>
      <c r="O58" t="str">
        <f t="shared" si="0"/>
        <v>200-300</v>
      </c>
      <c r="P58" t="str">
        <f t="shared" si="1"/>
        <v>&lt;= 20000$</v>
      </c>
    </row>
    <row r="59" spans="1:16" hidden="1" x14ac:dyDescent="0.25">
      <c r="A59">
        <v>58</v>
      </c>
      <c r="B59" t="s">
        <v>109</v>
      </c>
      <c r="C59" t="s">
        <v>263</v>
      </c>
      <c r="D59" t="s">
        <v>111</v>
      </c>
      <c r="E59" t="s">
        <v>17</v>
      </c>
      <c r="F59" s="3">
        <v>300</v>
      </c>
      <c r="G59">
        <v>45</v>
      </c>
      <c r="H59">
        <v>15.4</v>
      </c>
      <c r="I59">
        <v>23</v>
      </c>
      <c r="J59" t="s">
        <v>19</v>
      </c>
      <c r="K59" t="s">
        <v>20</v>
      </c>
      <c r="L59" t="s">
        <v>188</v>
      </c>
      <c r="M59" s="3">
        <v>120</v>
      </c>
      <c r="N59" s="2">
        <v>13500</v>
      </c>
      <c r="O59" t="str">
        <f t="shared" si="0"/>
        <v>200-300</v>
      </c>
      <c r="P59" t="str">
        <f t="shared" si="1"/>
        <v>&lt;= 20000$</v>
      </c>
    </row>
    <row r="60" spans="1:16" hidden="1" x14ac:dyDescent="0.25">
      <c r="A60">
        <v>59</v>
      </c>
      <c r="B60" t="s">
        <v>109</v>
      </c>
      <c r="C60" t="s">
        <v>263</v>
      </c>
      <c r="D60" t="s">
        <v>26</v>
      </c>
      <c r="E60" t="s">
        <v>17</v>
      </c>
      <c r="F60" s="3">
        <v>300</v>
      </c>
      <c r="G60">
        <v>45</v>
      </c>
      <c r="H60">
        <v>15.4</v>
      </c>
      <c r="I60">
        <v>23</v>
      </c>
      <c r="J60" t="s">
        <v>19</v>
      </c>
      <c r="K60" t="s">
        <v>20</v>
      </c>
      <c r="L60" t="s">
        <v>21</v>
      </c>
      <c r="M60" s="3">
        <v>120</v>
      </c>
      <c r="N60" s="2">
        <v>13500</v>
      </c>
      <c r="O60" t="str">
        <f t="shared" si="0"/>
        <v>200-300</v>
      </c>
      <c r="P60" t="str">
        <f t="shared" si="1"/>
        <v>&lt;= 20000$</v>
      </c>
    </row>
    <row r="61" spans="1:16" hidden="1" x14ac:dyDescent="0.25">
      <c r="A61">
        <v>60</v>
      </c>
      <c r="B61" t="s">
        <v>109</v>
      </c>
      <c r="C61" t="s">
        <v>263</v>
      </c>
      <c r="D61" t="s">
        <v>26</v>
      </c>
      <c r="E61" t="s">
        <v>17</v>
      </c>
      <c r="F61" s="3">
        <v>300</v>
      </c>
      <c r="G61">
        <v>45</v>
      </c>
      <c r="H61">
        <v>15.5</v>
      </c>
      <c r="I61">
        <v>23</v>
      </c>
      <c r="J61" t="s">
        <v>19</v>
      </c>
      <c r="K61" t="s">
        <v>20</v>
      </c>
      <c r="L61" t="s">
        <v>21</v>
      </c>
      <c r="M61" s="3">
        <v>120</v>
      </c>
      <c r="N61" s="2">
        <v>13500</v>
      </c>
      <c r="O61" t="str">
        <f t="shared" si="0"/>
        <v>200-300</v>
      </c>
      <c r="P61" t="str">
        <f t="shared" si="1"/>
        <v>&lt;= 20000$</v>
      </c>
    </row>
    <row r="62" spans="1:16" hidden="1" x14ac:dyDescent="0.25">
      <c r="A62">
        <v>61</v>
      </c>
      <c r="B62" t="s">
        <v>109</v>
      </c>
      <c r="C62" t="s">
        <v>263</v>
      </c>
      <c r="D62" t="s">
        <v>140</v>
      </c>
      <c r="E62" t="s">
        <v>17</v>
      </c>
      <c r="F62" s="3">
        <v>300</v>
      </c>
      <c r="G62">
        <v>45</v>
      </c>
      <c r="H62">
        <v>15.5</v>
      </c>
      <c r="I62">
        <v>23</v>
      </c>
      <c r="J62" t="s">
        <v>19</v>
      </c>
      <c r="K62" t="s">
        <v>20</v>
      </c>
      <c r="L62" t="s">
        <v>21</v>
      </c>
      <c r="M62" s="3">
        <v>120</v>
      </c>
      <c r="N62" s="2">
        <v>13500</v>
      </c>
      <c r="O62" t="str">
        <f t="shared" si="0"/>
        <v>200-300</v>
      </c>
      <c r="P62" t="str">
        <f t="shared" si="1"/>
        <v>&lt;= 20000$</v>
      </c>
    </row>
    <row r="63" spans="1:16" hidden="1" x14ac:dyDescent="0.25">
      <c r="A63">
        <v>62</v>
      </c>
      <c r="B63" t="s">
        <v>109</v>
      </c>
      <c r="C63" t="s">
        <v>263</v>
      </c>
      <c r="D63" t="s">
        <v>140</v>
      </c>
      <c r="E63" t="s">
        <v>17</v>
      </c>
      <c r="F63" s="3">
        <v>300</v>
      </c>
      <c r="G63">
        <v>45</v>
      </c>
      <c r="H63">
        <v>15.5</v>
      </c>
      <c r="I63">
        <v>23</v>
      </c>
      <c r="J63" t="s">
        <v>19</v>
      </c>
      <c r="K63" t="s">
        <v>20</v>
      </c>
      <c r="L63" t="s">
        <v>21</v>
      </c>
      <c r="M63" s="3">
        <v>120</v>
      </c>
      <c r="N63" s="2">
        <v>13000</v>
      </c>
      <c r="O63" t="str">
        <f t="shared" si="0"/>
        <v>200-300</v>
      </c>
      <c r="P63" t="str">
        <f t="shared" si="1"/>
        <v>&lt;= 20000$</v>
      </c>
    </row>
    <row r="64" spans="1:16" hidden="1" x14ac:dyDescent="0.25">
      <c r="A64">
        <v>63</v>
      </c>
      <c r="B64" t="s">
        <v>109</v>
      </c>
      <c r="C64" t="s">
        <v>263</v>
      </c>
      <c r="D64" t="s">
        <v>26</v>
      </c>
      <c r="E64" t="s">
        <v>17</v>
      </c>
      <c r="F64" s="3">
        <v>300</v>
      </c>
      <c r="G64">
        <v>45</v>
      </c>
      <c r="H64">
        <v>15.5</v>
      </c>
      <c r="I64">
        <v>23</v>
      </c>
      <c r="J64" t="s">
        <v>19</v>
      </c>
      <c r="K64" t="s">
        <v>20</v>
      </c>
      <c r="L64" t="s">
        <v>21</v>
      </c>
      <c r="M64" s="3">
        <v>120</v>
      </c>
      <c r="N64" s="2">
        <v>12900</v>
      </c>
      <c r="O64" t="str">
        <f t="shared" si="0"/>
        <v>200-300</v>
      </c>
      <c r="P64" t="str">
        <f t="shared" si="1"/>
        <v>&lt;= 20000$</v>
      </c>
    </row>
    <row r="65" spans="1:16" hidden="1" x14ac:dyDescent="0.25">
      <c r="A65">
        <v>64</v>
      </c>
      <c r="B65" t="s">
        <v>109</v>
      </c>
      <c r="C65" t="s">
        <v>263</v>
      </c>
      <c r="D65" t="s">
        <v>111</v>
      </c>
      <c r="E65" t="s">
        <v>17</v>
      </c>
      <c r="F65" s="3">
        <v>300</v>
      </c>
      <c r="G65">
        <v>45</v>
      </c>
      <c r="H65">
        <v>15.5</v>
      </c>
      <c r="I65">
        <v>23</v>
      </c>
      <c r="J65" t="s">
        <v>19</v>
      </c>
      <c r="K65" t="s">
        <v>20</v>
      </c>
      <c r="L65" t="s">
        <v>21</v>
      </c>
      <c r="M65" s="3">
        <v>120</v>
      </c>
      <c r="N65" s="2">
        <v>12800</v>
      </c>
      <c r="O65" t="str">
        <f t="shared" si="0"/>
        <v>200-300</v>
      </c>
      <c r="P65" t="str">
        <f t="shared" si="1"/>
        <v>&lt;= 20000$</v>
      </c>
    </row>
    <row r="66" spans="1:16" hidden="1" x14ac:dyDescent="0.25">
      <c r="A66">
        <v>65</v>
      </c>
      <c r="B66" t="s">
        <v>109</v>
      </c>
      <c r="C66" t="s">
        <v>263</v>
      </c>
      <c r="D66" t="s">
        <v>205</v>
      </c>
      <c r="E66" t="s">
        <v>17</v>
      </c>
      <c r="F66" s="3">
        <v>300</v>
      </c>
      <c r="G66">
        <v>45</v>
      </c>
      <c r="H66">
        <v>15.5</v>
      </c>
      <c r="I66">
        <v>23</v>
      </c>
      <c r="J66" t="s">
        <v>19</v>
      </c>
      <c r="K66" t="s">
        <v>20</v>
      </c>
      <c r="L66" t="s">
        <v>45</v>
      </c>
      <c r="M66" s="3">
        <v>120</v>
      </c>
      <c r="N66" s="2">
        <v>12500</v>
      </c>
      <c r="O66" t="str">
        <f t="shared" si="0"/>
        <v>200-300</v>
      </c>
      <c r="P66" t="str">
        <f t="shared" si="1"/>
        <v>&lt;= 20000$</v>
      </c>
    </row>
    <row r="67" spans="1:16" hidden="1" x14ac:dyDescent="0.25">
      <c r="A67">
        <v>66</v>
      </c>
      <c r="B67" t="s">
        <v>109</v>
      </c>
      <c r="C67" t="s">
        <v>263</v>
      </c>
      <c r="D67" t="s">
        <v>26</v>
      </c>
      <c r="E67" t="s">
        <v>17</v>
      </c>
      <c r="F67" s="3">
        <v>300</v>
      </c>
      <c r="G67">
        <v>45</v>
      </c>
      <c r="H67">
        <v>15.4</v>
      </c>
      <c r="I67">
        <v>23</v>
      </c>
      <c r="J67" t="s">
        <v>19</v>
      </c>
      <c r="K67" t="s">
        <v>20</v>
      </c>
      <c r="L67" t="s">
        <v>21</v>
      </c>
      <c r="M67" s="3">
        <v>120</v>
      </c>
      <c r="N67" s="2">
        <v>12500</v>
      </c>
      <c r="O67" t="str">
        <f t="shared" ref="O67:O121" si="2">IF($F67&lt;=100, "&lt;=100", IF($F67&lt;=200, "100-200", IF($F67&lt;=300, "200-300", IF($F67&lt;=500, "300-500", IF($F67&lt;1000, "500-1000", "1000+")))))</f>
        <v>200-300</v>
      </c>
      <c r="P67" t="str">
        <f t="shared" ref="P67:P121" si="3">IF(N67&lt;=1000, "&lt;= 1000$", IF(N67&lt;=2000, " &lt;=2000$", IF(N67&lt;=5000, "&lt;=5000$", IF(N67&lt;=10000, "&lt;= 10000$", IF(N67&lt;=20000, "&lt;= 20000$", IF(N67&lt;40000, "&lt;= 40000$", "40000$ +"))))))</f>
        <v>&lt;= 20000$</v>
      </c>
    </row>
    <row r="68" spans="1:16" hidden="1" x14ac:dyDescent="0.25">
      <c r="A68">
        <v>67</v>
      </c>
      <c r="B68" t="s">
        <v>109</v>
      </c>
      <c r="C68" t="s">
        <v>263</v>
      </c>
      <c r="D68" t="s">
        <v>111</v>
      </c>
      <c r="E68" t="s">
        <v>17</v>
      </c>
      <c r="F68" s="3">
        <v>300</v>
      </c>
      <c r="G68">
        <v>45</v>
      </c>
      <c r="H68">
        <v>15.5</v>
      </c>
      <c r="I68">
        <v>23</v>
      </c>
      <c r="J68" t="s">
        <v>19</v>
      </c>
      <c r="K68" t="s">
        <v>20</v>
      </c>
      <c r="L68" t="s">
        <v>21</v>
      </c>
      <c r="M68" s="3">
        <v>120</v>
      </c>
      <c r="N68" s="2">
        <v>12500</v>
      </c>
      <c r="O68" t="str">
        <f t="shared" si="2"/>
        <v>200-300</v>
      </c>
      <c r="P68" t="str">
        <f t="shared" si="3"/>
        <v>&lt;= 20000$</v>
      </c>
    </row>
    <row r="69" spans="1:16" hidden="1" x14ac:dyDescent="0.25">
      <c r="A69">
        <v>68</v>
      </c>
      <c r="B69" t="s">
        <v>109</v>
      </c>
      <c r="C69" t="s">
        <v>265</v>
      </c>
      <c r="D69" t="s">
        <v>140</v>
      </c>
      <c r="E69" t="s">
        <v>17</v>
      </c>
      <c r="F69" s="3">
        <v>300</v>
      </c>
      <c r="G69">
        <v>43.6</v>
      </c>
      <c r="H69">
        <v>13.83</v>
      </c>
      <c r="I69">
        <v>23</v>
      </c>
      <c r="J69" t="s">
        <v>19</v>
      </c>
      <c r="K69" t="s">
        <v>20</v>
      </c>
      <c r="L69" t="s">
        <v>146</v>
      </c>
      <c r="M69" s="3">
        <v>120</v>
      </c>
      <c r="N69" s="2">
        <v>12000</v>
      </c>
      <c r="O69" t="str">
        <f t="shared" si="2"/>
        <v>200-300</v>
      </c>
      <c r="P69" t="str">
        <f t="shared" si="3"/>
        <v>&lt;= 20000$</v>
      </c>
    </row>
    <row r="70" spans="1:16" hidden="1" x14ac:dyDescent="0.25">
      <c r="A70">
        <v>69</v>
      </c>
      <c r="B70" t="s">
        <v>109</v>
      </c>
      <c r="C70" t="s">
        <v>262</v>
      </c>
      <c r="D70" t="s">
        <v>140</v>
      </c>
      <c r="E70" t="s">
        <v>17</v>
      </c>
      <c r="F70" s="3">
        <v>300</v>
      </c>
      <c r="G70">
        <v>45</v>
      </c>
      <c r="H70">
        <v>15.4</v>
      </c>
      <c r="I70">
        <v>23</v>
      </c>
      <c r="J70" t="s">
        <v>19</v>
      </c>
      <c r="K70" t="s">
        <v>20</v>
      </c>
      <c r="L70" t="s">
        <v>21</v>
      </c>
      <c r="M70" s="3">
        <v>120</v>
      </c>
      <c r="N70" s="2">
        <v>12000</v>
      </c>
      <c r="O70" t="str">
        <f t="shared" si="2"/>
        <v>200-300</v>
      </c>
      <c r="P70" t="str">
        <f t="shared" si="3"/>
        <v>&lt;= 20000$</v>
      </c>
    </row>
    <row r="71" spans="1:16" hidden="1" x14ac:dyDescent="0.25">
      <c r="A71">
        <v>70</v>
      </c>
      <c r="B71" t="s">
        <v>109</v>
      </c>
      <c r="C71" t="s">
        <v>263</v>
      </c>
      <c r="D71" t="s">
        <v>205</v>
      </c>
      <c r="E71" t="s">
        <v>17</v>
      </c>
      <c r="F71" s="3">
        <v>300</v>
      </c>
      <c r="G71">
        <v>45</v>
      </c>
      <c r="H71">
        <v>15.5</v>
      </c>
      <c r="I71">
        <v>23</v>
      </c>
      <c r="J71" t="s">
        <v>19</v>
      </c>
      <c r="K71" t="s">
        <v>20</v>
      </c>
      <c r="L71" t="s">
        <v>21</v>
      </c>
      <c r="M71" s="3">
        <v>120</v>
      </c>
      <c r="N71" s="2">
        <v>12000</v>
      </c>
      <c r="O71" t="str">
        <f t="shared" si="2"/>
        <v>200-300</v>
      </c>
      <c r="P71" t="str">
        <f t="shared" si="3"/>
        <v>&lt;= 20000$</v>
      </c>
    </row>
    <row r="72" spans="1:16" hidden="1" x14ac:dyDescent="0.25">
      <c r="A72">
        <v>71</v>
      </c>
      <c r="B72" t="s">
        <v>109</v>
      </c>
      <c r="C72" t="s">
        <v>263</v>
      </c>
      <c r="D72" t="s">
        <v>111</v>
      </c>
      <c r="E72" t="s">
        <v>17</v>
      </c>
      <c r="F72" s="3">
        <v>300</v>
      </c>
      <c r="G72">
        <v>45</v>
      </c>
      <c r="H72">
        <v>15.4</v>
      </c>
      <c r="I72">
        <v>23</v>
      </c>
      <c r="J72" t="s">
        <v>19</v>
      </c>
      <c r="K72" t="s">
        <v>20</v>
      </c>
      <c r="L72" t="s">
        <v>21</v>
      </c>
      <c r="M72" s="3">
        <v>120</v>
      </c>
      <c r="N72" s="2">
        <v>11500</v>
      </c>
      <c r="O72" t="str">
        <f t="shared" si="2"/>
        <v>200-300</v>
      </c>
      <c r="P72" t="str">
        <f t="shared" si="3"/>
        <v>&lt;= 20000$</v>
      </c>
    </row>
    <row r="73" spans="1:16" hidden="1" x14ac:dyDescent="0.25">
      <c r="A73">
        <v>72</v>
      </c>
      <c r="B73" t="s">
        <v>109</v>
      </c>
      <c r="C73" t="s">
        <v>263</v>
      </c>
      <c r="D73" t="s">
        <v>111</v>
      </c>
      <c r="E73" t="s">
        <v>17</v>
      </c>
      <c r="F73" s="3">
        <v>300</v>
      </c>
      <c r="G73">
        <v>45</v>
      </c>
      <c r="H73">
        <v>15.4</v>
      </c>
      <c r="I73">
        <v>23</v>
      </c>
      <c r="J73" t="s">
        <v>19</v>
      </c>
      <c r="K73" t="s">
        <v>20</v>
      </c>
      <c r="L73" t="s">
        <v>21</v>
      </c>
      <c r="M73" s="3">
        <v>120</v>
      </c>
      <c r="N73" s="2">
        <v>11500</v>
      </c>
      <c r="O73" t="str">
        <f t="shared" si="2"/>
        <v>200-300</v>
      </c>
      <c r="P73" t="str">
        <f t="shared" si="3"/>
        <v>&lt;= 20000$</v>
      </c>
    </row>
    <row r="74" spans="1:16" hidden="1" x14ac:dyDescent="0.25">
      <c r="A74">
        <v>73</v>
      </c>
      <c r="B74" t="s">
        <v>109</v>
      </c>
      <c r="C74" t="s">
        <v>263</v>
      </c>
      <c r="D74" t="s">
        <v>140</v>
      </c>
      <c r="E74" t="s">
        <v>17</v>
      </c>
      <c r="F74" s="3">
        <v>300</v>
      </c>
      <c r="G74">
        <v>45</v>
      </c>
      <c r="H74">
        <v>15.5</v>
      </c>
      <c r="I74">
        <v>23</v>
      </c>
      <c r="J74" t="s">
        <v>19</v>
      </c>
      <c r="K74" t="s">
        <v>20</v>
      </c>
      <c r="L74" t="s">
        <v>147</v>
      </c>
      <c r="M74" s="3">
        <v>120</v>
      </c>
      <c r="N74" s="2">
        <v>11000</v>
      </c>
      <c r="O74" t="str">
        <f t="shared" si="2"/>
        <v>200-300</v>
      </c>
      <c r="P74" t="str">
        <f t="shared" si="3"/>
        <v>&lt;= 20000$</v>
      </c>
    </row>
    <row r="75" spans="1:16" hidden="1" x14ac:dyDescent="0.25">
      <c r="A75">
        <v>74</v>
      </c>
      <c r="B75" t="s">
        <v>109</v>
      </c>
      <c r="C75" t="s">
        <v>263</v>
      </c>
      <c r="D75" t="s">
        <v>111</v>
      </c>
      <c r="E75" t="s">
        <v>17</v>
      </c>
      <c r="F75" s="3">
        <v>300</v>
      </c>
      <c r="G75">
        <v>45</v>
      </c>
      <c r="H75">
        <v>15.5</v>
      </c>
      <c r="I75">
        <v>23</v>
      </c>
      <c r="J75" t="s">
        <v>19</v>
      </c>
      <c r="K75" t="s">
        <v>20</v>
      </c>
      <c r="L75" t="s">
        <v>45</v>
      </c>
      <c r="M75" s="3">
        <v>120</v>
      </c>
      <c r="N75" s="2">
        <v>10500</v>
      </c>
      <c r="O75" t="str">
        <f t="shared" si="2"/>
        <v>200-300</v>
      </c>
      <c r="P75" t="str">
        <f t="shared" si="3"/>
        <v>&lt;= 20000$</v>
      </c>
    </row>
    <row r="76" spans="1:16" hidden="1" x14ac:dyDescent="0.25">
      <c r="A76">
        <v>75</v>
      </c>
      <c r="B76" t="s">
        <v>109</v>
      </c>
      <c r="C76" t="s">
        <v>263</v>
      </c>
      <c r="D76" t="s">
        <v>247</v>
      </c>
      <c r="E76" t="s">
        <v>17</v>
      </c>
      <c r="F76" s="3">
        <v>300</v>
      </c>
      <c r="G76">
        <v>45</v>
      </c>
      <c r="H76">
        <v>15.4</v>
      </c>
      <c r="I76">
        <v>23</v>
      </c>
      <c r="J76" t="s">
        <v>19</v>
      </c>
      <c r="K76" t="s">
        <v>20</v>
      </c>
      <c r="L76" t="s">
        <v>45</v>
      </c>
      <c r="M76" s="3">
        <v>120</v>
      </c>
      <c r="N76" s="2">
        <v>10000</v>
      </c>
      <c r="O76" t="str">
        <f t="shared" si="2"/>
        <v>200-300</v>
      </c>
      <c r="P76" t="str">
        <f t="shared" si="3"/>
        <v>&lt;= 10000$</v>
      </c>
    </row>
    <row r="77" spans="1:16" hidden="1" x14ac:dyDescent="0.25">
      <c r="A77">
        <v>76</v>
      </c>
      <c r="B77" t="s">
        <v>72</v>
      </c>
      <c r="C77" t="s">
        <v>266</v>
      </c>
      <c r="D77" t="s">
        <v>32</v>
      </c>
      <c r="E77" t="s">
        <v>17</v>
      </c>
      <c r="F77" s="3">
        <v>30</v>
      </c>
      <c r="G77">
        <v>39</v>
      </c>
      <c r="H77">
        <v>9.9</v>
      </c>
      <c r="I77">
        <v>22</v>
      </c>
      <c r="J77" t="s">
        <v>34</v>
      </c>
      <c r="K77" t="s">
        <v>20</v>
      </c>
      <c r="L77" t="s">
        <v>232</v>
      </c>
      <c r="M77" s="3">
        <v>65</v>
      </c>
      <c r="N77" s="2">
        <v>27900</v>
      </c>
      <c r="O77" t="str">
        <f t="shared" si="2"/>
        <v>&lt;=100</v>
      </c>
      <c r="P77" t="str">
        <f t="shared" si="3"/>
        <v>&lt;= 40000$</v>
      </c>
    </row>
    <row r="78" spans="1:16" hidden="1" x14ac:dyDescent="0.25">
      <c r="A78">
        <v>77</v>
      </c>
      <c r="B78" t="s">
        <v>72</v>
      </c>
      <c r="C78" t="s">
        <v>267</v>
      </c>
      <c r="D78" t="s">
        <v>32</v>
      </c>
      <c r="E78" t="s">
        <v>49</v>
      </c>
      <c r="F78" s="3">
        <v>30</v>
      </c>
      <c r="G78">
        <v>39</v>
      </c>
      <c r="H78">
        <v>10.199999999999999</v>
      </c>
      <c r="I78">
        <v>22</v>
      </c>
      <c r="J78" t="s">
        <v>44</v>
      </c>
      <c r="K78" t="s">
        <v>20</v>
      </c>
      <c r="L78" t="s">
        <v>45</v>
      </c>
      <c r="M78" s="3">
        <v>40</v>
      </c>
      <c r="N78" s="2">
        <v>26000</v>
      </c>
      <c r="O78" t="str">
        <f t="shared" si="2"/>
        <v>&lt;=100</v>
      </c>
      <c r="P78" t="str">
        <f t="shared" si="3"/>
        <v>&lt;= 40000$</v>
      </c>
    </row>
    <row r="79" spans="1:16" hidden="1" x14ac:dyDescent="0.25">
      <c r="A79">
        <v>78</v>
      </c>
      <c r="B79" t="s">
        <v>72</v>
      </c>
      <c r="C79" t="s">
        <v>268</v>
      </c>
      <c r="D79" t="s">
        <v>32</v>
      </c>
      <c r="E79" t="s">
        <v>17</v>
      </c>
      <c r="F79" s="3">
        <v>30</v>
      </c>
      <c r="G79">
        <v>39</v>
      </c>
      <c r="H79">
        <v>10.199999999999999</v>
      </c>
      <c r="I79">
        <v>20</v>
      </c>
      <c r="J79" t="s">
        <v>44</v>
      </c>
      <c r="K79" t="s">
        <v>20</v>
      </c>
      <c r="L79" t="s">
        <v>21</v>
      </c>
      <c r="M79" s="3">
        <v>38</v>
      </c>
      <c r="N79" s="2">
        <v>26000</v>
      </c>
      <c r="O79" t="str">
        <f t="shared" si="2"/>
        <v>&lt;=100</v>
      </c>
      <c r="P79" t="str">
        <f t="shared" si="3"/>
        <v>&lt;= 40000$</v>
      </c>
    </row>
    <row r="80" spans="1:16" hidden="1" x14ac:dyDescent="0.25">
      <c r="A80">
        <v>79</v>
      </c>
      <c r="B80" t="s">
        <v>72</v>
      </c>
      <c r="C80" t="s">
        <v>269</v>
      </c>
      <c r="D80" t="s">
        <v>32</v>
      </c>
      <c r="E80" t="s">
        <v>49</v>
      </c>
      <c r="F80" s="3">
        <v>30</v>
      </c>
      <c r="G80">
        <v>40</v>
      </c>
      <c r="H80">
        <v>6.8</v>
      </c>
      <c r="I80">
        <v>20</v>
      </c>
      <c r="J80" t="s">
        <v>44</v>
      </c>
      <c r="K80" t="s">
        <v>20</v>
      </c>
      <c r="L80" t="s">
        <v>45</v>
      </c>
      <c r="M80" s="3">
        <v>55</v>
      </c>
      <c r="N80" s="2">
        <v>25000</v>
      </c>
      <c r="O80" t="str">
        <f t="shared" si="2"/>
        <v>&lt;=100</v>
      </c>
      <c r="P80" t="str">
        <f t="shared" si="3"/>
        <v>&lt;= 40000$</v>
      </c>
    </row>
    <row r="81" spans="1:16" hidden="1" x14ac:dyDescent="0.25">
      <c r="A81">
        <v>80</v>
      </c>
      <c r="B81" t="s">
        <v>72</v>
      </c>
      <c r="C81" t="s">
        <v>270</v>
      </c>
      <c r="D81" t="s">
        <v>32</v>
      </c>
      <c r="E81" t="s">
        <v>17</v>
      </c>
      <c r="F81" s="3">
        <v>30</v>
      </c>
      <c r="G81">
        <v>39</v>
      </c>
      <c r="H81">
        <v>10.199999999999999</v>
      </c>
      <c r="I81">
        <v>20</v>
      </c>
      <c r="J81" t="s">
        <v>44</v>
      </c>
      <c r="K81" t="s">
        <v>20</v>
      </c>
      <c r="L81" t="s">
        <v>45</v>
      </c>
      <c r="M81" s="3">
        <v>65</v>
      </c>
      <c r="N81" s="2">
        <v>25000</v>
      </c>
      <c r="O81" t="str">
        <f t="shared" si="2"/>
        <v>&lt;=100</v>
      </c>
      <c r="P81" t="str">
        <f t="shared" si="3"/>
        <v>&lt;= 40000$</v>
      </c>
    </row>
    <row r="82" spans="1:16" hidden="1" x14ac:dyDescent="0.25">
      <c r="A82">
        <v>81</v>
      </c>
      <c r="B82" t="s">
        <v>72</v>
      </c>
      <c r="C82" t="s">
        <v>271</v>
      </c>
      <c r="D82" t="s">
        <v>32</v>
      </c>
      <c r="E82" t="s">
        <v>17</v>
      </c>
      <c r="F82" s="3">
        <v>30</v>
      </c>
      <c r="G82">
        <v>39</v>
      </c>
      <c r="H82">
        <v>8.65</v>
      </c>
      <c r="I82">
        <v>20</v>
      </c>
      <c r="J82" t="s">
        <v>44</v>
      </c>
      <c r="K82" t="s">
        <v>20</v>
      </c>
      <c r="L82" t="s">
        <v>21</v>
      </c>
      <c r="M82" s="3">
        <v>55</v>
      </c>
      <c r="N82" s="2">
        <v>24500</v>
      </c>
      <c r="O82" t="str">
        <f t="shared" si="2"/>
        <v>&lt;=100</v>
      </c>
      <c r="P82" t="str">
        <f t="shared" si="3"/>
        <v>&lt;= 40000$</v>
      </c>
    </row>
    <row r="83" spans="1:16" hidden="1" x14ac:dyDescent="0.25">
      <c r="A83">
        <v>82</v>
      </c>
      <c r="B83" t="s">
        <v>72</v>
      </c>
      <c r="C83" t="s">
        <v>272</v>
      </c>
      <c r="D83" t="s">
        <v>32</v>
      </c>
      <c r="E83" t="s">
        <v>49</v>
      </c>
      <c r="F83" s="3">
        <v>30</v>
      </c>
      <c r="G83">
        <v>40</v>
      </c>
      <c r="H83">
        <v>6.95</v>
      </c>
      <c r="I83">
        <v>20</v>
      </c>
      <c r="J83" t="s">
        <v>44</v>
      </c>
      <c r="K83" t="s">
        <v>20</v>
      </c>
      <c r="L83" t="s">
        <v>45</v>
      </c>
      <c r="M83" s="3">
        <v>50</v>
      </c>
      <c r="N83" s="2">
        <v>24000</v>
      </c>
      <c r="O83" t="str">
        <f t="shared" si="2"/>
        <v>&lt;=100</v>
      </c>
      <c r="P83" t="str">
        <f t="shared" si="3"/>
        <v>&lt;= 40000$</v>
      </c>
    </row>
    <row r="84" spans="1:16" hidden="1" x14ac:dyDescent="0.25">
      <c r="A84">
        <v>83</v>
      </c>
      <c r="B84" t="s">
        <v>72</v>
      </c>
      <c r="C84" t="s">
        <v>266</v>
      </c>
      <c r="D84" t="s">
        <v>32</v>
      </c>
      <c r="E84" t="s">
        <v>17</v>
      </c>
      <c r="F84" s="3">
        <v>30</v>
      </c>
      <c r="G84">
        <v>39</v>
      </c>
      <c r="H84">
        <v>8.65</v>
      </c>
      <c r="I84">
        <v>20</v>
      </c>
      <c r="J84" t="s">
        <v>44</v>
      </c>
      <c r="K84" t="s">
        <v>20</v>
      </c>
      <c r="L84" t="s">
        <v>45</v>
      </c>
      <c r="M84" s="3">
        <v>45</v>
      </c>
      <c r="N84" s="2">
        <v>23500</v>
      </c>
      <c r="O84" t="str">
        <f t="shared" si="2"/>
        <v>&lt;=100</v>
      </c>
      <c r="P84" t="str">
        <f t="shared" si="3"/>
        <v>&lt;= 40000$</v>
      </c>
    </row>
    <row r="85" spans="1:16" hidden="1" x14ac:dyDescent="0.25">
      <c r="A85">
        <v>84</v>
      </c>
      <c r="B85" t="s">
        <v>72</v>
      </c>
      <c r="C85" t="s">
        <v>270</v>
      </c>
      <c r="D85" t="s">
        <v>32</v>
      </c>
      <c r="E85" t="s">
        <v>17</v>
      </c>
      <c r="F85" s="3">
        <v>30</v>
      </c>
      <c r="G85">
        <v>39</v>
      </c>
      <c r="H85">
        <v>8.65</v>
      </c>
      <c r="I85">
        <v>20</v>
      </c>
      <c r="J85" t="s">
        <v>44</v>
      </c>
      <c r="K85" t="s">
        <v>20</v>
      </c>
      <c r="L85" t="s">
        <v>21</v>
      </c>
      <c r="M85" s="3">
        <v>65</v>
      </c>
      <c r="N85" s="2">
        <v>23200</v>
      </c>
      <c r="O85" t="str">
        <f t="shared" si="2"/>
        <v>&lt;=100</v>
      </c>
      <c r="P85" t="str">
        <f t="shared" si="3"/>
        <v>&lt;= 40000$</v>
      </c>
    </row>
    <row r="86" spans="1:16" hidden="1" x14ac:dyDescent="0.25">
      <c r="A86">
        <v>85</v>
      </c>
      <c r="B86" t="s">
        <v>72</v>
      </c>
      <c r="C86" t="s">
        <v>273</v>
      </c>
      <c r="D86" t="s">
        <v>32</v>
      </c>
      <c r="E86" t="s">
        <v>49</v>
      </c>
      <c r="F86" s="3">
        <v>30</v>
      </c>
      <c r="G86">
        <v>38.5</v>
      </c>
      <c r="H86">
        <v>8.25</v>
      </c>
      <c r="I86">
        <v>20</v>
      </c>
      <c r="J86" t="s">
        <v>44</v>
      </c>
      <c r="K86" t="s">
        <v>20</v>
      </c>
      <c r="L86" t="s">
        <v>12</v>
      </c>
      <c r="M86" s="3">
        <v>65</v>
      </c>
      <c r="N86" s="2">
        <v>23000</v>
      </c>
      <c r="O86" t="str">
        <f t="shared" si="2"/>
        <v>&lt;=100</v>
      </c>
      <c r="P86" t="str">
        <f t="shared" si="3"/>
        <v>&lt;= 40000$</v>
      </c>
    </row>
    <row r="87" spans="1:16" hidden="1" x14ac:dyDescent="0.25">
      <c r="A87">
        <v>86</v>
      </c>
      <c r="B87" t="s">
        <v>72</v>
      </c>
      <c r="C87" t="s">
        <v>274</v>
      </c>
      <c r="D87" t="s">
        <v>32</v>
      </c>
      <c r="E87" t="s">
        <v>49</v>
      </c>
      <c r="F87" s="3">
        <v>30</v>
      </c>
      <c r="G87">
        <v>38</v>
      </c>
      <c r="H87">
        <v>7.45</v>
      </c>
      <c r="I87">
        <v>20</v>
      </c>
      <c r="J87" t="s">
        <v>44</v>
      </c>
      <c r="K87" t="s">
        <v>20</v>
      </c>
      <c r="L87" t="s">
        <v>45</v>
      </c>
      <c r="M87" s="3">
        <v>65</v>
      </c>
      <c r="N87" s="2">
        <v>23000</v>
      </c>
      <c r="O87" t="str">
        <f t="shared" si="2"/>
        <v>&lt;=100</v>
      </c>
      <c r="P87" t="str">
        <f t="shared" si="3"/>
        <v>&lt;= 40000$</v>
      </c>
    </row>
    <row r="88" spans="1:16" hidden="1" x14ac:dyDescent="0.25">
      <c r="A88">
        <v>87</v>
      </c>
      <c r="B88" t="s">
        <v>72</v>
      </c>
      <c r="C88" t="s">
        <v>275</v>
      </c>
      <c r="D88" t="s">
        <v>32</v>
      </c>
      <c r="E88" t="s">
        <v>49</v>
      </c>
      <c r="F88" s="3">
        <v>30</v>
      </c>
      <c r="G88">
        <v>40</v>
      </c>
      <c r="H88">
        <v>6.95</v>
      </c>
      <c r="I88">
        <v>20</v>
      </c>
      <c r="J88" t="s">
        <v>34</v>
      </c>
      <c r="K88" t="s">
        <v>20</v>
      </c>
      <c r="L88" t="s">
        <v>45</v>
      </c>
      <c r="M88" s="3">
        <v>65</v>
      </c>
      <c r="N88" s="2">
        <v>22500</v>
      </c>
      <c r="O88" t="str">
        <f t="shared" si="2"/>
        <v>&lt;=100</v>
      </c>
      <c r="P88" t="str">
        <f t="shared" si="3"/>
        <v>&lt;= 40000$</v>
      </c>
    </row>
    <row r="89" spans="1:16" hidden="1" x14ac:dyDescent="0.25">
      <c r="A89">
        <v>88</v>
      </c>
      <c r="B89" t="s">
        <v>72</v>
      </c>
      <c r="C89" t="s">
        <v>274</v>
      </c>
      <c r="D89" t="s">
        <v>32</v>
      </c>
      <c r="E89" t="s">
        <v>49</v>
      </c>
      <c r="F89" s="3">
        <v>30</v>
      </c>
      <c r="G89">
        <v>38</v>
      </c>
      <c r="H89">
        <v>8.25</v>
      </c>
      <c r="I89">
        <v>20</v>
      </c>
      <c r="J89" t="s">
        <v>44</v>
      </c>
      <c r="K89" t="s">
        <v>20</v>
      </c>
      <c r="L89" t="s">
        <v>45</v>
      </c>
      <c r="M89" s="3">
        <v>40</v>
      </c>
      <c r="N89" s="2">
        <v>22000</v>
      </c>
      <c r="O89" t="str">
        <f t="shared" si="2"/>
        <v>&lt;=100</v>
      </c>
      <c r="P89" t="str">
        <f t="shared" si="3"/>
        <v>&lt;= 40000$</v>
      </c>
    </row>
    <row r="90" spans="1:16" hidden="1" x14ac:dyDescent="0.25">
      <c r="A90">
        <v>89</v>
      </c>
      <c r="B90" t="s">
        <v>72</v>
      </c>
      <c r="C90" t="s">
        <v>276</v>
      </c>
      <c r="D90" t="s">
        <v>32</v>
      </c>
      <c r="E90" t="s">
        <v>17</v>
      </c>
      <c r="F90" s="3">
        <v>30</v>
      </c>
      <c r="G90">
        <v>38.5</v>
      </c>
      <c r="H90">
        <v>8.25</v>
      </c>
      <c r="I90">
        <v>20</v>
      </c>
      <c r="J90" t="s">
        <v>34</v>
      </c>
      <c r="K90" t="s">
        <v>20</v>
      </c>
      <c r="L90" t="s">
        <v>21</v>
      </c>
      <c r="M90" s="3">
        <v>38</v>
      </c>
      <c r="N90" s="2">
        <v>21500</v>
      </c>
      <c r="O90" t="str">
        <f t="shared" si="2"/>
        <v>&lt;=100</v>
      </c>
      <c r="P90" t="str">
        <f t="shared" si="3"/>
        <v>&lt;= 40000$</v>
      </c>
    </row>
    <row r="91" spans="1:16" hidden="1" x14ac:dyDescent="0.25">
      <c r="A91">
        <v>90</v>
      </c>
      <c r="B91" t="s">
        <v>72</v>
      </c>
      <c r="C91" t="s">
        <v>269</v>
      </c>
      <c r="D91" t="s">
        <v>32</v>
      </c>
      <c r="E91" t="s">
        <v>49</v>
      </c>
      <c r="F91" s="3">
        <v>30</v>
      </c>
      <c r="G91">
        <v>40</v>
      </c>
      <c r="H91">
        <v>6.8</v>
      </c>
      <c r="I91">
        <v>20</v>
      </c>
      <c r="J91" t="s">
        <v>44</v>
      </c>
      <c r="K91" t="s">
        <v>20</v>
      </c>
      <c r="L91" t="s">
        <v>45</v>
      </c>
      <c r="M91" s="3">
        <v>65</v>
      </c>
      <c r="N91" s="2">
        <v>20500</v>
      </c>
      <c r="O91" t="str">
        <f t="shared" si="2"/>
        <v>&lt;=100</v>
      </c>
      <c r="P91" t="str">
        <f t="shared" si="3"/>
        <v>&lt;= 40000$</v>
      </c>
    </row>
    <row r="92" spans="1:16" hidden="1" x14ac:dyDescent="0.25">
      <c r="A92">
        <v>91</v>
      </c>
      <c r="B92" t="s">
        <v>72</v>
      </c>
      <c r="C92" t="s">
        <v>277</v>
      </c>
      <c r="D92" t="s">
        <v>32</v>
      </c>
      <c r="E92" t="s">
        <v>17</v>
      </c>
      <c r="F92" s="3">
        <v>30</v>
      </c>
      <c r="G92">
        <v>39</v>
      </c>
      <c r="H92">
        <v>8.65</v>
      </c>
      <c r="I92">
        <v>21</v>
      </c>
      <c r="J92" t="s">
        <v>44</v>
      </c>
      <c r="K92" t="s">
        <v>20</v>
      </c>
      <c r="L92" t="s">
        <v>45</v>
      </c>
      <c r="M92" s="3">
        <v>55</v>
      </c>
      <c r="N92" s="2">
        <v>20000</v>
      </c>
      <c r="O92" t="str">
        <f t="shared" si="2"/>
        <v>&lt;=100</v>
      </c>
      <c r="P92" t="str">
        <f t="shared" si="3"/>
        <v>&lt;= 20000$</v>
      </c>
    </row>
    <row r="93" spans="1:16" hidden="1" x14ac:dyDescent="0.25">
      <c r="A93">
        <v>92</v>
      </c>
      <c r="B93" t="s">
        <v>72</v>
      </c>
      <c r="C93" t="s">
        <v>278</v>
      </c>
      <c r="D93" t="s">
        <v>32</v>
      </c>
      <c r="E93" t="s">
        <v>17</v>
      </c>
      <c r="F93" s="3">
        <v>30</v>
      </c>
      <c r="G93">
        <v>38</v>
      </c>
      <c r="H93">
        <v>8.25</v>
      </c>
      <c r="I93">
        <v>20</v>
      </c>
      <c r="J93" t="s">
        <v>44</v>
      </c>
      <c r="K93" t="s">
        <v>20</v>
      </c>
      <c r="L93" t="s">
        <v>45</v>
      </c>
      <c r="M93" s="3">
        <v>45</v>
      </c>
      <c r="N93" s="2">
        <v>20000</v>
      </c>
      <c r="O93" t="str">
        <f t="shared" si="2"/>
        <v>&lt;=100</v>
      </c>
      <c r="P93" t="str">
        <f t="shared" si="3"/>
        <v>&lt;= 20000$</v>
      </c>
    </row>
    <row r="94" spans="1:16" hidden="1" x14ac:dyDescent="0.25">
      <c r="A94">
        <v>93</v>
      </c>
      <c r="B94" t="s">
        <v>72</v>
      </c>
      <c r="C94" t="s">
        <v>279</v>
      </c>
      <c r="D94" t="s">
        <v>32</v>
      </c>
      <c r="E94" t="s">
        <v>17</v>
      </c>
      <c r="F94" s="3">
        <v>30</v>
      </c>
      <c r="G94">
        <v>40</v>
      </c>
      <c r="H94">
        <v>6.8</v>
      </c>
      <c r="I94">
        <v>20</v>
      </c>
      <c r="J94" t="s">
        <v>34</v>
      </c>
      <c r="K94" t="s">
        <v>20</v>
      </c>
      <c r="L94" t="s">
        <v>45</v>
      </c>
      <c r="M94" s="3">
        <v>55</v>
      </c>
      <c r="N94" s="2">
        <v>19000</v>
      </c>
      <c r="O94" t="str">
        <f t="shared" si="2"/>
        <v>&lt;=100</v>
      </c>
      <c r="P94" t="str">
        <f t="shared" si="3"/>
        <v>&lt;= 20000$</v>
      </c>
    </row>
    <row r="95" spans="1:16" hidden="1" x14ac:dyDescent="0.25">
      <c r="A95">
        <v>94</v>
      </c>
      <c r="B95" t="s">
        <v>72</v>
      </c>
      <c r="C95" t="s">
        <v>277</v>
      </c>
      <c r="D95" t="s">
        <v>32</v>
      </c>
      <c r="E95" t="s">
        <v>17</v>
      </c>
      <c r="F95" s="3">
        <v>30</v>
      </c>
      <c r="G95">
        <v>39</v>
      </c>
      <c r="H95">
        <v>10.199999999999999</v>
      </c>
      <c r="I95">
        <v>22</v>
      </c>
      <c r="J95" t="s">
        <v>44</v>
      </c>
      <c r="K95" t="s">
        <v>20</v>
      </c>
      <c r="L95" t="s">
        <v>45</v>
      </c>
      <c r="M95" s="3">
        <v>45</v>
      </c>
      <c r="N95" s="2">
        <v>19000</v>
      </c>
      <c r="O95" t="str">
        <f t="shared" si="2"/>
        <v>&lt;=100</v>
      </c>
      <c r="P95" t="str">
        <f t="shared" si="3"/>
        <v>&lt;= 20000$</v>
      </c>
    </row>
    <row r="96" spans="1:16" hidden="1" x14ac:dyDescent="0.25">
      <c r="A96">
        <v>95</v>
      </c>
      <c r="B96" t="s">
        <v>72</v>
      </c>
      <c r="C96" t="s">
        <v>280</v>
      </c>
      <c r="D96" t="s">
        <v>32</v>
      </c>
      <c r="E96" t="s">
        <v>17</v>
      </c>
      <c r="F96" s="3">
        <v>30</v>
      </c>
      <c r="G96">
        <v>39</v>
      </c>
      <c r="H96">
        <v>8.65</v>
      </c>
      <c r="I96">
        <v>20</v>
      </c>
      <c r="J96" t="s">
        <v>44</v>
      </c>
      <c r="K96" t="s">
        <v>20</v>
      </c>
      <c r="L96" t="s">
        <v>45</v>
      </c>
      <c r="M96" s="3">
        <v>40</v>
      </c>
      <c r="N96" s="2">
        <v>19000</v>
      </c>
      <c r="O96" t="str">
        <f t="shared" si="2"/>
        <v>&lt;=100</v>
      </c>
      <c r="P96" t="str">
        <f t="shared" si="3"/>
        <v>&lt;= 20000$</v>
      </c>
    </row>
    <row r="97" spans="1:16" hidden="1" x14ac:dyDescent="0.25">
      <c r="A97">
        <v>96</v>
      </c>
      <c r="B97" t="s">
        <v>72</v>
      </c>
      <c r="C97" t="s">
        <v>267</v>
      </c>
      <c r="D97" t="s">
        <v>32</v>
      </c>
      <c r="E97" t="s">
        <v>17</v>
      </c>
      <c r="F97" s="3">
        <v>30</v>
      </c>
      <c r="G97">
        <v>39</v>
      </c>
      <c r="H97">
        <v>10.199999999999999</v>
      </c>
      <c r="I97">
        <v>22</v>
      </c>
      <c r="J97" t="s">
        <v>44</v>
      </c>
      <c r="K97" t="s">
        <v>20</v>
      </c>
      <c r="L97" t="s">
        <v>45</v>
      </c>
      <c r="M97" s="3">
        <v>40</v>
      </c>
      <c r="N97" s="2">
        <v>18000</v>
      </c>
      <c r="O97" t="str">
        <f t="shared" si="2"/>
        <v>&lt;=100</v>
      </c>
      <c r="P97" t="str">
        <f t="shared" si="3"/>
        <v>&lt;= 20000$</v>
      </c>
    </row>
    <row r="98" spans="1:16" hidden="1" x14ac:dyDescent="0.25">
      <c r="A98">
        <v>97</v>
      </c>
      <c r="B98" t="s">
        <v>72</v>
      </c>
      <c r="C98" t="s">
        <v>274</v>
      </c>
      <c r="D98" t="s">
        <v>32</v>
      </c>
      <c r="E98" t="s">
        <v>49</v>
      </c>
      <c r="F98" s="3">
        <v>30</v>
      </c>
      <c r="G98">
        <v>38</v>
      </c>
      <c r="H98">
        <v>8.65</v>
      </c>
      <c r="I98">
        <v>20</v>
      </c>
      <c r="J98" t="s">
        <v>44</v>
      </c>
      <c r="K98" t="s">
        <v>20</v>
      </c>
      <c r="L98" t="s">
        <v>45</v>
      </c>
      <c r="M98" s="3">
        <v>40</v>
      </c>
      <c r="N98" s="2">
        <v>16000</v>
      </c>
      <c r="O98" t="str">
        <f t="shared" si="2"/>
        <v>&lt;=100</v>
      </c>
      <c r="P98" t="str">
        <f t="shared" si="3"/>
        <v>&lt;= 20000$</v>
      </c>
    </row>
    <row r="99" spans="1:16" hidden="1" x14ac:dyDescent="0.25">
      <c r="A99">
        <v>98</v>
      </c>
      <c r="B99" t="s">
        <v>72</v>
      </c>
      <c r="C99" t="s">
        <v>272</v>
      </c>
      <c r="D99" t="s">
        <v>32</v>
      </c>
      <c r="E99" t="s">
        <v>49</v>
      </c>
      <c r="F99" s="3">
        <v>30</v>
      </c>
      <c r="G99">
        <v>40</v>
      </c>
      <c r="H99">
        <v>6.1</v>
      </c>
      <c r="I99">
        <v>20</v>
      </c>
      <c r="J99" t="s">
        <v>44</v>
      </c>
      <c r="K99" t="s">
        <v>20</v>
      </c>
      <c r="L99" t="s">
        <v>45</v>
      </c>
      <c r="M99" s="3">
        <v>65</v>
      </c>
      <c r="N99" s="2">
        <v>16000</v>
      </c>
      <c r="O99" t="str">
        <f t="shared" si="2"/>
        <v>&lt;=100</v>
      </c>
      <c r="P99" t="str">
        <f t="shared" si="3"/>
        <v>&lt;= 20000$</v>
      </c>
    </row>
    <row r="100" spans="1:16" hidden="1" x14ac:dyDescent="0.25">
      <c r="A100">
        <v>99</v>
      </c>
      <c r="B100" t="s">
        <v>72</v>
      </c>
      <c r="C100" t="s">
        <v>267</v>
      </c>
      <c r="D100" t="s">
        <v>32</v>
      </c>
      <c r="E100" t="s">
        <v>49</v>
      </c>
      <c r="F100" s="3">
        <v>30</v>
      </c>
      <c r="G100">
        <v>39</v>
      </c>
      <c r="H100">
        <v>8.65</v>
      </c>
      <c r="I100">
        <v>20</v>
      </c>
      <c r="J100" t="s">
        <v>44</v>
      </c>
      <c r="K100" t="s">
        <v>20</v>
      </c>
      <c r="L100" t="s">
        <v>45</v>
      </c>
      <c r="M100" s="3">
        <v>40</v>
      </c>
      <c r="N100" s="2">
        <v>15200</v>
      </c>
      <c r="O100" t="str">
        <f t="shared" si="2"/>
        <v>&lt;=100</v>
      </c>
      <c r="P100" t="str">
        <f t="shared" si="3"/>
        <v>&lt;= 20000$</v>
      </c>
    </row>
    <row r="101" spans="1:16" hidden="1" x14ac:dyDescent="0.25">
      <c r="A101">
        <v>100</v>
      </c>
      <c r="B101" t="s">
        <v>72</v>
      </c>
      <c r="C101" t="s">
        <v>281</v>
      </c>
      <c r="D101" t="s">
        <v>32</v>
      </c>
      <c r="E101" t="s">
        <v>17</v>
      </c>
      <c r="F101" s="3">
        <v>100</v>
      </c>
      <c r="G101">
        <v>42</v>
      </c>
      <c r="H101">
        <v>13.85</v>
      </c>
      <c r="I101">
        <v>22</v>
      </c>
      <c r="J101" t="s">
        <v>44</v>
      </c>
      <c r="K101" t="s">
        <v>20</v>
      </c>
      <c r="L101" t="s">
        <v>35</v>
      </c>
      <c r="M101" s="3">
        <v>48</v>
      </c>
      <c r="N101" s="2">
        <v>9500</v>
      </c>
      <c r="O101" t="str">
        <f t="shared" si="2"/>
        <v>&lt;=100</v>
      </c>
      <c r="P101" t="str">
        <f t="shared" si="3"/>
        <v>&lt;= 10000$</v>
      </c>
    </row>
    <row r="102" spans="1:16" hidden="1" x14ac:dyDescent="0.25">
      <c r="A102">
        <v>101</v>
      </c>
      <c r="B102" t="s">
        <v>72</v>
      </c>
      <c r="C102" t="s">
        <v>282</v>
      </c>
      <c r="D102" t="s">
        <v>32</v>
      </c>
      <c r="E102" t="s">
        <v>17</v>
      </c>
      <c r="F102" s="3">
        <v>100</v>
      </c>
      <c r="G102">
        <v>39.5</v>
      </c>
      <c r="H102">
        <v>14.1</v>
      </c>
      <c r="I102">
        <v>20</v>
      </c>
      <c r="J102" t="s">
        <v>19</v>
      </c>
      <c r="K102" t="s">
        <v>20</v>
      </c>
      <c r="L102" t="s">
        <v>152</v>
      </c>
      <c r="M102" s="3">
        <v>48</v>
      </c>
      <c r="N102" s="2">
        <v>8800</v>
      </c>
      <c r="O102" t="str">
        <f t="shared" si="2"/>
        <v>&lt;=100</v>
      </c>
      <c r="P102" t="str">
        <f t="shared" si="3"/>
        <v>&lt;= 10000$</v>
      </c>
    </row>
    <row r="103" spans="1:16" hidden="1" x14ac:dyDescent="0.25">
      <c r="A103">
        <v>102</v>
      </c>
      <c r="B103" t="s">
        <v>37</v>
      </c>
      <c r="C103" t="s">
        <v>283</v>
      </c>
      <c r="D103" t="s">
        <v>16</v>
      </c>
      <c r="E103" t="s">
        <v>17</v>
      </c>
      <c r="F103" s="3">
        <v>30</v>
      </c>
      <c r="G103">
        <v>43</v>
      </c>
      <c r="H103">
        <v>14.25</v>
      </c>
      <c r="I103">
        <v>22</v>
      </c>
      <c r="J103" t="s">
        <v>19</v>
      </c>
      <c r="K103" t="s">
        <v>20</v>
      </c>
      <c r="L103" t="s">
        <v>35</v>
      </c>
      <c r="M103" s="3">
        <v>70</v>
      </c>
      <c r="N103" s="2">
        <v>7900</v>
      </c>
      <c r="O103" t="str">
        <f t="shared" si="2"/>
        <v>&lt;=100</v>
      </c>
      <c r="P103" t="str">
        <f t="shared" si="3"/>
        <v>&lt;= 10000$</v>
      </c>
    </row>
    <row r="104" spans="1:16" hidden="1" x14ac:dyDescent="0.25">
      <c r="A104">
        <v>103</v>
      </c>
      <c r="B104" t="s">
        <v>37</v>
      </c>
      <c r="C104" t="s">
        <v>283</v>
      </c>
      <c r="D104" t="s">
        <v>16</v>
      </c>
      <c r="E104" t="s">
        <v>17</v>
      </c>
      <c r="F104" s="3">
        <v>30</v>
      </c>
      <c r="G104">
        <v>43</v>
      </c>
      <c r="H104">
        <v>14.25</v>
      </c>
      <c r="I104">
        <v>22</v>
      </c>
      <c r="J104" t="s">
        <v>19</v>
      </c>
      <c r="K104" t="s">
        <v>20</v>
      </c>
      <c r="L104" t="s">
        <v>35</v>
      </c>
      <c r="M104" s="3">
        <v>70</v>
      </c>
      <c r="N104" s="2">
        <v>7900</v>
      </c>
      <c r="O104" t="str">
        <f t="shared" si="2"/>
        <v>&lt;=100</v>
      </c>
      <c r="P104" t="str">
        <f t="shared" si="3"/>
        <v>&lt;= 10000$</v>
      </c>
    </row>
    <row r="105" spans="1:16" hidden="1" x14ac:dyDescent="0.25">
      <c r="A105">
        <v>104</v>
      </c>
      <c r="B105" t="s">
        <v>37</v>
      </c>
      <c r="C105" t="s">
        <v>284</v>
      </c>
      <c r="D105" t="s">
        <v>16</v>
      </c>
      <c r="E105" t="s">
        <v>17</v>
      </c>
      <c r="F105" s="3">
        <v>200</v>
      </c>
      <c r="G105">
        <v>44</v>
      </c>
      <c r="H105">
        <v>16.95</v>
      </c>
      <c r="I105">
        <v>22</v>
      </c>
      <c r="J105" t="s">
        <v>28</v>
      </c>
      <c r="K105" t="s">
        <v>20</v>
      </c>
      <c r="L105" t="s">
        <v>141</v>
      </c>
      <c r="M105" s="3">
        <v>70</v>
      </c>
      <c r="N105" s="2">
        <v>6900</v>
      </c>
      <c r="O105" t="str">
        <f t="shared" si="2"/>
        <v>100-200</v>
      </c>
      <c r="P105" t="str">
        <f t="shared" si="3"/>
        <v>&lt;= 10000$</v>
      </c>
    </row>
    <row r="106" spans="1:16" hidden="1" x14ac:dyDescent="0.25">
      <c r="A106">
        <v>105</v>
      </c>
      <c r="B106" t="s">
        <v>37</v>
      </c>
      <c r="C106" t="s">
        <v>285</v>
      </c>
      <c r="D106" t="s">
        <v>26</v>
      </c>
      <c r="E106" t="s">
        <v>17</v>
      </c>
      <c r="F106" s="3">
        <v>200</v>
      </c>
      <c r="G106">
        <v>42</v>
      </c>
      <c r="H106">
        <v>14.35</v>
      </c>
      <c r="I106">
        <v>22</v>
      </c>
      <c r="J106" t="s">
        <v>19</v>
      </c>
      <c r="K106" t="s">
        <v>20</v>
      </c>
      <c r="L106" t="s">
        <v>21</v>
      </c>
      <c r="M106" s="3">
        <v>38</v>
      </c>
      <c r="N106" s="2">
        <v>4800</v>
      </c>
      <c r="O106" t="str">
        <f t="shared" si="2"/>
        <v>100-200</v>
      </c>
      <c r="P106" t="str">
        <f t="shared" si="3"/>
        <v>&lt;=5000$</v>
      </c>
    </row>
    <row r="107" spans="1:16" hidden="1" x14ac:dyDescent="0.25">
      <c r="A107">
        <v>106</v>
      </c>
      <c r="B107" t="s">
        <v>37</v>
      </c>
      <c r="C107" t="s">
        <v>286</v>
      </c>
      <c r="D107" t="s">
        <v>26</v>
      </c>
      <c r="E107" t="s">
        <v>17</v>
      </c>
      <c r="F107" s="3">
        <v>300</v>
      </c>
      <c r="G107">
        <v>43</v>
      </c>
      <c r="H107">
        <v>16.5</v>
      </c>
      <c r="I107">
        <v>22</v>
      </c>
      <c r="J107" t="s">
        <v>19</v>
      </c>
      <c r="K107" t="s">
        <v>20</v>
      </c>
      <c r="L107" t="s">
        <v>141</v>
      </c>
      <c r="M107" s="3">
        <v>42</v>
      </c>
      <c r="N107" s="2">
        <v>4600</v>
      </c>
      <c r="O107" t="str">
        <f t="shared" si="2"/>
        <v>200-300</v>
      </c>
      <c r="P107" t="str">
        <f t="shared" si="3"/>
        <v>&lt;=5000$</v>
      </c>
    </row>
    <row r="108" spans="1:16" hidden="1" x14ac:dyDescent="0.25">
      <c r="A108">
        <v>107</v>
      </c>
      <c r="B108" t="s">
        <v>37</v>
      </c>
      <c r="C108" t="s">
        <v>287</v>
      </c>
      <c r="D108" t="s">
        <v>26</v>
      </c>
      <c r="E108" t="s">
        <v>17</v>
      </c>
      <c r="F108" s="3">
        <v>200</v>
      </c>
      <c r="G108">
        <v>44</v>
      </c>
      <c r="H108">
        <v>14.2</v>
      </c>
      <c r="I108">
        <v>22</v>
      </c>
      <c r="J108" t="s">
        <v>19</v>
      </c>
      <c r="K108" t="s">
        <v>20</v>
      </c>
      <c r="L108" t="s">
        <v>21</v>
      </c>
      <c r="M108" s="3">
        <v>42</v>
      </c>
      <c r="N108" s="2">
        <v>4500</v>
      </c>
      <c r="O108" t="str">
        <f t="shared" si="2"/>
        <v>100-200</v>
      </c>
      <c r="P108" t="str">
        <f t="shared" si="3"/>
        <v>&lt;=5000$</v>
      </c>
    </row>
    <row r="109" spans="1:16" hidden="1" x14ac:dyDescent="0.25">
      <c r="A109">
        <v>108</v>
      </c>
      <c r="B109" t="s">
        <v>37</v>
      </c>
      <c r="C109" t="s">
        <v>285</v>
      </c>
      <c r="D109" t="s">
        <v>32</v>
      </c>
      <c r="E109" t="s">
        <v>17</v>
      </c>
      <c r="F109" s="3">
        <v>200</v>
      </c>
      <c r="G109">
        <v>42</v>
      </c>
      <c r="H109">
        <v>14.35</v>
      </c>
      <c r="I109">
        <v>20</v>
      </c>
      <c r="J109" t="s">
        <v>19</v>
      </c>
      <c r="K109" t="s">
        <v>20</v>
      </c>
      <c r="L109" t="s">
        <v>21</v>
      </c>
      <c r="M109" s="3">
        <v>38</v>
      </c>
      <c r="N109" s="2">
        <v>4400</v>
      </c>
      <c r="O109" t="str">
        <f t="shared" si="2"/>
        <v>100-200</v>
      </c>
      <c r="P109" t="str">
        <f t="shared" si="3"/>
        <v>&lt;=5000$</v>
      </c>
    </row>
    <row r="110" spans="1:16" hidden="1" x14ac:dyDescent="0.25">
      <c r="A110">
        <v>109</v>
      </c>
      <c r="B110" t="s">
        <v>37</v>
      </c>
      <c r="C110" t="s">
        <v>285</v>
      </c>
      <c r="D110" t="s">
        <v>32</v>
      </c>
      <c r="E110" t="s">
        <v>17</v>
      </c>
      <c r="F110" s="3">
        <v>200</v>
      </c>
      <c r="G110">
        <v>42</v>
      </c>
      <c r="H110">
        <v>14.35</v>
      </c>
      <c r="I110">
        <v>20</v>
      </c>
      <c r="J110" t="s">
        <v>19</v>
      </c>
      <c r="K110" t="s">
        <v>20</v>
      </c>
      <c r="L110" t="s">
        <v>21</v>
      </c>
      <c r="M110" s="3">
        <v>38</v>
      </c>
      <c r="N110" s="2">
        <v>4400</v>
      </c>
      <c r="O110" t="str">
        <f t="shared" si="2"/>
        <v>100-200</v>
      </c>
      <c r="P110" t="str">
        <f t="shared" si="3"/>
        <v>&lt;=5000$</v>
      </c>
    </row>
    <row r="111" spans="1:16" hidden="1" x14ac:dyDescent="0.25">
      <c r="A111">
        <v>110</v>
      </c>
      <c r="B111" t="s">
        <v>37</v>
      </c>
      <c r="C111" t="s">
        <v>288</v>
      </c>
      <c r="D111" t="s">
        <v>26</v>
      </c>
      <c r="E111" t="s">
        <v>17</v>
      </c>
      <c r="F111" s="3">
        <v>200</v>
      </c>
      <c r="G111">
        <v>44</v>
      </c>
      <c r="H111">
        <v>14.2</v>
      </c>
      <c r="I111">
        <v>22</v>
      </c>
      <c r="J111" t="s">
        <v>19</v>
      </c>
      <c r="K111" t="s">
        <v>20</v>
      </c>
      <c r="L111" t="s">
        <v>21</v>
      </c>
      <c r="M111" s="3">
        <v>70</v>
      </c>
      <c r="N111" s="2">
        <v>4300</v>
      </c>
      <c r="O111" t="str">
        <f t="shared" si="2"/>
        <v>100-200</v>
      </c>
      <c r="P111" t="str">
        <f t="shared" si="3"/>
        <v>&lt;=5000$</v>
      </c>
    </row>
    <row r="112" spans="1:16" hidden="1" x14ac:dyDescent="0.25">
      <c r="A112">
        <v>111</v>
      </c>
      <c r="B112" t="s">
        <v>37</v>
      </c>
      <c r="C112" t="s">
        <v>289</v>
      </c>
      <c r="D112" t="s">
        <v>26</v>
      </c>
      <c r="E112" t="s">
        <v>17</v>
      </c>
      <c r="F112" s="3">
        <v>1000</v>
      </c>
      <c r="G112">
        <v>42</v>
      </c>
      <c r="H112">
        <v>13.3</v>
      </c>
      <c r="I112">
        <v>20</v>
      </c>
      <c r="J112" t="s">
        <v>28</v>
      </c>
      <c r="K112" t="s">
        <v>20</v>
      </c>
      <c r="L112" t="s">
        <v>21</v>
      </c>
      <c r="M112" s="3">
        <v>38</v>
      </c>
      <c r="N112" s="2">
        <v>4100</v>
      </c>
      <c r="O112" t="str">
        <f t="shared" si="2"/>
        <v>1000+</v>
      </c>
      <c r="P112" t="str">
        <f t="shared" si="3"/>
        <v>&lt;=5000$</v>
      </c>
    </row>
    <row r="113" spans="1:16" hidden="1" x14ac:dyDescent="0.25">
      <c r="A113">
        <v>112</v>
      </c>
      <c r="B113" t="s">
        <v>37</v>
      </c>
      <c r="C113" t="s">
        <v>289</v>
      </c>
      <c r="D113" t="s">
        <v>26</v>
      </c>
      <c r="E113" t="s">
        <v>17</v>
      </c>
      <c r="F113" s="3">
        <v>1000</v>
      </c>
      <c r="G113">
        <v>42</v>
      </c>
      <c r="H113">
        <v>13.32</v>
      </c>
      <c r="I113">
        <v>20</v>
      </c>
      <c r="J113" t="s">
        <v>28</v>
      </c>
      <c r="K113" t="s">
        <v>20</v>
      </c>
      <c r="L113" t="s">
        <v>21</v>
      </c>
      <c r="M113" s="3">
        <v>38</v>
      </c>
      <c r="N113" s="2">
        <v>3850</v>
      </c>
      <c r="O113" t="str">
        <f t="shared" si="2"/>
        <v>1000+</v>
      </c>
      <c r="P113" t="str">
        <f t="shared" si="3"/>
        <v>&lt;=5000$</v>
      </c>
    </row>
    <row r="114" spans="1:16" hidden="1" x14ac:dyDescent="0.25">
      <c r="A114">
        <v>113</v>
      </c>
      <c r="B114" t="s">
        <v>37</v>
      </c>
      <c r="C114" t="s">
        <v>287</v>
      </c>
      <c r="D114" t="s">
        <v>26</v>
      </c>
      <c r="E114" t="s">
        <v>17</v>
      </c>
      <c r="F114" s="3">
        <v>1000</v>
      </c>
      <c r="G114">
        <v>44</v>
      </c>
      <c r="H114">
        <v>14.21</v>
      </c>
      <c r="I114">
        <v>22</v>
      </c>
      <c r="J114" t="s">
        <v>28</v>
      </c>
      <c r="K114" t="s">
        <v>20</v>
      </c>
      <c r="L114" t="s">
        <v>21</v>
      </c>
      <c r="M114" s="3">
        <v>38</v>
      </c>
      <c r="N114" s="2">
        <v>3800</v>
      </c>
      <c r="O114" t="str">
        <f t="shared" si="2"/>
        <v>1000+</v>
      </c>
      <c r="P114" t="str">
        <f t="shared" si="3"/>
        <v>&lt;=5000$</v>
      </c>
    </row>
    <row r="115" spans="1:16" hidden="1" x14ac:dyDescent="0.25">
      <c r="A115">
        <v>114</v>
      </c>
      <c r="B115" t="s">
        <v>37</v>
      </c>
      <c r="C115" t="s">
        <v>289</v>
      </c>
      <c r="D115" t="s">
        <v>26</v>
      </c>
      <c r="E115" t="s">
        <v>17</v>
      </c>
      <c r="F115" s="3">
        <v>500</v>
      </c>
      <c r="G115">
        <v>42</v>
      </c>
      <c r="H115">
        <v>13.32</v>
      </c>
      <c r="I115">
        <v>20</v>
      </c>
      <c r="J115" t="s">
        <v>28</v>
      </c>
      <c r="K115" t="s">
        <v>20</v>
      </c>
      <c r="L115" t="s">
        <v>21</v>
      </c>
      <c r="M115" s="3">
        <v>38</v>
      </c>
      <c r="N115" s="2">
        <v>3600</v>
      </c>
      <c r="O115" t="str">
        <f t="shared" si="2"/>
        <v>300-500</v>
      </c>
      <c r="P115" t="str">
        <f t="shared" si="3"/>
        <v>&lt;=5000$</v>
      </c>
    </row>
    <row r="116" spans="1:16" hidden="1" x14ac:dyDescent="0.25">
      <c r="A116">
        <v>115</v>
      </c>
      <c r="B116" t="s">
        <v>37</v>
      </c>
      <c r="C116" t="s">
        <v>289</v>
      </c>
      <c r="D116" t="s">
        <v>26</v>
      </c>
      <c r="E116" t="s">
        <v>17</v>
      </c>
      <c r="F116" s="3">
        <v>2000</v>
      </c>
      <c r="G116">
        <v>42</v>
      </c>
      <c r="H116">
        <v>13.32</v>
      </c>
      <c r="I116">
        <v>20</v>
      </c>
      <c r="J116" t="s">
        <v>28</v>
      </c>
      <c r="K116" t="s">
        <v>20</v>
      </c>
      <c r="L116" t="s">
        <v>21</v>
      </c>
      <c r="M116" s="3">
        <v>38</v>
      </c>
      <c r="N116" s="2">
        <v>3600</v>
      </c>
      <c r="O116" t="str">
        <f t="shared" si="2"/>
        <v>1000+</v>
      </c>
      <c r="P116" t="str">
        <f t="shared" si="3"/>
        <v>&lt;=5000$</v>
      </c>
    </row>
    <row r="117" spans="1:16" hidden="1" x14ac:dyDescent="0.25">
      <c r="A117">
        <v>116</v>
      </c>
      <c r="B117" t="s">
        <v>37</v>
      </c>
      <c r="C117" t="s">
        <v>290</v>
      </c>
      <c r="D117" t="s">
        <v>16</v>
      </c>
      <c r="E117" t="s">
        <v>17</v>
      </c>
      <c r="F117" s="3">
        <v>200</v>
      </c>
      <c r="G117">
        <v>44</v>
      </c>
      <c r="H117">
        <v>14.2</v>
      </c>
      <c r="I117">
        <v>22</v>
      </c>
      <c r="J117" t="s">
        <v>28</v>
      </c>
      <c r="K117" t="s">
        <v>20</v>
      </c>
      <c r="L117" t="s">
        <v>21</v>
      </c>
      <c r="M117" s="3">
        <v>38</v>
      </c>
      <c r="N117" s="2">
        <v>3250</v>
      </c>
      <c r="O117" t="str">
        <f t="shared" si="2"/>
        <v>100-200</v>
      </c>
      <c r="P117" t="str">
        <f t="shared" si="3"/>
        <v>&lt;=5000$</v>
      </c>
    </row>
    <row r="118" spans="1:16" hidden="1" x14ac:dyDescent="0.25">
      <c r="A118">
        <v>117</v>
      </c>
      <c r="B118" t="s">
        <v>37</v>
      </c>
      <c r="C118" t="s">
        <v>289</v>
      </c>
      <c r="D118" t="s">
        <v>26</v>
      </c>
      <c r="E118" t="s">
        <v>17</v>
      </c>
      <c r="F118" s="3">
        <v>500</v>
      </c>
      <c r="G118">
        <v>42</v>
      </c>
      <c r="H118">
        <v>13.3</v>
      </c>
      <c r="I118">
        <v>20</v>
      </c>
      <c r="J118" t="s">
        <v>28</v>
      </c>
      <c r="K118" t="s">
        <v>20</v>
      </c>
      <c r="L118" t="s">
        <v>21</v>
      </c>
      <c r="M118" s="3">
        <v>38</v>
      </c>
      <c r="N118" s="2">
        <v>3200</v>
      </c>
      <c r="O118" t="str">
        <f t="shared" si="2"/>
        <v>300-500</v>
      </c>
      <c r="P118" t="str">
        <f t="shared" si="3"/>
        <v>&lt;=5000$</v>
      </c>
    </row>
    <row r="119" spans="1:16" hidden="1" x14ac:dyDescent="0.25">
      <c r="A119">
        <v>118</v>
      </c>
      <c r="B119" t="s">
        <v>124</v>
      </c>
      <c r="C119" t="s">
        <v>291</v>
      </c>
      <c r="D119" t="s">
        <v>32</v>
      </c>
      <c r="E119" t="s">
        <v>17</v>
      </c>
      <c r="F119" s="3">
        <v>100</v>
      </c>
      <c r="G119">
        <v>40</v>
      </c>
      <c r="H119">
        <v>5.15</v>
      </c>
      <c r="I119">
        <v>28</v>
      </c>
      <c r="J119" t="s">
        <v>19</v>
      </c>
      <c r="K119" t="s">
        <v>20</v>
      </c>
      <c r="L119" t="s">
        <v>45</v>
      </c>
      <c r="M119" s="3">
        <v>60</v>
      </c>
      <c r="N119" s="2">
        <v>12800</v>
      </c>
      <c r="O119" t="str">
        <f t="shared" si="2"/>
        <v>&lt;=100</v>
      </c>
      <c r="P119" t="str">
        <f t="shared" si="3"/>
        <v>&lt;= 20000$</v>
      </c>
    </row>
    <row r="120" spans="1:16" hidden="1" x14ac:dyDescent="0.25">
      <c r="A120">
        <v>119</v>
      </c>
      <c r="B120" t="s">
        <v>124</v>
      </c>
      <c r="C120" t="s">
        <v>291</v>
      </c>
      <c r="D120" t="s">
        <v>32</v>
      </c>
      <c r="E120" t="s">
        <v>17</v>
      </c>
      <c r="F120" s="3">
        <v>30</v>
      </c>
      <c r="G120">
        <v>40</v>
      </c>
      <c r="H120">
        <v>5.5</v>
      </c>
      <c r="I120">
        <v>21</v>
      </c>
      <c r="J120" t="s">
        <v>19</v>
      </c>
      <c r="K120" t="s">
        <v>20</v>
      </c>
      <c r="L120" t="s">
        <v>45</v>
      </c>
      <c r="M120" s="3">
        <v>55</v>
      </c>
      <c r="N120" s="2">
        <v>10000</v>
      </c>
      <c r="O120" t="str">
        <f t="shared" si="2"/>
        <v>&lt;=100</v>
      </c>
      <c r="P120" t="str">
        <f t="shared" si="3"/>
        <v>&lt;= 10000$</v>
      </c>
    </row>
    <row r="121" spans="1:16" hidden="1" x14ac:dyDescent="0.25">
      <c r="A121">
        <v>120</v>
      </c>
      <c r="B121" t="s">
        <v>124</v>
      </c>
      <c r="C121" t="s">
        <v>291</v>
      </c>
      <c r="D121" t="s">
        <v>25</v>
      </c>
      <c r="E121" t="s">
        <v>17</v>
      </c>
      <c r="F121" s="3">
        <v>30</v>
      </c>
      <c r="G121">
        <v>40</v>
      </c>
      <c r="H121">
        <v>5.15</v>
      </c>
      <c r="I121">
        <v>28</v>
      </c>
      <c r="J121" t="s">
        <v>19</v>
      </c>
      <c r="K121" t="s">
        <v>20</v>
      </c>
      <c r="L121" t="s">
        <v>45</v>
      </c>
      <c r="M121" s="3">
        <v>55</v>
      </c>
      <c r="N121" s="2">
        <v>10000</v>
      </c>
      <c r="O121" t="str">
        <f t="shared" si="2"/>
        <v>&lt;=100</v>
      </c>
      <c r="P121" t="str">
        <f t="shared" si="3"/>
        <v>&lt;= 10000$</v>
      </c>
    </row>
    <row r="122" spans="1:16" x14ac:dyDescent="0.25">
      <c r="A122">
        <v>121</v>
      </c>
      <c r="B122" t="s">
        <v>157</v>
      </c>
      <c r="C122" t="s">
        <v>292</v>
      </c>
      <c r="D122" t="s">
        <v>16</v>
      </c>
      <c r="E122" t="s">
        <v>43</v>
      </c>
      <c r="F122" s="3">
        <v>300</v>
      </c>
      <c r="G122">
        <v>46.5</v>
      </c>
      <c r="H122">
        <v>17.5</v>
      </c>
      <c r="I122">
        <v>24</v>
      </c>
      <c r="J122" t="s">
        <v>19</v>
      </c>
      <c r="K122" t="s">
        <v>55</v>
      </c>
      <c r="L122" t="s">
        <v>35</v>
      </c>
      <c r="M122" s="3" t="s">
        <v>46</v>
      </c>
      <c r="N122" s="2">
        <v>650</v>
      </c>
      <c r="O122" t="str">
        <f t="shared" ref="O122:O185" si="4">IF($F122&lt;=100, "&lt;=100", IF($F122&lt;=200, "100-200", IF($F122&lt;=300, "200-300", IF($F122&lt;=500, "300-500", IF($F122&lt;1000, "500-1000", "1000+")))))</f>
        <v>200-300</v>
      </c>
      <c r="P122" t="str">
        <f t="shared" ref="P122:P185" si="5">IF(N122&lt;=1000, "&lt;= 1000$", IF(N122&lt;=2000, " &lt;=2000$", IF(N122&lt;=5000, "&lt;=5000$", IF(N122&lt;=10000, "&lt;= 10000$", IF(N122&lt;=20000, "&lt;= 20000$", IF(N122&lt;40000, "&lt;= 40000$", "40000$ +"))))))</f>
        <v>&lt;= 1000$</v>
      </c>
    </row>
    <row r="123" spans="1:16" hidden="1" x14ac:dyDescent="0.25">
      <c r="A123">
        <v>122</v>
      </c>
      <c r="B123" t="s">
        <v>41</v>
      </c>
      <c r="C123" t="s">
        <v>293</v>
      </c>
      <c r="D123" t="s">
        <v>32</v>
      </c>
      <c r="E123" t="s">
        <v>49</v>
      </c>
      <c r="F123" s="3">
        <v>30</v>
      </c>
      <c r="G123">
        <v>27.5</v>
      </c>
      <c r="H123">
        <v>6.5</v>
      </c>
      <c r="I123">
        <v>18</v>
      </c>
      <c r="J123" t="s">
        <v>44</v>
      </c>
      <c r="K123" t="s">
        <v>20</v>
      </c>
      <c r="L123" t="s">
        <v>45</v>
      </c>
      <c r="M123" s="3" t="s">
        <v>46</v>
      </c>
      <c r="N123" s="2">
        <v>14200</v>
      </c>
      <c r="O123" t="str">
        <f t="shared" si="4"/>
        <v>&lt;=100</v>
      </c>
      <c r="P123" t="str">
        <f t="shared" si="5"/>
        <v>&lt;= 20000$</v>
      </c>
    </row>
    <row r="124" spans="1:16" hidden="1" x14ac:dyDescent="0.25">
      <c r="A124">
        <v>123</v>
      </c>
      <c r="B124" t="s">
        <v>41</v>
      </c>
      <c r="C124" t="s">
        <v>294</v>
      </c>
      <c r="D124" t="s">
        <v>32</v>
      </c>
      <c r="E124" t="s">
        <v>17</v>
      </c>
      <c r="F124" s="3">
        <v>30</v>
      </c>
      <c r="G124">
        <v>33</v>
      </c>
      <c r="H124">
        <v>9.9600000000000009</v>
      </c>
      <c r="I124">
        <v>18</v>
      </c>
      <c r="J124" t="s">
        <v>44</v>
      </c>
      <c r="K124" t="s">
        <v>20</v>
      </c>
      <c r="L124" t="s">
        <v>21</v>
      </c>
      <c r="M124" s="3">
        <v>42</v>
      </c>
      <c r="N124" s="2">
        <v>13200</v>
      </c>
      <c r="O124" t="str">
        <f t="shared" si="4"/>
        <v>&lt;=100</v>
      </c>
      <c r="P124" t="str">
        <f t="shared" si="5"/>
        <v>&lt;= 20000$</v>
      </c>
    </row>
    <row r="125" spans="1:16" hidden="1" x14ac:dyDescent="0.25">
      <c r="A125">
        <v>124</v>
      </c>
      <c r="B125" t="s">
        <v>41</v>
      </c>
      <c r="C125" t="s">
        <v>294</v>
      </c>
      <c r="D125" t="s">
        <v>32</v>
      </c>
      <c r="E125" t="s">
        <v>17</v>
      </c>
      <c r="F125" s="3">
        <v>30</v>
      </c>
      <c r="G125">
        <v>33</v>
      </c>
      <c r="H125">
        <v>9.9600000000000009</v>
      </c>
      <c r="I125">
        <v>18</v>
      </c>
      <c r="J125" t="s">
        <v>44</v>
      </c>
      <c r="K125" t="s">
        <v>20</v>
      </c>
      <c r="L125" t="s">
        <v>21</v>
      </c>
      <c r="M125" s="3">
        <v>42</v>
      </c>
      <c r="N125" s="2">
        <v>13000</v>
      </c>
      <c r="O125" t="str">
        <f t="shared" si="4"/>
        <v>&lt;=100</v>
      </c>
      <c r="P125" t="str">
        <f t="shared" si="5"/>
        <v>&lt;= 20000$</v>
      </c>
    </row>
    <row r="126" spans="1:16" hidden="1" x14ac:dyDescent="0.25">
      <c r="A126">
        <v>125</v>
      </c>
      <c r="B126" t="s">
        <v>41</v>
      </c>
      <c r="C126" t="s">
        <v>295</v>
      </c>
      <c r="D126" t="s">
        <v>16</v>
      </c>
      <c r="E126" t="s">
        <v>17</v>
      </c>
      <c r="F126" s="3">
        <v>100</v>
      </c>
      <c r="G126">
        <v>39.799999999999997</v>
      </c>
      <c r="H126">
        <v>9.08</v>
      </c>
      <c r="I126">
        <v>21.5</v>
      </c>
      <c r="J126" t="s">
        <v>44</v>
      </c>
      <c r="K126" t="s">
        <v>20</v>
      </c>
      <c r="L126" t="s">
        <v>21</v>
      </c>
      <c r="M126" s="3">
        <v>42</v>
      </c>
      <c r="N126" s="2">
        <v>7500</v>
      </c>
      <c r="O126" t="str">
        <f t="shared" si="4"/>
        <v>&lt;=100</v>
      </c>
      <c r="P126" t="str">
        <f t="shared" si="5"/>
        <v>&lt;= 10000$</v>
      </c>
    </row>
    <row r="127" spans="1:16" hidden="1" x14ac:dyDescent="0.25">
      <c r="A127">
        <v>126</v>
      </c>
      <c r="B127" t="s">
        <v>41</v>
      </c>
      <c r="C127" t="s">
        <v>296</v>
      </c>
      <c r="D127" t="s">
        <v>16</v>
      </c>
      <c r="E127" t="s">
        <v>17</v>
      </c>
      <c r="F127" s="3">
        <v>30</v>
      </c>
      <c r="G127">
        <v>42</v>
      </c>
      <c r="H127">
        <v>13</v>
      </c>
      <c r="I127">
        <v>22</v>
      </c>
      <c r="J127" t="s">
        <v>44</v>
      </c>
      <c r="K127" t="s">
        <v>20</v>
      </c>
      <c r="L127" t="s">
        <v>21</v>
      </c>
      <c r="M127" s="3">
        <v>42</v>
      </c>
      <c r="N127" s="2">
        <v>7500</v>
      </c>
      <c r="O127" t="str">
        <f t="shared" si="4"/>
        <v>&lt;=100</v>
      </c>
      <c r="P127" t="str">
        <f t="shared" si="5"/>
        <v>&lt;= 10000$</v>
      </c>
    </row>
    <row r="128" spans="1:16" hidden="1" x14ac:dyDescent="0.25">
      <c r="A128">
        <v>127</v>
      </c>
      <c r="B128" t="s">
        <v>41</v>
      </c>
      <c r="C128" t="s">
        <v>296</v>
      </c>
      <c r="D128" t="s">
        <v>16</v>
      </c>
      <c r="E128" t="s">
        <v>17</v>
      </c>
      <c r="F128" s="3">
        <v>30</v>
      </c>
      <c r="G128">
        <v>42</v>
      </c>
      <c r="H128">
        <v>13</v>
      </c>
      <c r="I128">
        <v>22</v>
      </c>
      <c r="J128" t="s">
        <v>44</v>
      </c>
      <c r="K128" t="s">
        <v>20</v>
      </c>
      <c r="L128" t="s">
        <v>21</v>
      </c>
      <c r="M128" s="3">
        <v>42</v>
      </c>
      <c r="N128" s="2">
        <v>7500</v>
      </c>
      <c r="O128" t="str">
        <f t="shared" si="4"/>
        <v>&lt;=100</v>
      </c>
      <c r="P128" t="str">
        <f t="shared" si="5"/>
        <v>&lt;= 10000$</v>
      </c>
    </row>
    <row r="129" spans="1:16" hidden="1" x14ac:dyDescent="0.25">
      <c r="A129">
        <v>128</v>
      </c>
      <c r="B129" t="s">
        <v>41</v>
      </c>
      <c r="C129" t="s">
        <v>295</v>
      </c>
      <c r="D129" t="s">
        <v>32</v>
      </c>
      <c r="E129" t="s">
        <v>17</v>
      </c>
      <c r="F129" s="3">
        <v>100</v>
      </c>
      <c r="G129">
        <v>39.799999999999997</v>
      </c>
      <c r="H129">
        <v>9.08</v>
      </c>
      <c r="I129">
        <v>20</v>
      </c>
      <c r="J129" t="s">
        <v>44</v>
      </c>
      <c r="K129" t="s">
        <v>20</v>
      </c>
      <c r="L129" t="s">
        <v>21</v>
      </c>
      <c r="M129" s="3">
        <v>42</v>
      </c>
      <c r="N129" s="2">
        <v>6600</v>
      </c>
      <c r="O129" t="str">
        <f t="shared" si="4"/>
        <v>&lt;=100</v>
      </c>
      <c r="P129" t="str">
        <f t="shared" si="5"/>
        <v>&lt;= 10000$</v>
      </c>
    </row>
    <row r="130" spans="1:16" hidden="1" x14ac:dyDescent="0.25">
      <c r="A130">
        <v>129</v>
      </c>
      <c r="B130" t="s">
        <v>41</v>
      </c>
      <c r="C130" t="s">
        <v>297</v>
      </c>
      <c r="D130" t="s">
        <v>16</v>
      </c>
      <c r="E130" t="s">
        <v>17</v>
      </c>
      <c r="F130" s="3">
        <v>30</v>
      </c>
      <c r="G130">
        <v>33</v>
      </c>
      <c r="H130">
        <v>9.9600000000000009</v>
      </c>
      <c r="I130">
        <v>18</v>
      </c>
      <c r="J130" t="s">
        <v>44</v>
      </c>
      <c r="K130" t="s">
        <v>20</v>
      </c>
      <c r="L130" t="s">
        <v>21</v>
      </c>
      <c r="M130" s="3">
        <v>42</v>
      </c>
      <c r="N130" s="2">
        <v>6500</v>
      </c>
      <c r="O130" t="str">
        <f t="shared" si="4"/>
        <v>&lt;=100</v>
      </c>
      <c r="P130" t="str">
        <f t="shared" si="5"/>
        <v>&lt;= 10000$</v>
      </c>
    </row>
    <row r="131" spans="1:16" hidden="1" x14ac:dyDescent="0.25">
      <c r="A131">
        <v>130</v>
      </c>
      <c r="B131" t="s">
        <v>41</v>
      </c>
      <c r="C131" t="s">
        <v>298</v>
      </c>
      <c r="D131" t="s">
        <v>16</v>
      </c>
      <c r="E131" t="s">
        <v>17</v>
      </c>
      <c r="F131" s="3">
        <v>100</v>
      </c>
      <c r="G131">
        <v>39.799999999999997</v>
      </c>
      <c r="H131">
        <v>9.08</v>
      </c>
      <c r="I131">
        <v>20</v>
      </c>
      <c r="J131" t="s">
        <v>44</v>
      </c>
      <c r="K131" t="s">
        <v>20</v>
      </c>
      <c r="L131" t="s">
        <v>21</v>
      </c>
      <c r="M131" s="3">
        <v>42</v>
      </c>
      <c r="N131" s="2">
        <v>6500</v>
      </c>
      <c r="O131" t="str">
        <f t="shared" si="4"/>
        <v>&lt;=100</v>
      </c>
      <c r="P131" t="str">
        <f t="shared" si="5"/>
        <v>&lt;= 10000$</v>
      </c>
    </row>
    <row r="132" spans="1:16" hidden="1" x14ac:dyDescent="0.25">
      <c r="A132">
        <v>131</v>
      </c>
      <c r="B132" t="s">
        <v>41</v>
      </c>
      <c r="C132" t="s">
        <v>295</v>
      </c>
      <c r="D132" t="s">
        <v>16</v>
      </c>
      <c r="E132" t="s">
        <v>17</v>
      </c>
      <c r="F132" s="3">
        <v>100</v>
      </c>
      <c r="G132">
        <v>39.799999999999997</v>
      </c>
      <c r="H132">
        <v>9.08</v>
      </c>
      <c r="I132">
        <v>20</v>
      </c>
      <c r="J132" t="s">
        <v>44</v>
      </c>
      <c r="K132" t="s">
        <v>20</v>
      </c>
      <c r="L132" t="s">
        <v>21</v>
      </c>
      <c r="M132" s="3">
        <v>42</v>
      </c>
      <c r="N132" s="2">
        <v>6200</v>
      </c>
      <c r="O132" t="str">
        <f t="shared" si="4"/>
        <v>&lt;=100</v>
      </c>
      <c r="P132" t="str">
        <f t="shared" si="5"/>
        <v>&lt;= 10000$</v>
      </c>
    </row>
    <row r="133" spans="1:16" hidden="1" x14ac:dyDescent="0.25">
      <c r="A133">
        <v>132</v>
      </c>
      <c r="B133" t="s">
        <v>41</v>
      </c>
      <c r="C133" t="s">
        <v>299</v>
      </c>
      <c r="D133" t="s">
        <v>16</v>
      </c>
      <c r="E133" t="s">
        <v>17</v>
      </c>
      <c r="F133" s="3">
        <v>100</v>
      </c>
      <c r="G133">
        <v>35.1</v>
      </c>
      <c r="H133">
        <v>8.83</v>
      </c>
      <c r="I133">
        <v>18</v>
      </c>
      <c r="J133" t="s">
        <v>44</v>
      </c>
      <c r="K133" t="s">
        <v>20</v>
      </c>
      <c r="L133" t="s">
        <v>21</v>
      </c>
      <c r="M133" s="3">
        <v>42</v>
      </c>
      <c r="N133" s="2">
        <v>5500</v>
      </c>
      <c r="O133" t="str">
        <f t="shared" si="4"/>
        <v>&lt;=100</v>
      </c>
      <c r="P133" t="str">
        <f t="shared" si="5"/>
        <v>&lt;= 10000$</v>
      </c>
    </row>
    <row r="134" spans="1:16" hidden="1" x14ac:dyDescent="0.25">
      <c r="A134">
        <v>133</v>
      </c>
      <c r="B134" t="s">
        <v>41</v>
      </c>
      <c r="C134" t="s">
        <v>299</v>
      </c>
      <c r="D134" t="s">
        <v>32</v>
      </c>
      <c r="E134" t="s">
        <v>17</v>
      </c>
      <c r="F134" s="3">
        <v>100</v>
      </c>
      <c r="G134">
        <v>35.1</v>
      </c>
      <c r="H134">
        <v>8.83</v>
      </c>
      <c r="I134">
        <v>22</v>
      </c>
      <c r="J134" t="s">
        <v>44</v>
      </c>
      <c r="K134" t="s">
        <v>20</v>
      </c>
      <c r="L134" t="s">
        <v>21</v>
      </c>
      <c r="M134" s="3">
        <v>42</v>
      </c>
      <c r="N134" s="2">
        <v>5300</v>
      </c>
      <c r="O134" t="str">
        <f t="shared" si="4"/>
        <v>&lt;=100</v>
      </c>
      <c r="P134" t="str">
        <f t="shared" si="5"/>
        <v>&lt;= 10000$</v>
      </c>
    </row>
    <row r="135" spans="1:16" x14ac:dyDescent="0.25">
      <c r="A135">
        <v>274</v>
      </c>
      <c r="B135" t="s">
        <v>62</v>
      </c>
      <c r="C135" t="s">
        <v>351</v>
      </c>
      <c r="D135" t="s">
        <v>16</v>
      </c>
      <c r="E135" t="s">
        <v>43</v>
      </c>
      <c r="F135" s="3">
        <v>50</v>
      </c>
      <c r="G135">
        <v>41</v>
      </c>
      <c r="H135">
        <v>12.1</v>
      </c>
      <c r="I135">
        <v>20</v>
      </c>
      <c r="J135" t="s">
        <v>19</v>
      </c>
      <c r="K135" t="s">
        <v>20</v>
      </c>
      <c r="L135" t="s">
        <v>141</v>
      </c>
      <c r="M135" s="3" t="s">
        <v>46</v>
      </c>
      <c r="N135" s="2">
        <v>1500</v>
      </c>
      <c r="O135" t="str">
        <f t="shared" si="4"/>
        <v>&lt;=100</v>
      </c>
      <c r="P135" t="str">
        <f t="shared" si="5"/>
        <v xml:space="preserve"> &lt;=2000$</v>
      </c>
    </row>
    <row r="136" spans="1:16" hidden="1" x14ac:dyDescent="0.25">
      <c r="A136">
        <v>135</v>
      </c>
      <c r="B136" t="s">
        <v>41</v>
      </c>
      <c r="C136" t="s">
        <v>301</v>
      </c>
      <c r="D136" t="s">
        <v>16</v>
      </c>
      <c r="E136" t="s">
        <v>17</v>
      </c>
      <c r="F136" s="3">
        <v>30</v>
      </c>
      <c r="G136">
        <v>36.6</v>
      </c>
      <c r="H136">
        <v>12.05</v>
      </c>
      <c r="I136">
        <v>18</v>
      </c>
      <c r="J136" t="s">
        <v>44</v>
      </c>
      <c r="K136" t="s">
        <v>20</v>
      </c>
      <c r="L136" t="s">
        <v>21</v>
      </c>
      <c r="M136" s="3">
        <v>42</v>
      </c>
      <c r="N136" s="2">
        <v>4700</v>
      </c>
      <c r="O136" t="str">
        <f t="shared" si="4"/>
        <v>&lt;=100</v>
      </c>
      <c r="P136" t="str">
        <f t="shared" si="5"/>
        <v>&lt;=5000$</v>
      </c>
    </row>
    <row r="137" spans="1:16" hidden="1" x14ac:dyDescent="0.25">
      <c r="A137">
        <v>136</v>
      </c>
      <c r="B137" t="s">
        <v>41</v>
      </c>
      <c r="C137" t="s">
        <v>297</v>
      </c>
      <c r="D137" t="s">
        <v>32</v>
      </c>
      <c r="E137" t="s">
        <v>17</v>
      </c>
      <c r="F137" s="3">
        <v>30</v>
      </c>
      <c r="G137">
        <v>33</v>
      </c>
      <c r="H137">
        <v>9.9600000000000009</v>
      </c>
      <c r="I137">
        <v>16</v>
      </c>
      <c r="J137" t="s">
        <v>44</v>
      </c>
      <c r="K137" t="s">
        <v>20</v>
      </c>
      <c r="L137" t="s">
        <v>21</v>
      </c>
      <c r="M137" s="3">
        <v>42</v>
      </c>
      <c r="N137" s="2">
        <v>4500</v>
      </c>
      <c r="O137" t="str">
        <f t="shared" si="4"/>
        <v>&lt;=100</v>
      </c>
      <c r="P137" t="str">
        <f t="shared" si="5"/>
        <v>&lt;=5000$</v>
      </c>
    </row>
    <row r="138" spans="1:16" hidden="1" x14ac:dyDescent="0.25">
      <c r="A138">
        <v>137</v>
      </c>
      <c r="B138" t="s">
        <v>41</v>
      </c>
      <c r="C138" t="s">
        <v>302</v>
      </c>
      <c r="D138" t="s">
        <v>32</v>
      </c>
      <c r="E138" t="s">
        <v>49</v>
      </c>
      <c r="F138" s="3">
        <v>30</v>
      </c>
      <c r="G138">
        <v>31.4</v>
      </c>
      <c r="H138">
        <v>7.25</v>
      </c>
      <c r="I138">
        <v>18</v>
      </c>
      <c r="J138" t="s">
        <v>44</v>
      </c>
      <c r="K138" t="s">
        <v>20</v>
      </c>
      <c r="L138" t="s">
        <v>45</v>
      </c>
      <c r="M138" s="3" t="s">
        <v>46</v>
      </c>
      <c r="N138" s="2">
        <v>4500</v>
      </c>
      <c r="O138" t="str">
        <f t="shared" si="4"/>
        <v>&lt;=100</v>
      </c>
      <c r="P138" t="str">
        <f t="shared" si="5"/>
        <v>&lt;=5000$</v>
      </c>
    </row>
    <row r="139" spans="1:16" x14ac:dyDescent="0.25">
      <c r="A139">
        <v>376</v>
      </c>
      <c r="B139" t="s">
        <v>193</v>
      </c>
      <c r="C139" t="s">
        <v>391</v>
      </c>
      <c r="D139" t="s">
        <v>32</v>
      </c>
      <c r="E139" t="s">
        <v>43</v>
      </c>
      <c r="F139" s="3">
        <v>30</v>
      </c>
      <c r="G139">
        <v>39</v>
      </c>
      <c r="H139">
        <v>5</v>
      </c>
      <c r="I139">
        <v>22</v>
      </c>
      <c r="J139" t="s">
        <v>19</v>
      </c>
      <c r="K139" t="s">
        <v>20</v>
      </c>
      <c r="L139" t="s">
        <v>45</v>
      </c>
      <c r="M139" s="3" t="s">
        <v>46</v>
      </c>
      <c r="N139" s="2">
        <v>1600</v>
      </c>
      <c r="O139" t="str">
        <f t="shared" si="4"/>
        <v>&lt;=100</v>
      </c>
      <c r="P139" t="str">
        <f t="shared" si="5"/>
        <v xml:space="preserve"> &lt;=2000$</v>
      </c>
    </row>
    <row r="140" spans="1:16" x14ac:dyDescent="0.25">
      <c r="A140">
        <v>424</v>
      </c>
      <c r="B140" t="s">
        <v>30</v>
      </c>
      <c r="C140" t="s">
        <v>409</v>
      </c>
      <c r="D140" t="s">
        <v>16</v>
      </c>
      <c r="E140" t="s">
        <v>43</v>
      </c>
      <c r="F140" s="3">
        <v>300</v>
      </c>
      <c r="G140">
        <v>32</v>
      </c>
      <c r="H140">
        <v>9.5</v>
      </c>
      <c r="I140">
        <v>15</v>
      </c>
      <c r="J140" t="s">
        <v>28</v>
      </c>
      <c r="K140" t="s">
        <v>20</v>
      </c>
      <c r="L140" t="s">
        <v>45</v>
      </c>
      <c r="M140" s="3" t="s">
        <v>46</v>
      </c>
      <c r="N140" s="2">
        <v>1700</v>
      </c>
      <c r="O140" t="str">
        <f t="shared" si="4"/>
        <v>200-300</v>
      </c>
      <c r="P140" t="str">
        <f t="shared" si="5"/>
        <v xml:space="preserve"> &lt;=2000$</v>
      </c>
    </row>
    <row r="141" spans="1:16" x14ac:dyDescent="0.25">
      <c r="A141">
        <v>423</v>
      </c>
      <c r="B141" t="s">
        <v>30</v>
      </c>
      <c r="C141" t="s">
        <v>407</v>
      </c>
      <c r="D141" t="s">
        <v>16</v>
      </c>
      <c r="E141" t="s">
        <v>43</v>
      </c>
      <c r="F141" s="3">
        <v>300</v>
      </c>
      <c r="G141">
        <v>43</v>
      </c>
      <c r="H141">
        <v>10.8</v>
      </c>
      <c r="I141">
        <v>20</v>
      </c>
      <c r="J141" t="s">
        <v>28</v>
      </c>
      <c r="K141" t="s">
        <v>20</v>
      </c>
      <c r="L141" t="s">
        <v>45</v>
      </c>
      <c r="M141" s="3" t="s">
        <v>46</v>
      </c>
      <c r="N141" s="2">
        <v>1800</v>
      </c>
      <c r="O141" t="str">
        <f t="shared" si="4"/>
        <v>200-300</v>
      </c>
      <c r="P141" t="str">
        <f t="shared" si="5"/>
        <v xml:space="preserve"> &lt;=2000$</v>
      </c>
    </row>
    <row r="142" spans="1:16" hidden="1" x14ac:dyDescent="0.25">
      <c r="A142">
        <v>141</v>
      </c>
      <c r="B142" t="s">
        <v>126</v>
      </c>
      <c r="C142" t="s">
        <v>305</v>
      </c>
      <c r="D142" t="s">
        <v>32</v>
      </c>
      <c r="E142" t="s">
        <v>17</v>
      </c>
      <c r="F142" s="3">
        <v>50</v>
      </c>
      <c r="G142">
        <v>42</v>
      </c>
      <c r="H142">
        <v>12.67</v>
      </c>
      <c r="I142">
        <v>22</v>
      </c>
      <c r="J142" t="s">
        <v>19</v>
      </c>
      <c r="K142" t="s">
        <v>20</v>
      </c>
      <c r="L142" t="s">
        <v>35</v>
      </c>
      <c r="M142" s="3">
        <v>42</v>
      </c>
      <c r="N142" s="2">
        <v>6900</v>
      </c>
      <c r="O142" t="str">
        <f t="shared" si="4"/>
        <v>&lt;=100</v>
      </c>
      <c r="P142" t="str">
        <f t="shared" si="5"/>
        <v>&lt;= 10000$</v>
      </c>
    </row>
    <row r="143" spans="1:16" hidden="1" x14ac:dyDescent="0.25">
      <c r="A143">
        <v>142</v>
      </c>
      <c r="B143" t="s">
        <v>126</v>
      </c>
      <c r="C143" t="s">
        <v>305</v>
      </c>
      <c r="D143" t="s">
        <v>26</v>
      </c>
      <c r="E143" t="s">
        <v>17</v>
      </c>
      <c r="F143" s="3">
        <v>50</v>
      </c>
      <c r="G143">
        <v>42</v>
      </c>
      <c r="H143">
        <v>13.07</v>
      </c>
      <c r="I143">
        <v>20</v>
      </c>
      <c r="J143" t="s">
        <v>19</v>
      </c>
      <c r="K143" t="s">
        <v>20</v>
      </c>
      <c r="L143" t="s">
        <v>35</v>
      </c>
      <c r="M143" s="3">
        <v>48</v>
      </c>
      <c r="N143" s="2">
        <v>6800</v>
      </c>
      <c r="O143" t="str">
        <f t="shared" si="4"/>
        <v>&lt;=100</v>
      </c>
      <c r="P143" t="str">
        <f t="shared" si="5"/>
        <v>&lt;= 10000$</v>
      </c>
    </row>
    <row r="144" spans="1:16" hidden="1" x14ac:dyDescent="0.25">
      <c r="A144">
        <v>143</v>
      </c>
      <c r="B144" t="s">
        <v>126</v>
      </c>
      <c r="C144" t="s">
        <v>306</v>
      </c>
      <c r="D144" t="s">
        <v>32</v>
      </c>
      <c r="E144" t="s">
        <v>17</v>
      </c>
      <c r="F144" s="3">
        <v>50</v>
      </c>
      <c r="G144">
        <v>44</v>
      </c>
      <c r="H144">
        <v>13.7</v>
      </c>
      <c r="I144">
        <v>20</v>
      </c>
      <c r="J144" t="s">
        <v>19</v>
      </c>
      <c r="K144" t="s">
        <v>20</v>
      </c>
      <c r="L144" t="s">
        <v>35</v>
      </c>
      <c r="M144" s="3">
        <v>42</v>
      </c>
      <c r="N144" s="2">
        <v>6500</v>
      </c>
      <c r="O144" t="str">
        <f t="shared" si="4"/>
        <v>&lt;=100</v>
      </c>
      <c r="P144" t="str">
        <f t="shared" si="5"/>
        <v>&lt;= 10000$</v>
      </c>
    </row>
    <row r="145" spans="1:16" hidden="1" x14ac:dyDescent="0.25">
      <c r="A145">
        <v>144</v>
      </c>
      <c r="B145" t="s">
        <v>126</v>
      </c>
      <c r="C145" t="s">
        <v>305</v>
      </c>
      <c r="D145" t="s">
        <v>26</v>
      </c>
      <c r="E145" t="s">
        <v>17</v>
      </c>
      <c r="F145" s="3">
        <v>50</v>
      </c>
      <c r="G145">
        <v>42</v>
      </c>
      <c r="H145">
        <v>12.67</v>
      </c>
      <c r="I145">
        <v>20</v>
      </c>
      <c r="J145" t="s">
        <v>19</v>
      </c>
      <c r="K145" t="s">
        <v>20</v>
      </c>
      <c r="L145" t="s">
        <v>141</v>
      </c>
      <c r="M145" s="3">
        <v>42</v>
      </c>
      <c r="N145" s="2">
        <v>6500</v>
      </c>
      <c r="O145" t="str">
        <f t="shared" si="4"/>
        <v>&lt;=100</v>
      </c>
      <c r="P145" t="str">
        <f t="shared" si="5"/>
        <v>&lt;= 10000$</v>
      </c>
    </row>
    <row r="146" spans="1:16" hidden="1" x14ac:dyDescent="0.25">
      <c r="A146">
        <v>145</v>
      </c>
      <c r="B146" t="s">
        <v>126</v>
      </c>
      <c r="C146" t="s">
        <v>306</v>
      </c>
      <c r="D146" t="s">
        <v>32</v>
      </c>
      <c r="E146" t="s">
        <v>17</v>
      </c>
      <c r="F146" s="3">
        <v>50</v>
      </c>
      <c r="G146">
        <v>44</v>
      </c>
      <c r="H146">
        <v>14.4</v>
      </c>
      <c r="I146">
        <v>22</v>
      </c>
      <c r="J146" t="s">
        <v>19</v>
      </c>
      <c r="K146" t="s">
        <v>20</v>
      </c>
      <c r="L146" t="s">
        <v>245</v>
      </c>
      <c r="M146" s="3">
        <v>42</v>
      </c>
      <c r="N146" s="2">
        <v>6300</v>
      </c>
      <c r="O146" t="str">
        <f t="shared" si="4"/>
        <v>&lt;=100</v>
      </c>
      <c r="P146" t="str">
        <f t="shared" si="5"/>
        <v>&lt;= 10000$</v>
      </c>
    </row>
    <row r="147" spans="1:16" hidden="1" x14ac:dyDescent="0.25">
      <c r="A147">
        <v>146</v>
      </c>
      <c r="B147" t="s">
        <v>126</v>
      </c>
      <c r="C147" t="s">
        <v>305</v>
      </c>
      <c r="D147" t="s">
        <v>32</v>
      </c>
      <c r="E147" t="s">
        <v>17</v>
      </c>
      <c r="F147" s="3">
        <v>50</v>
      </c>
      <c r="G147">
        <v>42</v>
      </c>
      <c r="H147">
        <v>11.43</v>
      </c>
      <c r="I147">
        <v>22</v>
      </c>
      <c r="J147" t="s">
        <v>19</v>
      </c>
      <c r="K147" t="s">
        <v>20</v>
      </c>
      <c r="L147" t="s">
        <v>35</v>
      </c>
      <c r="M147" s="3">
        <v>48</v>
      </c>
      <c r="N147" s="2">
        <v>6200</v>
      </c>
      <c r="O147" t="str">
        <f t="shared" si="4"/>
        <v>&lt;=100</v>
      </c>
      <c r="P147" t="str">
        <f t="shared" si="5"/>
        <v>&lt;= 10000$</v>
      </c>
    </row>
    <row r="148" spans="1:16" hidden="1" x14ac:dyDescent="0.25">
      <c r="A148">
        <v>147</v>
      </c>
      <c r="B148" t="s">
        <v>126</v>
      </c>
      <c r="C148" t="s">
        <v>305</v>
      </c>
      <c r="D148" t="s">
        <v>32</v>
      </c>
      <c r="E148" t="s">
        <v>17</v>
      </c>
      <c r="F148" s="3">
        <v>50</v>
      </c>
      <c r="G148">
        <v>42</v>
      </c>
      <c r="H148">
        <v>11.43</v>
      </c>
      <c r="I148">
        <v>20</v>
      </c>
      <c r="J148" t="s">
        <v>19</v>
      </c>
      <c r="K148" t="s">
        <v>20</v>
      </c>
      <c r="L148" t="s">
        <v>35</v>
      </c>
      <c r="M148" s="3">
        <v>42</v>
      </c>
      <c r="N148" s="2">
        <v>6100</v>
      </c>
      <c r="O148" t="str">
        <f t="shared" si="4"/>
        <v>&lt;=100</v>
      </c>
      <c r="P148" t="str">
        <f t="shared" si="5"/>
        <v>&lt;= 10000$</v>
      </c>
    </row>
    <row r="149" spans="1:16" hidden="1" x14ac:dyDescent="0.25">
      <c r="A149">
        <v>148</v>
      </c>
      <c r="B149" t="s">
        <v>126</v>
      </c>
      <c r="C149" t="s">
        <v>306</v>
      </c>
      <c r="D149" t="s">
        <v>32</v>
      </c>
      <c r="E149" t="s">
        <v>17</v>
      </c>
      <c r="F149" s="3">
        <v>50</v>
      </c>
      <c r="G149">
        <v>44</v>
      </c>
      <c r="H149">
        <v>14.45</v>
      </c>
      <c r="I149">
        <v>22</v>
      </c>
      <c r="J149" t="s">
        <v>19</v>
      </c>
      <c r="K149" t="s">
        <v>20</v>
      </c>
      <c r="L149" t="s">
        <v>148</v>
      </c>
      <c r="M149" s="3">
        <v>42</v>
      </c>
      <c r="N149" s="2">
        <v>6000</v>
      </c>
      <c r="O149" t="str">
        <f t="shared" si="4"/>
        <v>&lt;=100</v>
      </c>
      <c r="P149" t="str">
        <f t="shared" si="5"/>
        <v>&lt;= 10000$</v>
      </c>
    </row>
    <row r="150" spans="1:16" hidden="1" x14ac:dyDescent="0.25">
      <c r="A150">
        <v>149</v>
      </c>
      <c r="B150" t="s">
        <v>126</v>
      </c>
      <c r="C150" t="s">
        <v>305</v>
      </c>
      <c r="D150" t="s">
        <v>32</v>
      </c>
      <c r="E150" t="s">
        <v>17</v>
      </c>
      <c r="F150" s="3">
        <v>50</v>
      </c>
      <c r="G150">
        <v>42</v>
      </c>
      <c r="H150">
        <v>12.67</v>
      </c>
      <c r="I150">
        <v>20</v>
      </c>
      <c r="J150" t="s">
        <v>44</v>
      </c>
      <c r="K150" t="s">
        <v>20</v>
      </c>
      <c r="L150" t="s">
        <v>35</v>
      </c>
      <c r="M150" s="3">
        <v>42</v>
      </c>
      <c r="N150" s="2">
        <v>5900</v>
      </c>
      <c r="O150" t="str">
        <f t="shared" si="4"/>
        <v>&lt;=100</v>
      </c>
      <c r="P150" t="str">
        <f t="shared" si="5"/>
        <v>&lt;= 10000$</v>
      </c>
    </row>
    <row r="151" spans="1:16" hidden="1" x14ac:dyDescent="0.25">
      <c r="A151">
        <v>150</v>
      </c>
      <c r="B151" t="s">
        <v>126</v>
      </c>
      <c r="C151" t="s">
        <v>306</v>
      </c>
      <c r="D151" t="s">
        <v>32</v>
      </c>
      <c r="E151" t="s">
        <v>17</v>
      </c>
      <c r="F151" s="3">
        <v>50</v>
      </c>
      <c r="G151">
        <v>44</v>
      </c>
      <c r="H151">
        <v>14.97</v>
      </c>
      <c r="I151">
        <v>22</v>
      </c>
      <c r="J151" t="s">
        <v>19</v>
      </c>
      <c r="K151" t="s">
        <v>20</v>
      </c>
      <c r="L151" t="s">
        <v>35</v>
      </c>
      <c r="M151" s="3">
        <v>42</v>
      </c>
      <c r="N151" s="2">
        <v>5800</v>
      </c>
      <c r="O151" t="str">
        <f t="shared" si="4"/>
        <v>&lt;=100</v>
      </c>
      <c r="P151" t="str">
        <f t="shared" si="5"/>
        <v>&lt;= 10000$</v>
      </c>
    </row>
    <row r="152" spans="1:16" x14ac:dyDescent="0.25">
      <c r="A152">
        <v>422</v>
      </c>
      <c r="B152" t="s">
        <v>30</v>
      </c>
      <c r="C152" t="s">
        <v>407</v>
      </c>
      <c r="D152" t="s">
        <v>16</v>
      </c>
      <c r="E152" t="s">
        <v>43</v>
      </c>
      <c r="F152" s="3">
        <v>300</v>
      </c>
      <c r="G152">
        <v>43</v>
      </c>
      <c r="H152">
        <v>10.8</v>
      </c>
      <c r="I152">
        <v>21</v>
      </c>
      <c r="J152" t="s">
        <v>28</v>
      </c>
      <c r="K152" t="s">
        <v>20</v>
      </c>
      <c r="L152" t="s">
        <v>21</v>
      </c>
      <c r="M152" s="3" t="s">
        <v>46</v>
      </c>
      <c r="N152" s="2">
        <v>2600</v>
      </c>
      <c r="O152" t="str">
        <f t="shared" si="4"/>
        <v>200-300</v>
      </c>
      <c r="P152" t="str">
        <f t="shared" si="5"/>
        <v>&lt;=5000$</v>
      </c>
    </row>
    <row r="153" spans="1:16" hidden="1" x14ac:dyDescent="0.25">
      <c r="A153">
        <v>152</v>
      </c>
      <c r="B153" t="s">
        <v>126</v>
      </c>
      <c r="C153" t="s">
        <v>305</v>
      </c>
      <c r="D153" t="s">
        <v>32</v>
      </c>
      <c r="E153" t="s">
        <v>17</v>
      </c>
      <c r="F153" s="3">
        <v>50</v>
      </c>
      <c r="G153">
        <v>42</v>
      </c>
      <c r="H153">
        <v>12.67</v>
      </c>
      <c r="I153">
        <v>20</v>
      </c>
      <c r="J153" t="s">
        <v>19</v>
      </c>
      <c r="K153" t="s">
        <v>20</v>
      </c>
      <c r="L153" t="s">
        <v>35</v>
      </c>
      <c r="M153" s="3">
        <v>48</v>
      </c>
      <c r="N153" s="2">
        <v>5600</v>
      </c>
      <c r="O153" t="str">
        <f t="shared" si="4"/>
        <v>&lt;=100</v>
      </c>
      <c r="P153" t="str">
        <f t="shared" si="5"/>
        <v>&lt;= 10000$</v>
      </c>
    </row>
    <row r="154" spans="1:16" hidden="1" x14ac:dyDescent="0.25">
      <c r="A154">
        <v>153</v>
      </c>
      <c r="B154" t="s">
        <v>126</v>
      </c>
      <c r="C154" t="s">
        <v>305</v>
      </c>
      <c r="D154" t="s">
        <v>32</v>
      </c>
      <c r="E154" t="s">
        <v>17</v>
      </c>
      <c r="F154" s="3">
        <v>50</v>
      </c>
      <c r="G154">
        <v>42</v>
      </c>
      <c r="H154">
        <v>12.67</v>
      </c>
      <c r="I154">
        <v>20</v>
      </c>
      <c r="J154" t="s">
        <v>19</v>
      </c>
      <c r="K154" t="s">
        <v>20</v>
      </c>
      <c r="L154" t="s">
        <v>35</v>
      </c>
      <c r="M154" s="3">
        <v>48</v>
      </c>
      <c r="N154" s="2">
        <v>5000</v>
      </c>
      <c r="O154" t="str">
        <f t="shared" si="4"/>
        <v>&lt;=100</v>
      </c>
      <c r="P154" t="str">
        <f t="shared" si="5"/>
        <v>&lt;=5000$</v>
      </c>
    </row>
    <row r="155" spans="1:16" x14ac:dyDescent="0.25">
      <c r="A155">
        <v>139</v>
      </c>
      <c r="B155" t="s">
        <v>41</v>
      </c>
      <c r="C155" t="s">
        <v>304</v>
      </c>
      <c r="D155" t="s">
        <v>32</v>
      </c>
      <c r="E155" t="s">
        <v>43</v>
      </c>
      <c r="F155" s="3">
        <v>30</v>
      </c>
      <c r="G155">
        <v>31</v>
      </c>
      <c r="H155">
        <v>6.05</v>
      </c>
      <c r="I155">
        <v>20</v>
      </c>
      <c r="J155" t="s">
        <v>44</v>
      </c>
      <c r="K155" t="s">
        <v>20</v>
      </c>
      <c r="L155" t="s">
        <v>45</v>
      </c>
      <c r="M155" s="3" t="s">
        <v>46</v>
      </c>
      <c r="N155" s="2">
        <v>2800</v>
      </c>
      <c r="O155" t="str">
        <f t="shared" si="4"/>
        <v>&lt;=100</v>
      </c>
      <c r="P155" t="str">
        <f t="shared" si="5"/>
        <v>&lt;=5000$</v>
      </c>
    </row>
    <row r="156" spans="1:16" hidden="1" x14ac:dyDescent="0.25">
      <c r="A156">
        <v>155</v>
      </c>
      <c r="B156" t="s">
        <v>196</v>
      </c>
      <c r="C156" t="s">
        <v>308</v>
      </c>
      <c r="D156" t="s">
        <v>32</v>
      </c>
      <c r="E156" t="s">
        <v>17</v>
      </c>
      <c r="F156" s="3">
        <v>50</v>
      </c>
      <c r="G156">
        <v>40</v>
      </c>
      <c r="H156">
        <v>10.5</v>
      </c>
      <c r="I156">
        <v>20</v>
      </c>
      <c r="J156" t="s">
        <v>44</v>
      </c>
      <c r="K156" t="s">
        <v>20</v>
      </c>
      <c r="L156" t="s">
        <v>21</v>
      </c>
      <c r="M156" s="3">
        <v>38</v>
      </c>
      <c r="N156" s="2">
        <v>1400</v>
      </c>
      <c r="O156" t="str">
        <f t="shared" si="4"/>
        <v>&lt;=100</v>
      </c>
      <c r="P156" t="str">
        <f t="shared" si="5"/>
        <v xml:space="preserve"> &lt;=2000$</v>
      </c>
    </row>
    <row r="157" spans="1:16" hidden="1" x14ac:dyDescent="0.25">
      <c r="A157">
        <v>156</v>
      </c>
      <c r="B157" t="s">
        <v>196</v>
      </c>
      <c r="C157" t="s">
        <v>308</v>
      </c>
      <c r="D157" t="s">
        <v>32</v>
      </c>
      <c r="E157" t="s">
        <v>17</v>
      </c>
      <c r="F157" s="3">
        <v>50</v>
      </c>
      <c r="G157">
        <v>40</v>
      </c>
      <c r="H157">
        <v>10.6</v>
      </c>
      <c r="I157">
        <v>20</v>
      </c>
      <c r="J157" t="s">
        <v>44</v>
      </c>
      <c r="K157" t="s">
        <v>20</v>
      </c>
      <c r="L157" t="s">
        <v>21</v>
      </c>
      <c r="M157" s="3">
        <v>38</v>
      </c>
      <c r="N157" s="2">
        <v>1200</v>
      </c>
      <c r="O157" t="str">
        <f t="shared" si="4"/>
        <v>&lt;=100</v>
      </c>
      <c r="P157" t="str">
        <f t="shared" si="5"/>
        <v xml:space="preserve"> &lt;=2000$</v>
      </c>
    </row>
    <row r="158" spans="1:16" hidden="1" x14ac:dyDescent="0.25">
      <c r="A158">
        <v>157</v>
      </c>
      <c r="B158" t="s">
        <v>128</v>
      </c>
      <c r="C158" t="s">
        <v>309</v>
      </c>
      <c r="D158" t="s">
        <v>16</v>
      </c>
      <c r="E158" t="s">
        <v>17</v>
      </c>
      <c r="F158" s="3">
        <v>100</v>
      </c>
      <c r="G158">
        <v>42</v>
      </c>
      <c r="H158">
        <v>10.88</v>
      </c>
      <c r="I158">
        <v>22</v>
      </c>
      <c r="J158" t="s">
        <v>28</v>
      </c>
      <c r="K158" t="s">
        <v>20</v>
      </c>
      <c r="L158" t="s">
        <v>21</v>
      </c>
      <c r="M158" s="3">
        <v>54</v>
      </c>
      <c r="N158" s="2">
        <v>12800</v>
      </c>
      <c r="O158" t="str">
        <f t="shared" si="4"/>
        <v>&lt;=100</v>
      </c>
      <c r="P158" t="str">
        <f t="shared" si="5"/>
        <v>&lt;= 20000$</v>
      </c>
    </row>
    <row r="159" spans="1:16" hidden="1" x14ac:dyDescent="0.25">
      <c r="A159">
        <v>158</v>
      </c>
      <c r="B159" t="s">
        <v>128</v>
      </c>
      <c r="C159" t="s">
        <v>310</v>
      </c>
      <c r="D159" t="s">
        <v>16</v>
      </c>
      <c r="E159" t="s">
        <v>17</v>
      </c>
      <c r="F159" s="3">
        <v>100</v>
      </c>
      <c r="G159">
        <v>41</v>
      </c>
      <c r="H159">
        <v>10.88</v>
      </c>
      <c r="I159">
        <v>26</v>
      </c>
      <c r="J159" t="s">
        <v>19</v>
      </c>
      <c r="K159" t="s">
        <v>20</v>
      </c>
      <c r="L159" t="s">
        <v>35</v>
      </c>
      <c r="M159" s="3">
        <v>46</v>
      </c>
      <c r="N159" s="2">
        <v>12000</v>
      </c>
      <c r="O159" t="str">
        <f t="shared" si="4"/>
        <v>&lt;=100</v>
      </c>
      <c r="P159" t="str">
        <f t="shared" si="5"/>
        <v>&lt;= 20000$</v>
      </c>
    </row>
    <row r="160" spans="1:16" hidden="1" x14ac:dyDescent="0.25">
      <c r="A160">
        <v>159</v>
      </c>
      <c r="B160" t="s">
        <v>128</v>
      </c>
      <c r="C160" t="s">
        <v>311</v>
      </c>
      <c r="D160" t="s">
        <v>16</v>
      </c>
      <c r="E160" t="s">
        <v>17</v>
      </c>
      <c r="F160" s="3">
        <v>100</v>
      </c>
      <c r="G160">
        <v>38</v>
      </c>
      <c r="H160">
        <v>10.88</v>
      </c>
      <c r="I160">
        <v>20</v>
      </c>
      <c r="J160" t="s">
        <v>28</v>
      </c>
      <c r="K160" t="s">
        <v>20</v>
      </c>
      <c r="L160" t="s">
        <v>21</v>
      </c>
      <c r="M160" s="3">
        <v>54</v>
      </c>
      <c r="N160" s="2">
        <v>12000</v>
      </c>
      <c r="O160" t="str">
        <f t="shared" si="4"/>
        <v>&lt;=100</v>
      </c>
      <c r="P160" t="str">
        <f t="shared" si="5"/>
        <v>&lt;= 20000$</v>
      </c>
    </row>
    <row r="161" spans="1:16" hidden="1" x14ac:dyDescent="0.25">
      <c r="A161">
        <v>160</v>
      </c>
      <c r="B161" t="s">
        <v>128</v>
      </c>
      <c r="C161" t="s">
        <v>310</v>
      </c>
      <c r="D161" t="s">
        <v>16</v>
      </c>
      <c r="E161" t="s">
        <v>17</v>
      </c>
      <c r="F161" s="3">
        <v>100</v>
      </c>
      <c r="G161">
        <v>41</v>
      </c>
      <c r="H161">
        <v>10.88</v>
      </c>
      <c r="I161">
        <v>22</v>
      </c>
      <c r="J161" t="s">
        <v>28</v>
      </c>
      <c r="K161" t="s">
        <v>20</v>
      </c>
      <c r="L161" t="s">
        <v>21</v>
      </c>
      <c r="M161" s="3">
        <v>54</v>
      </c>
      <c r="N161" s="2">
        <v>11500</v>
      </c>
      <c r="O161" t="str">
        <f t="shared" si="4"/>
        <v>&lt;=100</v>
      </c>
      <c r="P161" t="str">
        <f t="shared" si="5"/>
        <v>&lt;= 20000$</v>
      </c>
    </row>
    <row r="162" spans="1:16" hidden="1" x14ac:dyDescent="0.25">
      <c r="A162">
        <v>161</v>
      </c>
      <c r="B162" t="s">
        <v>128</v>
      </c>
      <c r="C162" t="s">
        <v>309</v>
      </c>
      <c r="D162" t="s">
        <v>16</v>
      </c>
      <c r="E162" t="s">
        <v>17</v>
      </c>
      <c r="F162" s="3">
        <v>100</v>
      </c>
      <c r="G162">
        <v>42</v>
      </c>
      <c r="H162">
        <v>10.88</v>
      </c>
      <c r="I162">
        <v>22</v>
      </c>
      <c r="J162" t="s">
        <v>28</v>
      </c>
      <c r="K162" t="s">
        <v>20</v>
      </c>
      <c r="L162" t="s">
        <v>21</v>
      </c>
      <c r="M162" s="3">
        <v>54</v>
      </c>
      <c r="N162" s="2">
        <v>11500</v>
      </c>
      <c r="O162" t="str">
        <f t="shared" si="4"/>
        <v>&lt;=100</v>
      </c>
      <c r="P162" t="str">
        <f t="shared" si="5"/>
        <v>&lt;= 20000$</v>
      </c>
    </row>
    <row r="163" spans="1:16" hidden="1" x14ac:dyDescent="0.25">
      <c r="A163">
        <v>162</v>
      </c>
      <c r="B163" t="s">
        <v>128</v>
      </c>
      <c r="C163" t="s">
        <v>309</v>
      </c>
      <c r="D163" t="s">
        <v>16</v>
      </c>
      <c r="E163" t="s">
        <v>17</v>
      </c>
      <c r="F163" s="3">
        <v>100</v>
      </c>
      <c r="G163">
        <v>42</v>
      </c>
      <c r="H163">
        <v>10.88</v>
      </c>
      <c r="I163">
        <v>22</v>
      </c>
      <c r="J163" t="s">
        <v>19</v>
      </c>
      <c r="K163" t="s">
        <v>20</v>
      </c>
      <c r="L163" t="s">
        <v>45</v>
      </c>
      <c r="M163" s="3">
        <v>54</v>
      </c>
      <c r="N163" s="2">
        <v>11200</v>
      </c>
      <c r="O163" t="str">
        <f t="shared" si="4"/>
        <v>&lt;=100</v>
      </c>
      <c r="P163" t="str">
        <f t="shared" si="5"/>
        <v>&lt;= 20000$</v>
      </c>
    </row>
    <row r="164" spans="1:16" hidden="1" x14ac:dyDescent="0.25">
      <c r="A164">
        <v>163</v>
      </c>
      <c r="B164" t="s">
        <v>128</v>
      </c>
      <c r="C164" t="s">
        <v>309</v>
      </c>
      <c r="D164" t="s">
        <v>16</v>
      </c>
      <c r="E164" t="s">
        <v>17</v>
      </c>
      <c r="F164" s="3">
        <v>100</v>
      </c>
      <c r="G164">
        <v>42</v>
      </c>
      <c r="H164">
        <v>10.88</v>
      </c>
      <c r="I164">
        <v>22</v>
      </c>
      <c r="J164" t="s">
        <v>28</v>
      </c>
      <c r="K164" t="s">
        <v>20</v>
      </c>
      <c r="L164" t="s">
        <v>21</v>
      </c>
      <c r="M164" s="3">
        <v>54</v>
      </c>
      <c r="N164" s="2">
        <v>10600</v>
      </c>
      <c r="O164" t="str">
        <f t="shared" si="4"/>
        <v>&lt;=100</v>
      </c>
      <c r="P164" t="str">
        <f t="shared" si="5"/>
        <v>&lt;= 20000$</v>
      </c>
    </row>
    <row r="165" spans="1:16" hidden="1" x14ac:dyDescent="0.25">
      <c r="A165">
        <v>164</v>
      </c>
      <c r="B165" t="s">
        <v>128</v>
      </c>
      <c r="C165" t="s">
        <v>310</v>
      </c>
      <c r="D165" t="s">
        <v>16</v>
      </c>
      <c r="E165" t="s">
        <v>17</v>
      </c>
      <c r="F165" s="3">
        <v>100</v>
      </c>
      <c r="G165">
        <v>41</v>
      </c>
      <c r="H165">
        <v>10.88</v>
      </c>
      <c r="I165">
        <v>22</v>
      </c>
      <c r="J165" t="s">
        <v>19</v>
      </c>
      <c r="K165" t="s">
        <v>20</v>
      </c>
      <c r="L165" t="s">
        <v>21</v>
      </c>
      <c r="M165" s="3">
        <v>46</v>
      </c>
      <c r="N165" s="2">
        <v>9700</v>
      </c>
      <c r="O165" t="str">
        <f t="shared" si="4"/>
        <v>&lt;=100</v>
      </c>
      <c r="P165" t="str">
        <f t="shared" si="5"/>
        <v>&lt;= 10000$</v>
      </c>
    </row>
    <row r="166" spans="1:16" hidden="1" x14ac:dyDescent="0.25">
      <c r="A166">
        <v>165</v>
      </c>
      <c r="B166" t="s">
        <v>128</v>
      </c>
      <c r="C166" t="s">
        <v>309</v>
      </c>
      <c r="D166" t="s">
        <v>16</v>
      </c>
      <c r="E166" t="s">
        <v>17</v>
      </c>
      <c r="F166" s="3">
        <v>100</v>
      </c>
      <c r="G166">
        <v>42</v>
      </c>
      <c r="H166">
        <v>10.88</v>
      </c>
      <c r="I166">
        <v>25</v>
      </c>
      <c r="J166" t="s">
        <v>19</v>
      </c>
      <c r="K166" t="s">
        <v>20</v>
      </c>
      <c r="L166" t="s">
        <v>21</v>
      </c>
      <c r="M166" s="3">
        <v>46</v>
      </c>
      <c r="N166" s="2">
        <v>9500</v>
      </c>
      <c r="O166" t="str">
        <f t="shared" si="4"/>
        <v>&lt;=100</v>
      </c>
      <c r="P166" t="str">
        <f t="shared" si="5"/>
        <v>&lt;= 10000$</v>
      </c>
    </row>
    <row r="167" spans="1:16" hidden="1" x14ac:dyDescent="0.25">
      <c r="A167">
        <v>166</v>
      </c>
      <c r="B167" t="s">
        <v>128</v>
      </c>
      <c r="C167" t="s">
        <v>309</v>
      </c>
      <c r="D167" t="s">
        <v>16</v>
      </c>
      <c r="E167" t="s">
        <v>17</v>
      </c>
      <c r="F167" s="3">
        <v>100</v>
      </c>
      <c r="G167">
        <v>42</v>
      </c>
      <c r="H167">
        <v>10.88</v>
      </c>
      <c r="I167">
        <v>22</v>
      </c>
      <c r="J167" t="s">
        <v>44</v>
      </c>
      <c r="K167" t="s">
        <v>20</v>
      </c>
      <c r="L167" t="s">
        <v>45</v>
      </c>
      <c r="M167" s="3">
        <v>46</v>
      </c>
      <c r="N167" s="2">
        <v>9200</v>
      </c>
      <c r="O167" t="str">
        <f t="shared" si="4"/>
        <v>&lt;=100</v>
      </c>
      <c r="P167" t="str">
        <f t="shared" si="5"/>
        <v>&lt;= 10000$</v>
      </c>
    </row>
    <row r="168" spans="1:16" hidden="1" x14ac:dyDescent="0.25">
      <c r="A168">
        <v>167</v>
      </c>
      <c r="B168" t="s">
        <v>128</v>
      </c>
      <c r="C168" t="s">
        <v>309</v>
      </c>
      <c r="D168" t="s">
        <v>16</v>
      </c>
      <c r="E168" t="s">
        <v>17</v>
      </c>
      <c r="F168" s="3">
        <v>100</v>
      </c>
      <c r="G168">
        <v>42</v>
      </c>
      <c r="H168">
        <v>10.88</v>
      </c>
      <c r="I168">
        <v>22</v>
      </c>
      <c r="J168" t="s">
        <v>28</v>
      </c>
      <c r="K168" t="s">
        <v>20</v>
      </c>
      <c r="L168" t="s">
        <v>21</v>
      </c>
      <c r="M168" s="3">
        <v>54</v>
      </c>
      <c r="N168" s="2">
        <v>9000</v>
      </c>
      <c r="O168" t="str">
        <f t="shared" si="4"/>
        <v>&lt;=100</v>
      </c>
      <c r="P168" t="str">
        <f t="shared" si="5"/>
        <v>&lt;= 10000$</v>
      </c>
    </row>
    <row r="169" spans="1:16" hidden="1" x14ac:dyDescent="0.25">
      <c r="A169">
        <v>168</v>
      </c>
      <c r="B169" t="s">
        <v>128</v>
      </c>
      <c r="C169" t="s">
        <v>309</v>
      </c>
      <c r="D169" t="s">
        <v>16</v>
      </c>
      <c r="E169" t="s">
        <v>17</v>
      </c>
      <c r="F169" s="3">
        <v>100</v>
      </c>
      <c r="G169">
        <v>42</v>
      </c>
      <c r="H169">
        <v>10.88</v>
      </c>
      <c r="I169">
        <v>22</v>
      </c>
      <c r="J169" t="s">
        <v>19</v>
      </c>
      <c r="K169" t="s">
        <v>20</v>
      </c>
      <c r="L169" t="s">
        <v>21</v>
      </c>
      <c r="M169" s="3">
        <v>54</v>
      </c>
      <c r="N169" s="2">
        <v>9000</v>
      </c>
      <c r="O169" t="str">
        <f t="shared" si="4"/>
        <v>&lt;=100</v>
      </c>
      <c r="P169" t="str">
        <f t="shared" si="5"/>
        <v>&lt;= 10000$</v>
      </c>
    </row>
    <row r="170" spans="1:16" hidden="1" x14ac:dyDescent="0.25">
      <c r="A170">
        <v>169</v>
      </c>
      <c r="B170" t="s">
        <v>128</v>
      </c>
      <c r="C170" t="s">
        <v>309</v>
      </c>
      <c r="D170" t="s">
        <v>16</v>
      </c>
      <c r="E170" t="s">
        <v>17</v>
      </c>
      <c r="F170" s="3">
        <v>100</v>
      </c>
      <c r="G170">
        <v>42</v>
      </c>
      <c r="H170">
        <v>10.88</v>
      </c>
      <c r="I170">
        <v>22</v>
      </c>
      <c r="J170" t="s">
        <v>28</v>
      </c>
      <c r="K170" t="s">
        <v>20</v>
      </c>
      <c r="L170" t="s">
        <v>21</v>
      </c>
      <c r="M170" s="3">
        <v>54</v>
      </c>
      <c r="N170" s="2">
        <v>9000</v>
      </c>
      <c r="O170" t="str">
        <f t="shared" si="4"/>
        <v>&lt;=100</v>
      </c>
      <c r="P170" t="str">
        <f t="shared" si="5"/>
        <v>&lt;= 10000$</v>
      </c>
    </row>
    <row r="171" spans="1:16" hidden="1" x14ac:dyDescent="0.25">
      <c r="A171">
        <v>170</v>
      </c>
      <c r="B171" t="s">
        <v>128</v>
      </c>
      <c r="C171" t="s">
        <v>311</v>
      </c>
      <c r="D171" t="s">
        <v>16</v>
      </c>
      <c r="E171" t="s">
        <v>17</v>
      </c>
      <c r="F171" s="3">
        <v>100</v>
      </c>
      <c r="G171">
        <v>38</v>
      </c>
      <c r="H171">
        <v>10.88</v>
      </c>
      <c r="I171">
        <v>25</v>
      </c>
      <c r="J171" t="s">
        <v>19</v>
      </c>
      <c r="K171" t="s">
        <v>20</v>
      </c>
      <c r="L171" t="s">
        <v>21</v>
      </c>
      <c r="M171" s="3">
        <v>46</v>
      </c>
      <c r="N171" s="2">
        <v>8700</v>
      </c>
      <c r="O171" t="str">
        <f t="shared" si="4"/>
        <v>&lt;=100</v>
      </c>
      <c r="P171" t="str">
        <f t="shared" si="5"/>
        <v>&lt;= 10000$</v>
      </c>
    </row>
    <row r="172" spans="1:16" hidden="1" x14ac:dyDescent="0.25">
      <c r="A172">
        <v>171</v>
      </c>
      <c r="B172" t="s">
        <v>128</v>
      </c>
      <c r="C172" t="s">
        <v>311</v>
      </c>
      <c r="D172" t="s">
        <v>16</v>
      </c>
      <c r="E172" t="s">
        <v>17</v>
      </c>
      <c r="F172" s="3">
        <v>100</v>
      </c>
      <c r="G172">
        <v>38</v>
      </c>
      <c r="H172">
        <v>10.88</v>
      </c>
      <c r="I172">
        <v>22</v>
      </c>
      <c r="J172" t="s">
        <v>19</v>
      </c>
      <c r="K172" t="s">
        <v>20</v>
      </c>
      <c r="L172" t="s">
        <v>45</v>
      </c>
      <c r="M172" s="3">
        <v>46</v>
      </c>
      <c r="N172" s="2">
        <v>8500</v>
      </c>
      <c r="O172" t="str">
        <f t="shared" si="4"/>
        <v>&lt;=100</v>
      </c>
      <c r="P172" t="str">
        <f t="shared" si="5"/>
        <v>&lt;= 10000$</v>
      </c>
    </row>
    <row r="173" spans="1:16" hidden="1" x14ac:dyDescent="0.25">
      <c r="A173">
        <v>172</v>
      </c>
      <c r="B173" t="s">
        <v>128</v>
      </c>
      <c r="C173" t="s">
        <v>309</v>
      </c>
      <c r="D173" t="s">
        <v>16</v>
      </c>
      <c r="E173" t="s">
        <v>17</v>
      </c>
      <c r="F173" s="3">
        <v>100</v>
      </c>
      <c r="G173">
        <v>42</v>
      </c>
      <c r="H173">
        <v>10.88</v>
      </c>
      <c r="I173">
        <v>25</v>
      </c>
      <c r="J173" t="s">
        <v>19</v>
      </c>
      <c r="K173" t="s">
        <v>20</v>
      </c>
      <c r="L173" t="s">
        <v>21</v>
      </c>
      <c r="M173" s="3">
        <v>46</v>
      </c>
      <c r="N173" s="2">
        <v>8000</v>
      </c>
      <c r="O173" t="str">
        <f t="shared" si="4"/>
        <v>&lt;=100</v>
      </c>
      <c r="P173" t="str">
        <f t="shared" si="5"/>
        <v>&lt;= 10000$</v>
      </c>
    </row>
    <row r="174" spans="1:16" hidden="1" x14ac:dyDescent="0.25">
      <c r="A174">
        <v>173</v>
      </c>
      <c r="B174" t="s">
        <v>128</v>
      </c>
      <c r="C174" t="s">
        <v>309</v>
      </c>
      <c r="D174" t="s">
        <v>16</v>
      </c>
      <c r="E174" t="s">
        <v>17</v>
      </c>
      <c r="F174" s="3">
        <v>100</v>
      </c>
      <c r="G174">
        <v>42</v>
      </c>
      <c r="H174">
        <v>10.88</v>
      </c>
      <c r="I174">
        <v>20</v>
      </c>
      <c r="J174" t="s">
        <v>28</v>
      </c>
      <c r="K174" t="s">
        <v>20</v>
      </c>
      <c r="L174" t="s">
        <v>45</v>
      </c>
      <c r="M174" s="3">
        <v>54</v>
      </c>
      <c r="N174" s="2">
        <v>7800</v>
      </c>
      <c r="O174" t="str">
        <f t="shared" si="4"/>
        <v>&lt;=100</v>
      </c>
      <c r="P174" t="str">
        <f t="shared" si="5"/>
        <v>&lt;= 10000$</v>
      </c>
    </row>
    <row r="175" spans="1:16" hidden="1" x14ac:dyDescent="0.25">
      <c r="A175">
        <v>174</v>
      </c>
      <c r="B175" t="s">
        <v>128</v>
      </c>
      <c r="C175" t="s">
        <v>309</v>
      </c>
      <c r="D175" t="s">
        <v>16</v>
      </c>
      <c r="E175" t="s">
        <v>17</v>
      </c>
      <c r="F175" s="3">
        <v>100</v>
      </c>
      <c r="G175">
        <v>42</v>
      </c>
      <c r="H175">
        <v>10.88</v>
      </c>
      <c r="I175">
        <v>25</v>
      </c>
      <c r="J175" t="s">
        <v>28</v>
      </c>
      <c r="K175" t="s">
        <v>20</v>
      </c>
      <c r="L175" t="s">
        <v>45</v>
      </c>
      <c r="M175" s="3">
        <v>54</v>
      </c>
      <c r="N175" s="2">
        <v>7500</v>
      </c>
      <c r="O175" t="str">
        <f t="shared" si="4"/>
        <v>&lt;=100</v>
      </c>
      <c r="P175" t="str">
        <f t="shared" si="5"/>
        <v>&lt;= 10000$</v>
      </c>
    </row>
    <row r="176" spans="1:16" hidden="1" x14ac:dyDescent="0.25">
      <c r="A176">
        <v>175</v>
      </c>
      <c r="B176" t="s">
        <v>128</v>
      </c>
      <c r="C176" t="s">
        <v>311</v>
      </c>
      <c r="D176" t="s">
        <v>16</v>
      </c>
      <c r="E176" t="s">
        <v>17</v>
      </c>
      <c r="F176" s="3">
        <v>100</v>
      </c>
      <c r="G176">
        <v>38</v>
      </c>
      <c r="H176">
        <v>10.88</v>
      </c>
      <c r="I176">
        <v>25</v>
      </c>
      <c r="J176" t="s">
        <v>28</v>
      </c>
      <c r="K176" t="s">
        <v>20</v>
      </c>
      <c r="L176" t="s">
        <v>45</v>
      </c>
      <c r="M176" s="3">
        <v>54</v>
      </c>
      <c r="N176" s="2">
        <v>6700</v>
      </c>
      <c r="O176" t="str">
        <f t="shared" si="4"/>
        <v>&lt;=100</v>
      </c>
      <c r="P176" t="str">
        <f t="shared" si="5"/>
        <v>&lt;= 10000$</v>
      </c>
    </row>
    <row r="177" spans="1:16" hidden="1" x14ac:dyDescent="0.25">
      <c r="A177">
        <v>176</v>
      </c>
      <c r="B177" t="s">
        <v>128</v>
      </c>
      <c r="C177" t="s">
        <v>309</v>
      </c>
      <c r="D177" t="s">
        <v>16</v>
      </c>
      <c r="E177" t="s">
        <v>17</v>
      </c>
      <c r="F177" s="3">
        <v>100</v>
      </c>
      <c r="G177">
        <v>42</v>
      </c>
      <c r="H177">
        <v>10.88</v>
      </c>
      <c r="I177">
        <v>22</v>
      </c>
      <c r="J177" t="s">
        <v>28</v>
      </c>
      <c r="K177" t="s">
        <v>20</v>
      </c>
      <c r="L177" t="s">
        <v>21</v>
      </c>
      <c r="M177" s="3">
        <v>54</v>
      </c>
      <c r="N177" s="2">
        <v>6500</v>
      </c>
      <c r="O177" t="str">
        <f t="shared" si="4"/>
        <v>&lt;=100</v>
      </c>
      <c r="P177" t="str">
        <f t="shared" si="5"/>
        <v>&lt;= 10000$</v>
      </c>
    </row>
    <row r="178" spans="1:16" hidden="1" x14ac:dyDescent="0.25">
      <c r="A178">
        <v>177</v>
      </c>
      <c r="B178" t="s">
        <v>131</v>
      </c>
      <c r="C178" t="s">
        <v>312</v>
      </c>
      <c r="D178" t="s">
        <v>32</v>
      </c>
      <c r="E178" t="s">
        <v>17</v>
      </c>
      <c r="F178" s="3">
        <v>50</v>
      </c>
      <c r="G178">
        <v>42</v>
      </c>
      <c r="H178">
        <v>12.2</v>
      </c>
      <c r="I178">
        <v>21</v>
      </c>
      <c r="J178" t="s">
        <v>44</v>
      </c>
      <c r="K178" t="s">
        <v>20</v>
      </c>
      <c r="L178" t="s">
        <v>45</v>
      </c>
      <c r="M178" s="3">
        <v>40</v>
      </c>
      <c r="N178" s="2">
        <v>9200</v>
      </c>
      <c r="O178" t="str">
        <f t="shared" si="4"/>
        <v>&lt;=100</v>
      </c>
      <c r="P178" t="str">
        <f t="shared" si="5"/>
        <v>&lt;= 10000$</v>
      </c>
    </row>
    <row r="179" spans="1:16" hidden="1" x14ac:dyDescent="0.25">
      <c r="A179">
        <v>178</v>
      </c>
      <c r="B179" t="s">
        <v>59</v>
      </c>
      <c r="C179" t="s">
        <v>313</v>
      </c>
      <c r="D179" t="s">
        <v>32</v>
      </c>
      <c r="E179" t="s">
        <v>17</v>
      </c>
      <c r="F179" s="3">
        <v>50</v>
      </c>
      <c r="G179">
        <v>40</v>
      </c>
      <c r="H179">
        <v>11.15</v>
      </c>
      <c r="I179">
        <v>20</v>
      </c>
      <c r="J179" t="s">
        <v>44</v>
      </c>
      <c r="K179" t="s">
        <v>20</v>
      </c>
      <c r="L179" t="s">
        <v>21</v>
      </c>
      <c r="M179" s="3">
        <v>80</v>
      </c>
      <c r="N179" s="2">
        <v>1150</v>
      </c>
      <c r="O179" t="str">
        <f t="shared" si="4"/>
        <v>&lt;=100</v>
      </c>
      <c r="P179" t="str">
        <f t="shared" si="5"/>
        <v xml:space="preserve"> &lt;=2000$</v>
      </c>
    </row>
    <row r="180" spans="1:16" hidden="1" x14ac:dyDescent="0.25">
      <c r="A180">
        <v>179</v>
      </c>
      <c r="B180" t="s">
        <v>59</v>
      </c>
      <c r="C180" t="s">
        <v>314</v>
      </c>
      <c r="D180" t="s">
        <v>205</v>
      </c>
      <c r="E180" t="s">
        <v>17</v>
      </c>
      <c r="F180" s="3">
        <v>100</v>
      </c>
      <c r="G180">
        <v>38</v>
      </c>
      <c r="H180">
        <v>9.6999999999999993</v>
      </c>
      <c r="I180">
        <v>20</v>
      </c>
      <c r="J180" t="s">
        <v>19</v>
      </c>
      <c r="K180" t="s">
        <v>20</v>
      </c>
      <c r="L180" t="s">
        <v>45</v>
      </c>
      <c r="M180" s="3">
        <v>80</v>
      </c>
      <c r="N180" s="2">
        <v>595</v>
      </c>
      <c r="O180" t="str">
        <f t="shared" si="4"/>
        <v>&lt;=100</v>
      </c>
      <c r="P180" t="str">
        <f t="shared" si="5"/>
        <v>&lt;= 1000$</v>
      </c>
    </row>
    <row r="181" spans="1:16" hidden="1" x14ac:dyDescent="0.25">
      <c r="A181">
        <v>180</v>
      </c>
      <c r="B181" t="s">
        <v>59</v>
      </c>
      <c r="C181" t="s">
        <v>315</v>
      </c>
      <c r="D181" t="s">
        <v>32</v>
      </c>
      <c r="E181" t="s">
        <v>17</v>
      </c>
      <c r="F181" s="3">
        <v>100</v>
      </c>
      <c r="G181">
        <v>38</v>
      </c>
      <c r="H181">
        <v>9.85</v>
      </c>
      <c r="I181">
        <v>20</v>
      </c>
      <c r="J181" t="s">
        <v>19</v>
      </c>
      <c r="K181" t="s">
        <v>20</v>
      </c>
      <c r="L181" t="s">
        <v>45</v>
      </c>
      <c r="M181" s="3">
        <v>80</v>
      </c>
      <c r="N181" s="2">
        <v>545</v>
      </c>
      <c r="O181" t="str">
        <f t="shared" si="4"/>
        <v>&lt;=100</v>
      </c>
      <c r="P181" t="str">
        <f t="shared" si="5"/>
        <v>&lt;= 1000$</v>
      </c>
    </row>
    <row r="182" spans="1:16" hidden="1" x14ac:dyDescent="0.25">
      <c r="A182">
        <v>181</v>
      </c>
      <c r="B182" t="s">
        <v>59</v>
      </c>
      <c r="C182" t="s">
        <v>314</v>
      </c>
      <c r="D182" t="s">
        <v>32</v>
      </c>
      <c r="E182" t="s">
        <v>17</v>
      </c>
      <c r="F182" s="3">
        <v>100</v>
      </c>
      <c r="G182">
        <v>38</v>
      </c>
      <c r="H182">
        <v>9.8000000000000007</v>
      </c>
      <c r="I182">
        <v>20</v>
      </c>
      <c r="J182" t="s">
        <v>19</v>
      </c>
      <c r="K182" t="s">
        <v>20</v>
      </c>
      <c r="L182" t="s">
        <v>45</v>
      </c>
      <c r="M182" s="3">
        <v>80</v>
      </c>
      <c r="N182" s="2">
        <v>495</v>
      </c>
      <c r="O182" t="str">
        <f t="shared" si="4"/>
        <v>&lt;=100</v>
      </c>
      <c r="P182" t="str">
        <f t="shared" si="5"/>
        <v>&lt;= 1000$</v>
      </c>
    </row>
    <row r="183" spans="1:16" hidden="1" x14ac:dyDescent="0.25">
      <c r="A183">
        <v>182</v>
      </c>
      <c r="B183" t="s">
        <v>133</v>
      </c>
      <c r="C183" t="s">
        <v>316</v>
      </c>
      <c r="D183" t="s">
        <v>26</v>
      </c>
      <c r="E183" t="s">
        <v>17</v>
      </c>
      <c r="F183" s="3">
        <v>50</v>
      </c>
      <c r="G183">
        <v>42</v>
      </c>
      <c r="H183">
        <v>10.5</v>
      </c>
      <c r="I183">
        <v>22</v>
      </c>
      <c r="J183" t="s">
        <v>28</v>
      </c>
      <c r="K183" t="s">
        <v>20</v>
      </c>
      <c r="L183" t="s">
        <v>45</v>
      </c>
      <c r="M183" s="3">
        <v>42</v>
      </c>
      <c r="N183" s="2">
        <v>20200</v>
      </c>
      <c r="O183" t="str">
        <f t="shared" si="4"/>
        <v>&lt;=100</v>
      </c>
      <c r="P183" t="str">
        <f t="shared" si="5"/>
        <v>&lt;= 40000$</v>
      </c>
    </row>
    <row r="184" spans="1:16" hidden="1" x14ac:dyDescent="0.25">
      <c r="A184">
        <v>183</v>
      </c>
      <c r="B184" t="s">
        <v>133</v>
      </c>
      <c r="C184" t="s">
        <v>317</v>
      </c>
      <c r="D184" t="s">
        <v>26</v>
      </c>
      <c r="E184" t="s">
        <v>17</v>
      </c>
      <c r="F184" s="3">
        <v>100</v>
      </c>
      <c r="G184">
        <v>44</v>
      </c>
      <c r="H184">
        <v>14.5</v>
      </c>
      <c r="I184">
        <v>22</v>
      </c>
      <c r="J184" t="s">
        <v>19</v>
      </c>
      <c r="K184" t="s">
        <v>20</v>
      </c>
      <c r="L184" t="s">
        <v>35</v>
      </c>
      <c r="M184" s="3">
        <v>72</v>
      </c>
      <c r="N184" s="2">
        <v>19500</v>
      </c>
      <c r="O184" t="str">
        <f t="shared" si="4"/>
        <v>&lt;=100</v>
      </c>
      <c r="P184" t="str">
        <f t="shared" si="5"/>
        <v>&lt;= 20000$</v>
      </c>
    </row>
    <row r="185" spans="1:16" hidden="1" x14ac:dyDescent="0.25">
      <c r="A185">
        <v>184</v>
      </c>
      <c r="B185" t="s">
        <v>133</v>
      </c>
      <c r="C185" t="s">
        <v>318</v>
      </c>
      <c r="D185" t="s">
        <v>26</v>
      </c>
      <c r="E185" t="s">
        <v>17</v>
      </c>
      <c r="F185" s="3">
        <v>100</v>
      </c>
      <c r="G185">
        <v>44</v>
      </c>
      <c r="H185">
        <v>14.5</v>
      </c>
      <c r="I185">
        <v>24</v>
      </c>
      <c r="J185" t="s">
        <v>19</v>
      </c>
      <c r="K185" t="s">
        <v>20</v>
      </c>
      <c r="L185" t="s">
        <v>35</v>
      </c>
      <c r="M185" s="3">
        <v>72</v>
      </c>
      <c r="N185" s="2">
        <v>18500</v>
      </c>
      <c r="O185" t="str">
        <f t="shared" si="4"/>
        <v>&lt;=100</v>
      </c>
      <c r="P185" t="str">
        <f t="shared" si="5"/>
        <v>&lt;= 20000$</v>
      </c>
    </row>
    <row r="186" spans="1:16" hidden="1" x14ac:dyDescent="0.25">
      <c r="A186">
        <v>185</v>
      </c>
      <c r="B186" t="s">
        <v>133</v>
      </c>
      <c r="C186" t="s">
        <v>319</v>
      </c>
      <c r="D186" t="s">
        <v>26</v>
      </c>
      <c r="E186" t="s">
        <v>17</v>
      </c>
      <c r="F186" s="3">
        <v>100</v>
      </c>
      <c r="G186">
        <v>44</v>
      </c>
      <c r="H186">
        <v>14.5</v>
      </c>
      <c r="I186">
        <v>26</v>
      </c>
      <c r="J186" t="s">
        <v>19</v>
      </c>
      <c r="K186" t="s">
        <v>20</v>
      </c>
      <c r="L186" t="s">
        <v>35</v>
      </c>
      <c r="M186" s="3">
        <v>72</v>
      </c>
      <c r="N186" s="2">
        <v>17900</v>
      </c>
      <c r="O186" t="str">
        <f t="shared" ref="O186:O249" si="6">IF($F186&lt;=100, "&lt;=100", IF($F186&lt;=200, "100-200", IF($F186&lt;=300, "200-300", IF($F186&lt;=500, "300-500", IF($F186&lt;1000, "500-1000", "1000+")))))</f>
        <v>&lt;=100</v>
      </c>
      <c r="P186" t="str">
        <f t="shared" ref="P186:P249" si="7">IF(N186&lt;=1000, "&lt;= 1000$", IF(N186&lt;=2000, " &lt;=2000$", IF(N186&lt;=5000, "&lt;=5000$", IF(N186&lt;=10000, "&lt;= 10000$", IF(N186&lt;=20000, "&lt;= 20000$", IF(N186&lt;40000, "&lt;= 40000$", "40000$ +"))))))</f>
        <v>&lt;= 20000$</v>
      </c>
    </row>
    <row r="187" spans="1:16" hidden="1" x14ac:dyDescent="0.25">
      <c r="A187">
        <v>186</v>
      </c>
      <c r="B187" t="s">
        <v>133</v>
      </c>
      <c r="C187" t="s">
        <v>318</v>
      </c>
      <c r="D187" t="s">
        <v>26</v>
      </c>
      <c r="E187" t="s">
        <v>17</v>
      </c>
      <c r="F187" s="3">
        <v>100</v>
      </c>
      <c r="G187">
        <v>44</v>
      </c>
      <c r="H187">
        <v>14.5</v>
      </c>
      <c r="I187">
        <v>25</v>
      </c>
      <c r="J187" t="s">
        <v>19</v>
      </c>
      <c r="K187" t="s">
        <v>20</v>
      </c>
      <c r="L187" t="s">
        <v>35</v>
      </c>
      <c r="M187" s="3">
        <v>72</v>
      </c>
      <c r="N187" s="2">
        <v>16800</v>
      </c>
      <c r="O187" t="str">
        <f t="shared" si="6"/>
        <v>&lt;=100</v>
      </c>
      <c r="P187" t="str">
        <f t="shared" si="7"/>
        <v>&lt;= 20000$</v>
      </c>
    </row>
    <row r="188" spans="1:16" hidden="1" x14ac:dyDescent="0.25">
      <c r="A188">
        <v>187</v>
      </c>
      <c r="B188" t="s">
        <v>133</v>
      </c>
      <c r="C188" t="s">
        <v>318</v>
      </c>
      <c r="D188" t="s">
        <v>26</v>
      </c>
      <c r="E188" t="s">
        <v>17</v>
      </c>
      <c r="F188" s="3">
        <v>100</v>
      </c>
      <c r="G188">
        <v>44</v>
      </c>
      <c r="H188">
        <v>14.5</v>
      </c>
      <c r="I188">
        <v>24</v>
      </c>
      <c r="J188" t="s">
        <v>28</v>
      </c>
      <c r="K188" t="s">
        <v>20</v>
      </c>
      <c r="L188" t="s">
        <v>35</v>
      </c>
      <c r="M188" s="3">
        <v>72</v>
      </c>
      <c r="N188" s="2">
        <v>16000</v>
      </c>
      <c r="O188" t="str">
        <f t="shared" si="6"/>
        <v>&lt;=100</v>
      </c>
      <c r="P188" t="str">
        <f t="shared" si="7"/>
        <v>&lt;= 20000$</v>
      </c>
    </row>
    <row r="189" spans="1:16" hidden="1" x14ac:dyDescent="0.25">
      <c r="A189">
        <v>188</v>
      </c>
      <c r="B189" t="s">
        <v>133</v>
      </c>
      <c r="C189" t="s">
        <v>320</v>
      </c>
      <c r="D189" t="s">
        <v>26</v>
      </c>
      <c r="E189" t="s">
        <v>17</v>
      </c>
      <c r="F189" s="3">
        <v>100</v>
      </c>
      <c r="G189">
        <v>41</v>
      </c>
      <c r="H189">
        <v>14.5</v>
      </c>
      <c r="I189">
        <v>20</v>
      </c>
      <c r="J189" t="s">
        <v>19</v>
      </c>
      <c r="K189" t="s">
        <v>20</v>
      </c>
      <c r="L189" t="s">
        <v>35</v>
      </c>
      <c r="M189" s="3">
        <v>72</v>
      </c>
      <c r="N189" s="2">
        <v>16000</v>
      </c>
      <c r="O189" t="str">
        <f t="shared" si="6"/>
        <v>&lt;=100</v>
      </c>
      <c r="P189" t="str">
        <f t="shared" si="7"/>
        <v>&lt;= 20000$</v>
      </c>
    </row>
    <row r="190" spans="1:16" hidden="1" x14ac:dyDescent="0.25">
      <c r="A190">
        <v>189</v>
      </c>
      <c r="B190" t="s">
        <v>133</v>
      </c>
      <c r="C190" t="s">
        <v>321</v>
      </c>
      <c r="D190" t="s">
        <v>26</v>
      </c>
      <c r="E190" t="s">
        <v>17</v>
      </c>
      <c r="F190" s="3">
        <v>100</v>
      </c>
      <c r="G190">
        <v>42</v>
      </c>
      <c r="H190">
        <v>14.1</v>
      </c>
      <c r="I190">
        <v>24</v>
      </c>
      <c r="J190" t="s">
        <v>19</v>
      </c>
      <c r="K190" t="s">
        <v>20</v>
      </c>
      <c r="L190" t="s">
        <v>35</v>
      </c>
      <c r="M190" s="3">
        <v>72</v>
      </c>
      <c r="N190" s="2">
        <v>16000</v>
      </c>
      <c r="O190" t="str">
        <f t="shared" si="6"/>
        <v>&lt;=100</v>
      </c>
      <c r="P190" t="str">
        <f t="shared" si="7"/>
        <v>&lt;= 20000$</v>
      </c>
    </row>
    <row r="191" spans="1:16" hidden="1" x14ac:dyDescent="0.25">
      <c r="A191">
        <v>190</v>
      </c>
      <c r="B191" t="s">
        <v>133</v>
      </c>
      <c r="C191" t="s">
        <v>318</v>
      </c>
      <c r="D191" t="s">
        <v>26</v>
      </c>
      <c r="E191" t="s">
        <v>17</v>
      </c>
      <c r="F191" s="3">
        <v>100</v>
      </c>
      <c r="G191">
        <v>44</v>
      </c>
      <c r="H191">
        <v>14.5</v>
      </c>
      <c r="I191">
        <v>24</v>
      </c>
      <c r="J191" t="s">
        <v>19</v>
      </c>
      <c r="K191" t="s">
        <v>20</v>
      </c>
      <c r="L191" t="s">
        <v>141</v>
      </c>
      <c r="M191" s="3">
        <v>72</v>
      </c>
      <c r="N191" s="2">
        <v>16000</v>
      </c>
      <c r="O191" t="str">
        <f t="shared" si="6"/>
        <v>&lt;=100</v>
      </c>
      <c r="P191" t="str">
        <f t="shared" si="7"/>
        <v>&lt;= 20000$</v>
      </c>
    </row>
    <row r="192" spans="1:16" hidden="1" x14ac:dyDescent="0.25">
      <c r="A192">
        <v>191</v>
      </c>
      <c r="B192" t="s">
        <v>133</v>
      </c>
      <c r="C192" t="s">
        <v>319</v>
      </c>
      <c r="D192" t="s">
        <v>26</v>
      </c>
      <c r="E192" t="s">
        <v>17</v>
      </c>
      <c r="F192" s="3">
        <v>100</v>
      </c>
      <c r="G192">
        <v>44</v>
      </c>
      <c r="H192">
        <v>14.5</v>
      </c>
      <c r="I192">
        <v>24</v>
      </c>
      <c r="J192" t="s">
        <v>19</v>
      </c>
      <c r="K192" t="s">
        <v>20</v>
      </c>
      <c r="L192" t="s">
        <v>35</v>
      </c>
      <c r="M192" s="3">
        <v>72</v>
      </c>
      <c r="N192" s="2">
        <v>15500</v>
      </c>
      <c r="O192" t="str">
        <f t="shared" si="6"/>
        <v>&lt;=100</v>
      </c>
      <c r="P192" t="str">
        <f t="shared" si="7"/>
        <v>&lt;= 20000$</v>
      </c>
    </row>
    <row r="193" spans="1:16" hidden="1" x14ac:dyDescent="0.25">
      <c r="A193">
        <v>192</v>
      </c>
      <c r="B193" t="s">
        <v>133</v>
      </c>
      <c r="C193" t="s">
        <v>322</v>
      </c>
      <c r="D193" t="s">
        <v>26</v>
      </c>
      <c r="E193" t="s">
        <v>17</v>
      </c>
      <c r="F193" s="3">
        <v>100</v>
      </c>
      <c r="G193">
        <v>44.5</v>
      </c>
      <c r="H193">
        <v>14.5</v>
      </c>
      <c r="I193">
        <v>22</v>
      </c>
      <c r="J193" t="s">
        <v>19</v>
      </c>
      <c r="K193" t="s">
        <v>20</v>
      </c>
      <c r="L193" t="s">
        <v>35</v>
      </c>
      <c r="M193" s="3">
        <v>72</v>
      </c>
      <c r="N193" s="2">
        <v>15000</v>
      </c>
      <c r="O193" t="str">
        <f t="shared" si="6"/>
        <v>&lt;=100</v>
      </c>
      <c r="P193" t="str">
        <f t="shared" si="7"/>
        <v>&lt;= 20000$</v>
      </c>
    </row>
    <row r="194" spans="1:16" hidden="1" x14ac:dyDescent="0.25">
      <c r="A194">
        <v>193</v>
      </c>
      <c r="B194" t="s">
        <v>133</v>
      </c>
      <c r="C194" t="s">
        <v>317</v>
      </c>
      <c r="D194" t="s">
        <v>26</v>
      </c>
      <c r="E194" t="s">
        <v>17</v>
      </c>
      <c r="F194" s="3">
        <v>100</v>
      </c>
      <c r="G194">
        <v>44</v>
      </c>
      <c r="H194">
        <v>14.5</v>
      </c>
      <c r="I194">
        <v>25</v>
      </c>
      <c r="J194" t="s">
        <v>19</v>
      </c>
      <c r="K194" t="s">
        <v>20</v>
      </c>
      <c r="L194" t="s">
        <v>35</v>
      </c>
      <c r="M194" s="3">
        <v>72</v>
      </c>
      <c r="N194" s="2">
        <v>15000</v>
      </c>
      <c r="O194" t="str">
        <f t="shared" si="6"/>
        <v>&lt;=100</v>
      </c>
      <c r="P194" t="str">
        <f t="shared" si="7"/>
        <v>&lt;= 20000$</v>
      </c>
    </row>
    <row r="195" spans="1:16" hidden="1" x14ac:dyDescent="0.25">
      <c r="A195">
        <v>194</v>
      </c>
      <c r="B195" t="s">
        <v>133</v>
      </c>
      <c r="C195" t="s">
        <v>318</v>
      </c>
      <c r="D195" t="s">
        <v>26</v>
      </c>
      <c r="E195" t="s">
        <v>17</v>
      </c>
      <c r="F195" s="3">
        <v>100</v>
      </c>
      <c r="G195">
        <v>44</v>
      </c>
      <c r="H195">
        <v>14.5</v>
      </c>
      <c r="I195">
        <v>22</v>
      </c>
      <c r="J195" t="s">
        <v>19</v>
      </c>
      <c r="K195" t="s">
        <v>20</v>
      </c>
      <c r="L195" t="s">
        <v>35</v>
      </c>
      <c r="M195" s="3">
        <v>72</v>
      </c>
      <c r="N195" s="2">
        <v>15000</v>
      </c>
      <c r="O195" t="str">
        <f t="shared" si="6"/>
        <v>&lt;=100</v>
      </c>
      <c r="P195" t="str">
        <f t="shared" si="7"/>
        <v>&lt;= 20000$</v>
      </c>
    </row>
    <row r="196" spans="1:16" hidden="1" x14ac:dyDescent="0.25">
      <c r="A196">
        <v>195</v>
      </c>
      <c r="B196" t="s">
        <v>133</v>
      </c>
      <c r="C196" t="s">
        <v>318</v>
      </c>
      <c r="D196" t="s">
        <v>26</v>
      </c>
      <c r="E196" t="s">
        <v>17</v>
      </c>
      <c r="F196" s="3">
        <v>100</v>
      </c>
      <c r="G196">
        <v>44</v>
      </c>
      <c r="H196">
        <v>14.5</v>
      </c>
      <c r="I196">
        <v>25</v>
      </c>
      <c r="J196" t="s">
        <v>19</v>
      </c>
      <c r="K196" t="s">
        <v>20</v>
      </c>
      <c r="L196" t="s">
        <v>35</v>
      </c>
      <c r="M196" s="3">
        <v>72</v>
      </c>
      <c r="N196" s="2">
        <v>14000</v>
      </c>
      <c r="O196" t="str">
        <f t="shared" si="6"/>
        <v>&lt;=100</v>
      </c>
      <c r="P196" t="str">
        <f t="shared" si="7"/>
        <v>&lt;= 20000$</v>
      </c>
    </row>
    <row r="197" spans="1:16" hidden="1" x14ac:dyDescent="0.25">
      <c r="A197">
        <v>196</v>
      </c>
      <c r="B197" t="s">
        <v>133</v>
      </c>
      <c r="C197" t="s">
        <v>320</v>
      </c>
      <c r="D197" t="s">
        <v>26</v>
      </c>
      <c r="E197" t="s">
        <v>17</v>
      </c>
      <c r="F197" s="3">
        <v>100</v>
      </c>
      <c r="G197">
        <v>41</v>
      </c>
      <c r="H197">
        <v>14.6</v>
      </c>
      <c r="I197">
        <v>20</v>
      </c>
      <c r="J197" t="s">
        <v>19</v>
      </c>
      <c r="K197" t="s">
        <v>20</v>
      </c>
      <c r="L197" t="s">
        <v>35</v>
      </c>
      <c r="M197" s="3">
        <v>42</v>
      </c>
      <c r="N197" s="2">
        <v>14000</v>
      </c>
      <c r="O197" t="str">
        <f t="shared" si="6"/>
        <v>&lt;=100</v>
      </c>
      <c r="P197" t="str">
        <f t="shared" si="7"/>
        <v>&lt;= 20000$</v>
      </c>
    </row>
    <row r="198" spans="1:16" hidden="1" x14ac:dyDescent="0.25">
      <c r="A198">
        <v>197</v>
      </c>
      <c r="B198" t="s">
        <v>133</v>
      </c>
      <c r="C198" t="s">
        <v>318</v>
      </c>
      <c r="D198" t="s">
        <v>26</v>
      </c>
      <c r="E198" t="s">
        <v>17</v>
      </c>
      <c r="F198" s="3">
        <v>100</v>
      </c>
      <c r="G198">
        <v>44</v>
      </c>
      <c r="H198">
        <v>14.5</v>
      </c>
      <c r="I198">
        <v>24</v>
      </c>
      <c r="J198" t="s">
        <v>19</v>
      </c>
      <c r="K198" t="s">
        <v>20</v>
      </c>
      <c r="L198" t="s">
        <v>148</v>
      </c>
      <c r="M198" s="3">
        <v>72</v>
      </c>
      <c r="N198" s="2">
        <v>13000</v>
      </c>
      <c r="O198" t="str">
        <f t="shared" si="6"/>
        <v>&lt;=100</v>
      </c>
      <c r="P198" t="str">
        <f t="shared" si="7"/>
        <v>&lt;= 20000$</v>
      </c>
    </row>
    <row r="199" spans="1:16" hidden="1" x14ac:dyDescent="0.25">
      <c r="A199">
        <v>198</v>
      </c>
      <c r="B199" t="s">
        <v>133</v>
      </c>
      <c r="C199" t="s">
        <v>321</v>
      </c>
      <c r="D199" t="s">
        <v>26</v>
      </c>
      <c r="E199" t="s">
        <v>17</v>
      </c>
      <c r="F199" s="3">
        <v>100</v>
      </c>
      <c r="G199">
        <v>42</v>
      </c>
      <c r="H199">
        <v>14.1</v>
      </c>
      <c r="I199">
        <v>24</v>
      </c>
      <c r="J199" t="s">
        <v>19</v>
      </c>
      <c r="K199" t="s">
        <v>20</v>
      </c>
      <c r="L199" t="s">
        <v>148</v>
      </c>
      <c r="M199" s="3">
        <v>42</v>
      </c>
      <c r="N199" s="2">
        <v>12000</v>
      </c>
      <c r="O199" t="str">
        <f t="shared" si="6"/>
        <v>&lt;=100</v>
      </c>
      <c r="P199" t="str">
        <f t="shared" si="7"/>
        <v>&lt;= 20000$</v>
      </c>
    </row>
    <row r="200" spans="1:16" hidden="1" x14ac:dyDescent="0.25">
      <c r="A200">
        <v>199</v>
      </c>
      <c r="B200" t="s">
        <v>133</v>
      </c>
      <c r="C200" t="s">
        <v>317</v>
      </c>
      <c r="D200" t="s">
        <v>26</v>
      </c>
      <c r="E200" t="s">
        <v>17</v>
      </c>
      <c r="F200" s="3">
        <v>100</v>
      </c>
      <c r="G200">
        <v>44</v>
      </c>
      <c r="H200">
        <v>14.5</v>
      </c>
      <c r="I200">
        <v>26</v>
      </c>
      <c r="J200" t="s">
        <v>19</v>
      </c>
      <c r="K200" t="s">
        <v>20</v>
      </c>
      <c r="L200" t="s">
        <v>35</v>
      </c>
      <c r="M200" s="3">
        <v>72</v>
      </c>
      <c r="N200" s="2">
        <v>12000</v>
      </c>
      <c r="O200" t="str">
        <f t="shared" si="6"/>
        <v>&lt;=100</v>
      </c>
      <c r="P200" t="str">
        <f t="shared" si="7"/>
        <v>&lt;= 20000$</v>
      </c>
    </row>
    <row r="201" spans="1:16" hidden="1" x14ac:dyDescent="0.25">
      <c r="A201">
        <v>200</v>
      </c>
      <c r="B201" t="s">
        <v>133</v>
      </c>
      <c r="C201" t="s">
        <v>323</v>
      </c>
      <c r="D201" t="s">
        <v>26</v>
      </c>
      <c r="E201" t="s">
        <v>17</v>
      </c>
      <c r="F201" s="3">
        <v>50</v>
      </c>
      <c r="G201">
        <v>45</v>
      </c>
      <c r="H201">
        <v>10.95</v>
      </c>
      <c r="I201">
        <v>22</v>
      </c>
      <c r="J201" t="s">
        <v>28</v>
      </c>
      <c r="K201" t="s">
        <v>20</v>
      </c>
      <c r="L201" t="s">
        <v>45</v>
      </c>
      <c r="M201" s="3">
        <v>42</v>
      </c>
      <c r="N201" s="2">
        <v>9500</v>
      </c>
      <c r="O201" t="str">
        <f t="shared" si="6"/>
        <v>&lt;=100</v>
      </c>
      <c r="P201" t="str">
        <f t="shared" si="7"/>
        <v>&lt;= 10000$</v>
      </c>
    </row>
    <row r="202" spans="1:16" hidden="1" x14ac:dyDescent="0.25">
      <c r="A202">
        <v>201</v>
      </c>
      <c r="B202" t="s">
        <v>133</v>
      </c>
      <c r="C202" t="s">
        <v>324</v>
      </c>
      <c r="D202" t="s">
        <v>26</v>
      </c>
      <c r="E202" t="s">
        <v>17</v>
      </c>
      <c r="F202" s="3">
        <v>100</v>
      </c>
      <c r="G202">
        <v>42</v>
      </c>
      <c r="H202">
        <v>14.5</v>
      </c>
      <c r="I202">
        <v>24</v>
      </c>
      <c r="J202" t="s">
        <v>19</v>
      </c>
      <c r="K202" t="s">
        <v>20</v>
      </c>
      <c r="L202" t="s">
        <v>141</v>
      </c>
      <c r="M202" s="3">
        <v>72</v>
      </c>
      <c r="N202" s="2">
        <v>8900</v>
      </c>
      <c r="O202" t="str">
        <f t="shared" si="6"/>
        <v>&lt;=100</v>
      </c>
      <c r="P202" t="str">
        <f t="shared" si="7"/>
        <v>&lt;= 10000$</v>
      </c>
    </row>
    <row r="203" spans="1:16" hidden="1" x14ac:dyDescent="0.25">
      <c r="A203">
        <v>202</v>
      </c>
      <c r="B203" t="s">
        <v>133</v>
      </c>
      <c r="C203" t="s">
        <v>325</v>
      </c>
      <c r="D203" t="s">
        <v>26</v>
      </c>
      <c r="E203" t="s">
        <v>17</v>
      </c>
      <c r="F203" s="3">
        <v>50</v>
      </c>
      <c r="G203">
        <v>42</v>
      </c>
      <c r="H203">
        <v>10.5</v>
      </c>
      <c r="I203">
        <v>22</v>
      </c>
      <c r="J203" t="s">
        <v>28</v>
      </c>
      <c r="K203" t="s">
        <v>20</v>
      </c>
      <c r="L203" t="s">
        <v>21</v>
      </c>
      <c r="M203" s="3">
        <v>42</v>
      </c>
      <c r="N203" s="2">
        <v>8500</v>
      </c>
      <c r="O203" t="str">
        <f t="shared" si="6"/>
        <v>&lt;=100</v>
      </c>
      <c r="P203" t="str">
        <f t="shared" si="7"/>
        <v>&lt;= 10000$</v>
      </c>
    </row>
    <row r="204" spans="1:16" hidden="1" x14ac:dyDescent="0.25">
      <c r="A204">
        <v>203</v>
      </c>
      <c r="B204" t="s">
        <v>133</v>
      </c>
      <c r="C204" t="s">
        <v>325</v>
      </c>
      <c r="D204" t="s">
        <v>26</v>
      </c>
      <c r="E204" t="s">
        <v>17</v>
      </c>
      <c r="F204" s="3">
        <v>50</v>
      </c>
      <c r="G204">
        <v>42</v>
      </c>
      <c r="H204">
        <v>10.5</v>
      </c>
      <c r="I204">
        <v>22</v>
      </c>
      <c r="J204" t="s">
        <v>19</v>
      </c>
      <c r="K204" t="s">
        <v>20</v>
      </c>
      <c r="L204" t="s">
        <v>45</v>
      </c>
      <c r="M204" s="3">
        <v>42</v>
      </c>
      <c r="N204" s="2">
        <v>8200</v>
      </c>
      <c r="O204" t="str">
        <f t="shared" si="6"/>
        <v>&lt;=100</v>
      </c>
      <c r="P204" t="str">
        <f t="shared" si="7"/>
        <v>&lt;= 10000$</v>
      </c>
    </row>
    <row r="205" spans="1:16" hidden="1" x14ac:dyDescent="0.25">
      <c r="A205">
        <v>204</v>
      </c>
      <c r="B205" t="s">
        <v>133</v>
      </c>
      <c r="C205" t="s">
        <v>325</v>
      </c>
      <c r="D205" t="s">
        <v>26</v>
      </c>
      <c r="E205" t="s">
        <v>17</v>
      </c>
      <c r="F205" s="3">
        <v>50</v>
      </c>
      <c r="G205">
        <v>42</v>
      </c>
      <c r="H205">
        <v>10.6</v>
      </c>
      <c r="I205">
        <v>22</v>
      </c>
      <c r="J205" t="s">
        <v>19</v>
      </c>
      <c r="K205" t="s">
        <v>20</v>
      </c>
      <c r="L205" t="s">
        <v>21</v>
      </c>
      <c r="M205" s="3">
        <v>42</v>
      </c>
      <c r="N205" s="2">
        <v>8100</v>
      </c>
      <c r="O205" t="str">
        <f t="shared" si="6"/>
        <v>&lt;=100</v>
      </c>
      <c r="P205" t="str">
        <f t="shared" si="7"/>
        <v>&lt;= 10000$</v>
      </c>
    </row>
    <row r="206" spans="1:16" hidden="1" x14ac:dyDescent="0.25">
      <c r="A206">
        <v>205</v>
      </c>
      <c r="B206" t="s">
        <v>133</v>
      </c>
      <c r="C206" t="s">
        <v>323</v>
      </c>
      <c r="D206" t="s">
        <v>26</v>
      </c>
      <c r="E206" t="s">
        <v>17</v>
      </c>
      <c r="F206" s="3">
        <v>50</v>
      </c>
      <c r="G206">
        <v>45</v>
      </c>
      <c r="H206">
        <v>10.95</v>
      </c>
      <c r="I206">
        <v>24</v>
      </c>
      <c r="J206" t="s">
        <v>28</v>
      </c>
      <c r="K206" t="s">
        <v>20</v>
      </c>
      <c r="L206" t="s">
        <v>21</v>
      </c>
      <c r="M206" s="3">
        <v>42</v>
      </c>
      <c r="N206" s="2">
        <v>7500</v>
      </c>
      <c r="O206" t="str">
        <f t="shared" si="6"/>
        <v>&lt;=100</v>
      </c>
      <c r="P206" t="str">
        <f t="shared" si="7"/>
        <v>&lt;= 10000$</v>
      </c>
    </row>
    <row r="207" spans="1:16" hidden="1" x14ac:dyDescent="0.25">
      <c r="A207">
        <v>206</v>
      </c>
      <c r="B207" t="s">
        <v>133</v>
      </c>
      <c r="C207" t="s">
        <v>325</v>
      </c>
      <c r="D207" t="s">
        <v>26</v>
      </c>
      <c r="E207" t="s">
        <v>17</v>
      </c>
      <c r="F207" s="3">
        <v>50</v>
      </c>
      <c r="G207">
        <v>42</v>
      </c>
      <c r="H207">
        <v>9.85</v>
      </c>
      <c r="I207">
        <v>22</v>
      </c>
      <c r="J207" t="s">
        <v>28</v>
      </c>
      <c r="K207" t="s">
        <v>20</v>
      </c>
      <c r="L207" t="s">
        <v>45</v>
      </c>
      <c r="M207" s="3">
        <v>42</v>
      </c>
      <c r="N207" s="2">
        <v>7500</v>
      </c>
      <c r="O207" t="str">
        <f t="shared" si="6"/>
        <v>&lt;=100</v>
      </c>
      <c r="P207" t="str">
        <f t="shared" si="7"/>
        <v>&lt;= 10000$</v>
      </c>
    </row>
    <row r="208" spans="1:16" hidden="1" x14ac:dyDescent="0.25">
      <c r="A208">
        <v>207</v>
      </c>
      <c r="B208" t="s">
        <v>133</v>
      </c>
      <c r="C208" t="s">
        <v>325</v>
      </c>
      <c r="D208" t="s">
        <v>26</v>
      </c>
      <c r="E208" t="s">
        <v>17</v>
      </c>
      <c r="F208" s="3">
        <v>50</v>
      </c>
      <c r="G208">
        <v>42</v>
      </c>
      <c r="H208">
        <v>9.3000000000000007</v>
      </c>
      <c r="I208">
        <v>20</v>
      </c>
      <c r="J208" t="s">
        <v>19</v>
      </c>
      <c r="K208" t="s">
        <v>20</v>
      </c>
      <c r="L208" t="s">
        <v>45</v>
      </c>
      <c r="M208" s="3">
        <v>42</v>
      </c>
      <c r="N208" s="2">
        <v>6500</v>
      </c>
      <c r="O208" t="str">
        <f t="shared" si="6"/>
        <v>&lt;=100</v>
      </c>
      <c r="P208" t="str">
        <f t="shared" si="7"/>
        <v>&lt;= 10000$</v>
      </c>
    </row>
    <row r="209" spans="1:16" hidden="1" x14ac:dyDescent="0.25">
      <c r="A209">
        <v>208</v>
      </c>
      <c r="B209" t="s">
        <v>93</v>
      </c>
      <c r="C209" t="s">
        <v>326</v>
      </c>
      <c r="D209" t="s">
        <v>32</v>
      </c>
      <c r="E209" t="s">
        <v>17</v>
      </c>
      <c r="F209" s="3">
        <v>30</v>
      </c>
      <c r="G209">
        <v>41</v>
      </c>
      <c r="H209">
        <v>12.3</v>
      </c>
      <c r="I209">
        <v>22</v>
      </c>
      <c r="J209" t="s">
        <v>28</v>
      </c>
      <c r="K209" t="s">
        <v>20</v>
      </c>
      <c r="L209" t="s">
        <v>180</v>
      </c>
      <c r="M209" s="3">
        <v>46</v>
      </c>
      <c r="N209" s="2">
        <v>9800</v>
      </c>
      <c r="O209" t="str">
        <f t="shared" si="6"/>
        <v>&lt;=100</v>
      </c>
      <c r="P209" t="str">
        <f t="shared" si="7"/>
        <v>&lt;= 10000$</v>
      </c>
    </row>
    <row r="210" spans="1:16" hidden="1" x14ac:dyDescent="0.25">
      <c r="A210">
        <v>209</v>
      </c>
      <c r="B210" t="s">
        <v>93</v>
      </c>
      <c r="C210" t="s">
        <v>326</v>
      </c>
      <c r="D210" t="s">
        <v>32</v>
      </c>
      <c r="E210" t="s">
        <v>17</v>
      </c>
      <c r="F210" s="3">
        <v>30</v>
      </c>
      <c r="G210">
        <v>41</v>
      </c>
      <c r="H210">
        <v>12.3</v>
      </c>
      <c r="I210">
        <v>22</v>
      </c>
      <c r="J210" t="s">
        <v>34</v>
      </c>
      <c r="K210" t="s">
        <v>20</v>
      </c>
      <c r="L210" t="s">
        <v>21</v>
      </c>
      <c r="M210" s="3">
        <v>168</v>
      </c>
      <c r="N210" s="2">
        <v>9500</v>
      </c>
      <c r="O210" t="str">
        <f t="shared" si="6"/>
        <v>&lt;=100</v>
      </c>
      <c r="P210" t="str">
        <f t="shared" si="7"/>
        <v>&lt;= 10000$</v>
      </c>
    </row>
    <row r="211" spans="1:16" hidden="1" x14ac:dyDescent="0.25">
      <c r="A211">
        <v>210</v>
      </c>
      <c r="B211" t="s">
        <v>93</v>
      </c>
      <c r="C211" t="s">
        <v>327</v>
      </c>
      <c r="D211" t="s">
        <v>32</v>
      </c>
      <c r="E211" t="s">
        <v>17</v>
      </c>
      <c r="F211" s="3">
        <v>30</v>
      </c>
      <c r="G211">
        <v>42.3</v>
      </c>
      <c r="H211">
        <v>14.2</v>
      </c>
      <c r="I211">
        <v>22</v>
      </c>
      <c r="J211" t="s">
        <v>28</v>
      </c>
      <c r="K211" t="s">
        <v>20</v>
      </c>
      <c r="L211" t="s">
        <v>45</v>
      </c>
      <c r="M211" s="3">
        <v>60</v>
      </c>
      <c r="N211" s="2">
        <v>9100</v>
      </c>
      <c r="O211" t="str">
        <f t="shared" si="6"/>
        <v>&lt;=100</v>
      </c>
      <c r="P211" t="str">
        <f t="shared" si="7"/>
        <v>&lt;= 10000$</v>
      </c>
    </row>
    <row r="212" spans="1:16" hidden="1" x14ac:dyDescent="0.25">
      <c r="A212">
        <v>211</v>
      </c>
      <c r="B212" t="s">
        <v>93</v>
      </c>
      <c r="C212" t="s">
        <v>326</v>
      </c>
      <c r="D212" t="s">
        <v>32</v>
      </c>
      <c r="E212" t="s">
        <v>17</v>
      </c>
      <c r="F212" s="3">
        <v>30</v>
      </c>
      <c r="G212">
        <v>41</v>
      </c>
      <c r="H212">
        <v>12.3</v>
      </c>
      <c r="I212">
        <v>22</v>
      </c>
      <c r="J212" t="s">
        <v>28</v>
      </c>
      <c r="K212" t="s">
        <v>20</v>
      </c>
      <c r="L212" t="s">
        <v>21</v>
      </c>
      <c r="M212" s="3">
        <v>60</v>
      </c>
      <c r="N212" s="2">
        <v>8900</v>
      </c>
      <c r="O212" t="str">
        <f t="shared" si="6"/>
        <v>&lt;=100</v>
      </c>
      <c r="P212" t="str">
        <f t="shared" si="7"/>
        <v>&lt;= 10000$</v>
      </c>
    </row>
    <row r="213" spans="1:16" hidden="1" x14ac:dyDescent="0.25">
      <c r="A213">
        <v>212</v>
      </c>
      <c r="B213" t="s">
        <v>93</v>
      </c>
      <c r="C213" t="s">
        <v>326</v>
      </c>
      <c r="D213" t="s">
        <v>32</v>
      </c>
      <c r="E213" t="s">
        <v>17</v>
      </c>
      <c r="F213" s="3">
        <v>30</v>
      </c>
      <c r="G213">
        <v>41</v>
      </c>
      <c r="H213">
        <v>12.3</v>
      </c>
      <c r="I213">
        <v>22</v>
      </c>
      <c r="J213" t="s">
        <v>44</v>
      </c>
      <c r="K213" t="s">
        <v>20</v>
      </c>
      <c r="L213" t="s">
        <v>21</v>
      </c>
      <c r="M213" s="3">
        <v>60</v>
      </c>
      <c r="N213" s="2">
        <v>8900</v>
      </c>
      <c r="O213" t="str">
        <f t="shared" si="6"/>
        <v>&lt;=100</v>
      </c>
      <c r="P213" t="str">
        <f t="shared" si="7"/>
        <v>&lt;= 10000$</v>
      </c>
    </row>
    <row r="214" spans="1:16" hidden="1" x14ac:dyDescent="0.25">
      <c r="A214">
        <v>213</v>
      </c>
      <c r="B214" t="s">
        <v>93</v>
      </c>
      <c r="C214" t="s">
        <v>328</v>
      </c>
      <c r="D214" t="s">
        <v>108</v>
      </c>
      <c r="E214" t="s">
        <v>17</v>
      </c>
      <c r="F214" s="3">
        <v>30</v>
      </c>
      <c r="G214">
        <v>40.4</v>
      </c>
      <c r="H214">
        <v>12.3</v>
      </c>
      <c r="I214">
        <v>20</v>
      </c>
      <c r="J214" t="s">
        <v>44</v>
      </c>
      <c r="K214" t="s">
        <v>20</v>
      </c>
      <c r="L214" t="s">
        <v>21</v>
      </c>
      <c r="M214" s="3">
        <v>60</v>
      </c>
      <c r="N214" s="2">
        <v>8800</v>
      </c>
      <c r="O214" t="str">
        <f t="shared" si="6"/>
        <v>&lt;=100</v>
      </c>
      <c r="P214" t="str">
        <f t="shared" si="7"/>
        <v>&lt;= 10000$</v>
      </c>
    </row>
    <row r="215" spans="1:16" hidden="1" x14ac:dyDescent="0.25">
      <c r="A215">
        <v>214</v>
      </c>
      <c r="B215" t="s">
        <v>93</v>
      </c>
      <c r="C215" t="s">
        <v>329</v>
      </c>
      <c r="D215" t="s">
        <v>32</v>
      </c>
      <c r="E215" t="s">
        <v>17</v>
      </c>
      <c r="F215" s="3">
        <v>30</v>
      </c>
      <c r="G215">
        <v>42.3</v>
      </c>
      <c r="H215">
        <v>14.2</v>
      </c>
      <c r="I215">
        <v>22</v>
      </c>
      <c r="J215" t="s">
        <v>34</v>
      </c>
      <c r="K215" t="s">
        <v>20</v>
      </c>
      <c r="L215" t="s">
        <v>21</v>
      </c>
      <c r="M215" s="3">
        <v>60</v>
      </c>
      <c r="N215" s="2">
        <v>8800</v>
      </c>
      <c r="O215" t="str">
        <f t="shared" si="6"/>
        <v>&lt;=100</v>
      </c>
      <c r="P215" t="str">
        <f t="shared" si="7"/>
        <v>&lt;= 10000$</v>
      </c>
    </row>
    <row r="216" spans="1:16" hidden="1" x14ac:dyDescent="0.25">
      <c r="A216">
        <v>215</v>
      </c>
      <c r="B216" t="s">
        <v>93</v>
      </c>
      <c r="C216" t="s">
        <v>326</v>
      </c>
      <c r="D216" t="s">
        <v>32</v>
      </c>
      <c r="E216" t="s">
        <v>17</v>
      </c>
      <c r="F216" s="3">
        <v>30</v>
      </c>
      <c r="G216">
        <v>41</v>
      </c>
      <c r="H216">
        <v>12.3</v>
      </c>
      <c r="I216">
        <v>22</v>
      </c>
      <c r="J216" t="s">
        <v>28</v>
      </c>
      <c r="K216" t="s">
        <v>20</v>
      </c>
      <c r="L216" t="s">
        <v>45</v>
      </c>
      <c r="M216" s="3">
        <v>60</v>
      </c>
      <c r="N216" s="2">
        <v>8500</v>
      </c>
      <c r="O216" t="str">
        <f t="shared" si="6"/>
        <v>&lt;=100</v>
      </c>
      <c r="P216" t="str">
        <f t="shared" si="7"/>
        <v>&lt;= 10000$</v>
      </c>
    </row>
    <row r="217" spans="1:16" hidden="1" x14ac:dyDescent="0.25">
      <c r="A217">
        <v>216</v>
      </c>
      <c r="B217" t="s">
        <v>93</v>
      </c>
      <c r="C217" t="s">
        <v>326</v>
      </c>
      <c r="D217" t="s">
        <v>32</v>
      </c>
      <c r="E217" t="s">
        <v>17</v>
      </c>
      <c r="F217" s="3">
        <v>30</v>
      </c>
      <c r="G217">
        <v>41</v>
      </c>
      <c r="H217">
        <v>13.1</v>
      </c>
      <c r="I217">
        <v>22</v>
      </c>
      <c r="J217" t="s">
        <v>44</v>
      </c>
      <c r="K217" t="s">
        <v>20</v>
      </c>
      <c r="L217" t="s">
        <v>21</v>
      </c>
      <c r="M217" s="3">
        <v>60</v>
      </c>
      <c r="N217" s="2">
        <v>8500</v>
      </c>
      <c r="O217" t="str">
        <f t="shared" si="6"/>
        <v>&lt;=100</v>
      </c>
      <c r="P217" t="str">
        <f t="shared" si="7"/>
        <v>&lt;= 10000$</v>
      </c>
    </row>
    <row r="218" spans="1:16" hidden="1" x14ac:dyDescent="0.25">
      <c r="A218">
        <v>217</v>
      </c>
      <c r="B218" t="s">
        <v>93</v>
      </c>
      <c r="C218" t="s">
        <v>326</v>
      </c>
      <c r="D218" t="s">
        <v>32</v>
      </c>
      <c r="E218" t="s">
        <v>17</v>
      </c>
      <c r="F218" s="3">
        <v>30</v>
      </c>
      <c r="G218">
        <v>41</v>
      </c>
      <c r="H218">
        <v>12.3</v>
      </c>
      <c r="I218">
        <v>22</v>
      </c>
      <c r="J218" t="s">
        <v>28</v>
      </c>
      <c r="K218" t="s">
        <v>20</v>
      </c>
      <c r="L218" t="s">
        <v>147</v>
      </c>
      <c r="M218" s="3">
        <v>42</v>
      </c>
      <c r="N218" s="2">
        <v>8500</v>
      </c>
      <c r="O218" t="str">
        <f t="shared" si="6"/>
        <v>&lt;=100</v>
      </c>
      <c r="P218" t="str">
        <f t="shared" si="7"/>
        <v>&lt;= 10000$</v>
      </c>
    </row>
    <row r="219" spans="1:16" hidden="1" x14ac:dyDescent="0.25">
      <c r="A219">
        <v>218</v>
      </c>
      <c r="B219" t="s">
        <v>93</v>
      </c>
      <c r="C219" t="s">
        <v>326</v>
      </c>
      <c r="D219" t="s">
        <v>32</v>
      </c>
      <c r="E219" t="s">
        <v>17</v>
      </c>
      <c r="F219" s="3">
        <v>30</v>
      </c>
      <c r="G219">
        <v>41</v>
      </c>
      <c r="H219">
        <v>12.3</v>
      </c>
      <c r="I219">
        <v>22</v>
      </c>
      <c r="J219" t="s">
        <v>44</v>
      </c>
      <c r="K219" t="s">
        <v>20</v>
      </c>
      <c r="L219" t="s">
        <v>45</v>
      </c>
      <c r="M219" s="3">
        <v>60</v>
      </c>
      <c r="N219" s="2">
        <v>8400</v>
      </c>
      <c r="O219" t="str">
        <f t="shared" si="6"/>
        <v>&lt;=100</v>
      </c>
      <c r="P219" t="str">
        <f t="shared" si="7"/>
        <v>&lt;= 10000$</v>
      </c>
    </row>
    <row r="220" spans="1:16" hidden="1" x14ac:dyDescent="0.25">
      <c r="A220">
        <v>219</v>
      </c>
      <c r="B220" t="s">
        <v>93</v>
      </c>
      <c r="C220" t="s">
        <v>326</v>
      </c>
      <c r="D220" t="s">
        <v>32</v>
      </c>
      <c r="E220" t="s">
        <v>17</v>
      </c>
      <c r="F220" s="3">
        <v>30</v>
      </c>
      <c r="G220">
        <v>41</v>
      </c>
      <c r="H220">
        <v>12.3</v>
      </c>
      <c r="I220">
        <v>22</v>
      </c>
      <c r="J220" t="s">
        <v>44</v>
      </c>
      <c r="K220" t="s">
        <v>20</v>
      </c>
      <c r="L220" t="s">
        <v>141</v>
      </c>
      <c r="M220" s="3">
        <v>46</v>
      </c>
      <c r="N220" s="2">
        <v>8300</v>
      </c>
      <c r="O220" t="str">
        <f t="shared" si="6"/>
        <v>&lt;=100</v>
      </c>
      <c r="P220" t="str">
        <f t="shared" si="7"/>
        <v>&lt;= 10000$</v>
      </c>
    </row>
    <row r="221" spans="1:16" hidden="1" x14ac:dyDescent="0.25">
      <c r="A221">
        <v>220</v>
      </c>
      <c r="B221" t="s">
        <v>93</v>
      </c>
      <c r="C221" t="s">
        <v>326</v>
      </c>
      <c r="D221" t="s">
        <v>32</v>
      </c>
      <c r="E221" t="s">
        <v>17</v>
      </c>
      <c r="F221" s="3">
        <v>30</v>
      </c>
      <c r="G221">
        <v>41</v>
      </c>
      <c r="H221">
        <v>12.3</v>
      </c>
      <c r="I221">
        <v>22</v>
      </c>
      <c r="J221" t="s">
        <v>44</v>
      </c>
      <c r="K221" t="s">
        <v>20</v>
      </c>
      <c r="L221" t="s">
        <v>45</v>
      </c>
      <c r="M221" s="3">
        <v>60</v>
      </c>
      <c r="N221" s="2">
        <v>7950</v>
      </c>
      <c r="O221" t="str">
        <f t="shared" si="6"/>
        <v>&lt;=100</v>
      </c>
      <c r="P221" t="str">
        <f t="shared" si="7"/>
        <v>&lt;= 10000$</v>
      </c>
    </row>
    <row r="222" spans="1:16" hidden="1" x14ac:dyDescent="0.25">
      <c r="A222">
        <v>221</v>
      </c>
      <c r="B222" t="s">
        <v>93</v>
      </c>
      <c r="C222" t="s">
        <v>326</v>
      </c>
      <c r="D222" t="s">
        <v>32</v>
      </c>
      <c r="E222" t="s">
        <v>17</v>
      </c>
      <c r="F222" s="3">
        <v>30</v>
      </c>
      <c r="G222">
        <v>41</v>
      </c>
      <c r="H222">
        <v>12.3</v>
      </c>
      <c r="I222">
        <v>22</v>
      </c>
      <c r="J222" t="s">
        <v>44</v>
      </c>
      <c r="K222" t="s">
        <v>20</v>
      </c>
      <c r="L222" t="s">
        <v>45</v>
      </c>
      <c r="M222" s="3">
        <v>60</v>
      </c>
      <c r="N222" s="2">
        <v>7950</v>
      </c>
      <c r="O222" t="str">
        <f t="shared" si="6"/>
        <v>&lt;=100</v>
      </c>
      <c r="P222" t="str">
        <f t="shared" si="7"/>
        <v>&lt;= 10000$</v>
      </c>
    </row>
    <row r="223" spans="1:16" hidden="1" x14ac:dyDescent="0.25">
      <c r="A223">
        <v>222</v>
      </c>
      <c r="B223" t="s">
        <v>93</v>
      </c>
      <c r="C223" t="s">
        <v>326</v>
      </c>
      <c r="D223" t="s">
        <v>32</v>
      </c>
      <c r="E223" t="s">
        <v>17</v>
      </c>
      <c r="F223" s="3">
        <v>30</v>
      </c>
      <c r="G223">
        <v>41</v>
      </c>
      <c r="H223">
        <v>12.3</v>
      </c>
      <c r="I223">
        <v>22</v>
      </c>
      <c r="J223" t="s">
        <v>28</v>
      </c>
      <c r="K223" t="s">
        <v>20</v>
      </c>
      <c r="L223" t="s">
        <v>45</v>
      </c>
      <c r="M223" s="3">
        <v>60</v>
      </c>
      <c r="N223" s="2">
        <v>7900</v>
      </c>
      <c r="O223" t="str">
        <f t="shared" si="6"/>
        <v>&lt;=100</v>
      </c>
      <c r="P223" t="str">
        <f t="shared" si="7"/>
        <v>&lt;= 10000$</v>
      </c>
    </row>
    <row r="224" spans="1:16" hidden="1" x14ac:dyDescent="0.25">
      <c r="A224">
        <v>223</v>
      </c>
      <c r="B224" t="s">
        <v>93</v>
      </c>
      <c r="C224" t="s">
        <v>330</v>
      </c>
      <c r="D224" t="s">
        <v>32</v>
      </c>
      <c r="E224" t="s">
        <v>17</v>
      </c>
      <c r="F224" s="3">
        <v>30</v>
      </c>
      <c r="G224">
        <v>41.5</v>
      </c>
      <c r="H224">
        <v>12.3</v>
      </c>
      <c r="I224">
        <v>22</v>
      </c>
      <c r="J224" t="s">
        <v>44</v>
      </c>
      <c r="K224" t="s">
        <v>20</v>
      </c>
      <c r="L224" t="s">
        <v>45</v>
      </c>
      <c r="M224" s="3">
        <v>60</v>
      </c>
      <c r="N224" s="2">
        <v>7800</v>
      </c>
      <c r="O224" t="str">
        <f t="shared" si="6"/>
        <v>&lt;=100</v>
      </c>
      <c r="P224" t="str">
        <f t="shared" si="7"/>
        <v>&lt;= 10000$</v>
      </c>
    </row>
    <row r="225" spans="1:16" hidden="1" x14ac:dyDescent="0.25">
      <c r="A225">
        <v>224</v>
      </c>
      <c r="B225" t="s">
        <v>93</v>
      </c>
      <c r="C225" t="s">
        <v>327</v>
      </c>
      <c r="D225" t="s">
        <v>32</v>
      </c>
      <c r="E225" t="s">
        <v>17</v>
      </c>
      <c r="F225" s="3">
        <v>30</v>
      </c>
      <c r="G225">
        <v>42.3</v>
      </c>
      <c r="H225">
        <v>14.2</v>
      </c>
      <c r="I225">
        <v>22</v>
      </c>
      <c r="J225" t="s">
        <v>34</v>
      </c>
      <c r="K225" t="s">
        <v>20</v>
      </c>
      <c r="L225" t="s">
        <v>35</v>
      </c>
      <c r="M225" s="3">
        <v>46</v>
      </c>
      <c r="N225" s="2">
        <v>7800</v>
      </c>
      <c r="O225" t="str">
        <f t="shared" si="6"/>
        <v>&lt;=100</v>
      </c>
      <c r="P225" t="str">
        <f t="shared" si="7"/>
        <v>&lt;= 10000$</v>
      </c>
    </row>
    <row r="226" spans="1:16" hidden="1" x14ac:dyDescent="0.25">
      <c r="A226">
        <v>225</v>
      </c>
      <c r="B226" t="s">
        <v>93</v>
      </c>
      <c r="C226" t="s">
        <v>331</v>
      </c>
      <c r="D226" t="s">
        <v>32</v>
      </c>
      <c r="E226" t="s">
        <v>17</v>
      </c>
      <c r="F226" s="3">
        <v>30</v>
      </c>
      <c r="G226">
        <v>41</v>
      </c>
      <c r="H226">
        <v>13.1</v>
      </c>
      <c r="I226">
        <v>20</v>
      </c>
      <c r="J226" t="s">
        <v>34</v>
      </c>
      <c r="K226" t="s">
        <v>20</v>
      </c>
      <c r="L226" t="s">
        <v>35</v>
      </c>
      <c r="M226" s="3">
        <v>46</v>
      </c>
      <c r="N226" s="2">
        <v>7600</v>
      </c>
      <c r="O226" t="str">
        <f t="shared" si="6"/>
        <v>&lt;=100</v>
      </c>
      <c r="P226" t="str">
        <f t="shared" si="7"/>
        <v>&lt;= 10000$</v>
      </c>
    </row>
    <row r="227" spans="1:16" hidden="1" x14ac:dyDescent="0.25">
      <c r="A227">
        <v>226</v>
      </c>
      <c r="B227" t="s">
        <v>93</v>
      </c>
      <c r="C227" t="s">
        <v>328</v>
      </c>
      <c r="D227" t="s">
        <v>32</v>
      </c>
      <c r="E227" t="s">
        <v>17</v>
      </c>
      <c r="F227" s="3">
        <v>30</v>
      </c>
      <c r="G227">
        <v>40.4</v>
      </c>
      <c r="H227">
        <v>12.6</v>
      </c>
      <c r="I227">
        <v>20</v>
      </c>
      <c r="J227" t="s">
        <v>44</v>
      </c>
      <c r="K227" t="s">
        <v>20</v>
      </c>
      <c r="L227" t="s">
        <v>45</v>
      </c>
      <c r="M227" s="3">
        <v>44</v>
      </c>
      <c r="N227" s="2">
        <v>7600</v>
      </c>
      <c r="O227" t="str">
        <f t="shared" si="6"/>
        <v>&lt;=100</v>
      </c>
      <c r="P227" t="str">
        <f t="shared" si="7"/>
        <v>&lt;= 10000$</v>
      </c>
    </row>
    <row r="228" spans="1:16" hidden="1" x14ac:dyDescent="0.25">
      <c r="A228">
        <v>227</v>
      </c>
      <c r="B228" t="s">
        <v>93</v>
      </c>
      <c r="C228" t="s">
        <v>326</v>
      </c>
      <c r="D228" t="s">
        <v>32</v>
      </c>
      <c r="E228" t="s">
        <v>17</v>
      </c>
      <c r="F228" s="3">
        <v>30</v>
      </c>
      <c r="G228">
        <v>41</v>
      </c>
      <c r="H228">
        <v>12.3</v>
      </c>
      <c r="I228">
        <v>22</v>
      </c>
      <c r="J228" t="s">
        <v>44</v>
      </c>
      <c r="K228" t="s">
        <v>20</v>
      </c>
      <c r="L228" t="s">
        <v>45</v>
      </c>
      <c r="M228" s="3">
        <v>46</v>
      </c>
      <c r="N228" s="2">
        <v>7500</v>
      </c>
      <c r="O228" t="str">
        <f t="shared" si="6"/>
        <v>&lt;=100</v>
      </c>
      <c r="P228" t="str">
        <f t="shared" si="7"/>
        <v>&lt;= 10000$</v>
      </c>
    </row>
    <row r="229" spans="1:16" hidden="1" x14ac:dyDescent="0.25">
      <c r="A229">
        <v>228</v>
      </c>
      <c r="B229" t="s">
        <v>93</v>
      </c>
      <c r="C229" t="s">
        <v>332</v>
      </c>
      <c r="D229" t="s">
        <v>32</v>
      </c>
      <c r="E229" t="s">
        <v>17</v>
      </c>
      <c r="F229" s="3">
        <v>60</v>
      </c>
      <c r="G229">
        <v>46.2</v>
      </c>
      <c r="H229">
        <v>15</v>
      </c>
      <c r="I229">
        <v>20</v>
      </c>
      <c r="J229" t="s">
        <v>19</v>
      </c>
      <c r="K229" t="s">
        <v>20</v>
      </c>
      <c r="L229" t="s">
        <v>35</v>
      </c>
      <c r="M229" s="3">
        <v>68</v>
      </c>
      <c r="N229" s="2">
        <v>7500</v>
      </c>
      <c r="O229" t="str">
        <f t="shared" si="6"/>
        <v>&lt;=100</v>
      </c>
      <c r="P229" t="str">
        <f t="shared" si="7"/>
        <v>&lt;= 10000$</v>
      </c>
    </row>
    <row r="230" spans="1:16" hidden="1" x14ac:dyDescent="0.25">
      <c r="A230">
        <v>229</v>
      </c>
      <c r="B230" t="s">
        <v>93</v>
      </c>
      <c r="C230" t="s">
        <v>328</v>
      </c>
      <c r="D230" t="s">
        <v>32</v>
      </c>
      <c r="E230" t="s">
        <v>17</v>
      </c>
      <c r="F230" s="3">
        <v>30</v>
      </c>
      <c r="G230">
        <v>40.4</v>
      </c>
      <c r="H230">
        <v>12.3</v>
      </c>
      <c r="I230">
        <v>22</v>
      </c>
      <c r="J230" t="s">
        <v>34</v>
      </c>
      <c r="K230" t="s">
        <v>20</v>
      </c>
      <c r="L230" t="s">
        <v>21</v>
      </c>
      <c r="M230" s="3">
        <v>60</v>
      </c>
      <c r="N230" s="2">
        <v>7500</v>
      </c>
      <c r="O230" t="str">
        <f t="shared" si="6"/>
        <v>&lt;=100</v>
      </c>
      <c r="P230" t="str">
        <f t="shared" si="7"/>
        <v>&lt;= 10000$</v>
      </c>
    </row>
    <row r="231" spans="1:16" hidden="1" x14ac:dyDescent="0.25">
      <c r="A231">
        <v>230</v>
      </c>
      <c r="B231" t="s">
        <v>93</v>
      </c>
      <c r="C231" t="s">
        <v>328</v>
      </c>
      <c r="D231" t="s">
        <v>32</v>
      </c>
      <c r="E231" t="s">
        <v>17</v>
      </c>
      <c r="F231" s="3">
        <v>30</v>
      </c>
      <c r="G231">
        <v>40.4</v>
      </c>
      <c r="H231">
        <v>12.3</v>
      </c>
      <c r="I231">
        <v>20</v>
      </c>
      <c r="J231" t="s">
        <v>34</v>
      </c>
      <c r="K231" t="s">
        <v>20</v>
      </c>
      <c r="L231" t="s">
        <v>45</v>
      </c>
      <c r="M231" s="3">
        <v>60</v>
      </c>
      <c r="N231" s="2">
        <v>7500</v>
      </c>
      <c r="O231" t="str">
        <f t="shared" si="6"/>
        <v>&lt;=100</v>
      </c>
      <c r="P231" t="str">
        <f t="shared" si="7"/>
        <v>&lt;= 10000$</v>
      </c>
    </row>
    <row r="232" spans="1:16" hidden="1" x14ac:dyDescent="0.25">
      <c r="A232">
        <v>231</v>
      </c>
      <c r="B232" t="s">
        <v>93</v>
      </c>
      <c r="C232" t="s">
        <v>328</v>
      </c>
      <c r="D232" t="s">
        <v>32</v>
      </c>
      <c r="E232" t="s">
        <v>17</v>
      </c>
      <c r="F232" s="3">
        <v>30</v>
      </c>
      <c r="G232">
        <v>40.4</v>
      </c>
      <c r="H232">
        <v>12.3</v>
      </c>
      <c r="I232">
        <v>20</v>
      </c>
      <c r="J232" t="s">
        <v>44</v>
      </c>
      <c r="K232" t="s">
        <v>20</v>
      </c>
      <c r="L232" t="s">
        <v>35</v>
      </c>
      <c r="M232" s="3">
        <v>46</v>
      </c>
      <c r="N232" s="2">
        <v>7250</v>
      </c>
      <c r="O232" t="str">
        <f t="shared" si="6"/>
        <v>&lt;=100</v>
      </c>
      <c r="P232" t="str">
        <f t="shared" si="7"/>
        <v>&lt;= 10000$</v>
      </c>
    </row>
    <row r="233" spans="1:16" hidden="1" x14ac:dyDescent="0.25">
      <c r="A233">
        <v>232</v>
      </c>
      <c r="B233" t="s">
        <v>93</v>
      </c>
      <c r="C233" t="s">
        <v>333</v>
      </c>
      <c r="D233" t="s">
        <v>32</v>
      </c>
      <c r="E233" t="s">
        <v>17</v>
      </c>
      <c r="F233" s="3">
        <v>30</v>
      </c>
      <c r="G233">
        <v>40.9</v>
      </c>
      <c r="H233">
        <v>12.3</v>
      </c>
      <c r="I233">
        <v>20</v>
      </c>
      <c r="J233" t="s">
        <v>44</v>
      </c>
      <c r="K233" t="s">
        <v>20</v>
      </c>
      <c r="L233" t="s">
        <v>21</v>
      </c>
      <c r="M233" s="3">
        <v>44</v>
      </c>
      <c r="N233" s="2">
        <v>6900</v>
      </c>
      <c r="O233" t="str">
        <f t="shared" si="6"/>
        <v>&lt;=100</v>
      </c>
      <c r="P233" t="str">
        <f t="shared" si="7"/>
        <v>&lt;= 10000$</v>
      </c>
    </row>
    <row r="234" spans="1:16" hidden="1" x14ac:dyDescent="0.25">
      <c r="A234">
        <v>233</v>
      </c>
      <c r="B234" t="s">
        <v>93</v>
      </c>
      <c r="C234" t="s">
        <v>326</v>
      </c>
      <c r="D234" t="s">
        <v>32</v>
      </c>
      <c r="E234" t="s">
        <v>17</v>
      </c>
      <c r="F234" s="3">
        <v>30</v>
      </c>
      <c r="G234">
        <v>41</v>
      </c>
      <c r="H234">
        <v>12.3</v>
      </c>
      <c r="I234">
        <v>22</v>
      </c>
      <c r="J234" t="s">
        <v>28</v>
      </c>
      <c r="K234" t="s">
        <v>20</v>
      </c>
      <c r="L234" t="s">
        <v>45</v>
      </c>
      <c r="M234" s="3">
        <v>60</v>
      </c>
      <c r="N234" s="2">
        <v>6900</v>
      </c>
      <c r="O234" t="str">
        <f t="shared" si="6"/>
        <v>&lt;=100</v>
      </c>
      <c r="P234" t="str">
        <f t="shared" si="7"/>
        <v>&lt;= 10000$</v>
      </c>
    </row>
    <row r="235" spans="1:16" hidden="1" x14ac:dyDescent="0.25">
      <c r="A235">
        <v>234</v>
      </c>
      <c r="B235" t="s">
        <v>93</v>
      </c>
      <c r="C235" t="s">
        <v>334</v>
      </c>
      <c r="D235" t="s">
        <v>32</v>
      </c>
      <c r="E235" t="s">
        <v>17</v>
      </c>
      <c r="F235" s="3">
        <v>60</v>
      </c>
      <c r="G235">
        <v>41</v>
      </c>
      <c r="H235">
        <v>12.5</v>
      </c>
      <c r="I235">
        <v>20</v>
      </c>
      <c r="J235" t="s">
        <v>19</v>
      </c>
      <c r="K235" t="s">
        <v>20</v>
      </c>
      <c r="L235" t="s">
        <v>148</v>
      </c>
      <c r="M235" s="3">
        <v>44</v>
      </c>
      <c r="N235" s="2">
        <v>6800</v>
      </c>
      <c r="O235" t="str">
        <f t="shared" si="6"/>
        <v>&lt;=100</v>
      </c>
      <c r="P235" t="str">
        <f t="shared" si="7"/>
        <v>&lt;= 10000$</v>
      </c>
    </row>
    <row r="236" spans="1:16" hidden="1" x14ac:dyDescent="0.25">
      <c r="A236">
        <v>235</v>
      </c>
      <c r="B236" t="s">
        <v>93</v>
      </c>
      <c r="C236" t="s">
        <v>326</v>
      </c>
      <c r="D236" t="s">
        <v>32</v>
      </c>
      <c r="E236" t="s">
        <v>17</v>
      </c>
      <c r="F236" s="3">
        <v>30</v>
      </c>
      <c r="G236">
        <v>41</v>
      </c>
      <c r="H236">
        <v>12.3</v>
      </c>
      <c r="I236">
        <v>22</v>
      </c>
      <c r="J236" t="s">
        <v>28</v>
      </c>
      <c r="K236" t="s">
        <v>20</v>
      </c>
      <c r="L236" t="s">
        <v>21</v>
      </c>
      <c r="M236" s="3">
        <v>60</v>
      </c>
      <c r="N236" s="2">
        <v>6500</v>
      </c>
      <c r="O236" t="str">
        <f t="shared" si="6"/>
        <v>&lt;=100</v>
      </c>
      <c r="P236" t="str">
        <f t="shared" si="7"/>
        <v>&lt;= 10000$</v>
      </c>
    </row>
    <row r="237" spans="1:16" hidden="1" x14ac:dyDescent="0.25">
      <c r="A237">
        <v>236</v>
      </c>
      <c r="B237" t="s">
        <v>93</v>
      </c>
      <c r="C237" t="s">
        <v>335</v>
      </c>
      <c r="D237" t="s">
        <v>32</v>
      </c>
      <c r="E237" t="s">
        <v>17</v>
      </c>
      <c r="F237" s="3">
        <v>60</v>
      </c>
      <c r="G237">
        <v>41</v>
      </c>
      <c r="H237">
        <v>15.3</v>
      </c>
      <c r="I237">
        <v>20</v>
      </c>
      <c r="J237" t="s">
        <v>19</v>
      </c>
      <c r="K237" t="s">
        <v>20</v>
      </c>
      <c r="L237" t="s">
        <v>21</v>
      </c>
      <c r="M237" s="3">
        <v>42</v>
      </c>
      <c r="N237" s="2">
        <v>5900</v>
      </c>
      <c r="O237" t="str">
        <f t="shared" si="6"/>
        <v>&lt;=100</v>
      </c>
      <c r="P237" t="str">
        <f t="shared" si="7"/>
        <v>&lt;= 10000$</v>
      </c>
    </row>
    <row r="238" spans="1:16" hidden="1" x14ac:dyDescent="0.25">
      <c r="A238">
        <v>237</v>
      </c>
      <c r="B238" t="s">
        <v>93</v>
      </c>
      <c r="C238" t="s">
        <v>335</v>
      </c>
      <c r="D238" t="s">
        <v>32</v>
      </c>
      <c r="E238" t="s">
        <v>17</v>
      </c>
      <c r="F238" s="3">
        <v>60</v>
      </c>
      <c r="G238">
        <v>41</v>
      </c>
      <c r="H238">
        <v>12.5</v>
      </c>
      <c r="I238">
        <v>20</v>
      </c>
      <c r="J238" t="s">
        <v>19</v>
      </c>
      <c r="K238" t="s">
        <v>20</v>
      </c>
      <c r="L238" t="s">
        <v>148</v>
      </c>
      <c r="M238" s="3">
        <v>44</v>
      </c>
      <c r="N238" s="2">
        <v>5500</v>
      </c>
      <c r="O238" t="str">
        <f t="shared" si="6"/>
        <v>&lt;=100</v>
      </c>
      <c r="P238" t="str">
        <f t="shared" si="7"/>
        <v>&lt;= 10000$</v>
      </c>
    </row>
    <row r="239" spans="1:16" hidden="1" x14ac:dyDescent="0.25">
      <c r="A239">
        <v>238</v>
      </c>
      <c r="B239" t="s">
        <v>93</v>
      </c>
      <c r="C239" t="s">
        <v>335</v>
      </c>
      <c r="D239" t="s">
        <v>32</v>
      </c>
      <c r="E239" t="s">
        <v>17</v>
      </c>
      <c r="F239" s="3">
        <v>60</v>
      </c>
      <c r="G239">
        <v>41</v>
      </c>
      <c r="H239">
        <v>10.8</v>
      </c>
      <c r="I239">
        <v>20</v>
      </c>
      <c r="J239" t="s">
        <v>19</v>
      </c>
      <c r="K239" t="s">
        <v>20</v>
      </c>
      <c r="L239" t="s">
        <v>222</v>
      </c>
      <c r="M239" s="3">
        <v>42</v>
      </c>
      <c r="N239" s="2">
        <v>5500</v>
      </c>
      <c r="O239" t="str">
        <f t="shared" si="6"/>
        <v>&lt;=100</v>
      </c>
      <c r="P239" t="str">
        <f t="shared" si="7"/>
        <v>&lt;= 10000$</v>
      </c>
    </row>
    <row r="240" spans="1:16" hidden="1" x14ac:dyDescent="0.25">
      <c r="A240">
        <v>239</v>
      </c>
      <c r="B240" t="s">
        <v>93</v>
      </c>
      <c r="C240" t="s">
        <v>335</v>
      </c>
      <c r="D240" t="s">
        <v>32</v>
      </c>
      <c r="E240" t="s">
        <v>17</v>
      </c>
      <c r="F240" s="3">
        <v>60</v>
      </c>
      <c r="G240">
        <v>41</v>
      </c>
      <c r="H240">
        <v>15.3</v>
      </c>
      <c r="I240">
        <v>22</v>
      </c>
      <c r="J240" t="s">
        <v>19</v>
      </c>
      <c r="K240" t="s">
        <v>20</v>
      </c>
      <c r="L240" t="s">
        <v>21</v>
      </c>
      <c r="M240" s="3">
        <v>72</v>
      </c>
      <c r="N240" s="2">
        <v>5400</v>
      </c>
      <c r="O240" t="str">
        <f t="shared" si="6"/>
        <v>&lt;=100</v>
      </c>
      <c r="P240" t="str">
        <f t="shared" si="7"/>
        <v>&lt;= 10000$</v>
      </c>
    </row>
    <row r="241" spans="1:16" hidden="1" x14ac:dyDescent="0.25">
      <c r="A241">
        <v>240</v>
      </c>
      <c r="B241" t="s">
        <v>93</v>
      </c>
      <c r="C241" t="s">
        <v>336</v>
      </c>
      <c r="D241" t="s">
        <v>32</v>
      </c>
      <c r="E241" t="s">
        <v>17</v>
      </c>
      <c r="F241" s="3">
        <v>60</v>
      </c>
      <c r="G241">
        <v>43</v>
      </c>
      <c r="H241">
        <v>15</v>
      </c>
      <c r="I241">
        <v>22</v>
      </c>
      <c r="J241" t="s">
        <v>19</v>
      </c>
      <c r="K241" t="s">
        <v>20</v>
      </c>
      <c r="L241" t="s">
        <v>21</v>
      </c>
      <c r="M241" s="3">
        <v>72</v>
      </c>
      <c r="N241" s="2">
        <v>4950</v>
      </c>
      <c r="O241" t="str">
        <f t="shared" si="6"/>
        <v>&lt;=100</v>
      </c>
      <c r="P241" t="str">
        <f t="shared" si="7"/>
        <v>&lt;=5000$</v>
      </c>
    </row>
    <row r="242" spans="1:16" hidden="1" x14ac:dyDescent="0.25">
      <c r="A242">
        <v>241</v>
      </c>
      <c r="B242" t="s">
        <v>93</v>
      </c>
      <c r="C242" t="s">
        <v>335</v>
      </c>
      <c r="D242" t="s">
        <v>32</v>
      </c>
      <c r="E242" t="s">
        <v>17</v>
      </c>
      <c r="F242" s="3">
        <v>60</v>
      </c>
      <c r="G242">
        <v>41</v>
      </c>
      <c r="H242">
        <v>12.5</v>
      </c>
      <c r="I242">
        <v>20</v>
      </c>
      <c r="J242" t="s">
        <v>19</v>
      </c>
      <c r="K242" t="s">
        <v>20</v>
      </c>
      <c r="L242" t="s">
        <v>21</v>
      </c>
      <c r="M242" s="3">
        <v>42</v>
      </c>
      <c r="N242" s="2">
        <v>4800</v>
      </c>
      <c r="O242" t="str">
        <f t="shared" si="6"/>
        <v>&lt;=100</v>
      </c>
      <c r="P242" t="str">
        <f t="shared" si="7"/>
        <v>&lt;=5000$</v>
      </c>
    </row>
    <row r="243" spans="1:16" hidden="1" x14ac:dyDescent="0.25">
      <c r="A243">
        <v>242</v>
      </c>
      <c r="B243" t="s">
        <v>93</v>
      </c>
      <c r="C243" t="s">
        <v>335</v>
      </c>
      <c r="D243" t="s">
        <v>32</v>
      </c>
      <c r="E243" t="s">
        <v>17</v>
      </c>
      <c r="F243" s="3">
        <v>60</v>
      </c>
      <c r="G243">
        <v>41</v>
      </c>
      <c r="H243">
        <v>12.8</v>
      </c>
      <c r="I243">
        <v>22</v>
      </c>
      <c r="J243" t="s">
        <v>19</v>
      </c>
      <c r="K243" t="s">
        <v>20</v>
      </c>
      <c r="L243" t="s">
        <v>21</v>
      </c>
      <c r="M243" s="3">
        <v>42</v>
      </c>
      <c r="N243" s="2">
        <v>4800</v>
      </c>
      <c r="O243" t="str">
        <f t="shared" si="6"/>
        <v>&lt;=100</v>
      </c>
      <c r="P243" t="str">
        <f t="shared" si="7"/>
        <v>&lt;=5000$</v>
      </c>
    </row>
    <row r="244" spans="1:16" hidden="1" x14ac:dyDescent="0.25">
      <c r="A244">
        <v>243</v>
      </c>
      <c r="B244" t="s">
        <v>93</v>
      </c>
      <c r="C244" t="s">
        <v>337</v>
      </c>
      <c r="D244" t="s">
        <v>32</v>
      </c>
      <c r="E244" t="s">
        <v>17</v>
      </c>
      <c r="F244" s="3">
        <v>60</v>
      </c>
      <c r="G244">
        <v>39</v>
      </c>
      <c r="H244">
        <v>10.86</v>
      </c>
      <c r="I244">
        <v>20</v>
      </c>
      <c r="J244" t="s">
        <v>19</v>
      </c>
      <c r="K244" t="s">
        <v>20</v>
      </c>
      <c r="L244" t="s">
        <v>21</v>
      </c>
      <c r="M244" s="3">
        <v>42</v>
      </c>
      <c r="N244" s="2">
        <v>4500</v>
      </c>
      <c r="O244" t="str">
        <f t="shared" si="6"/>
        <v>&lt;=100</v>
      </c>
      <c r="P244" t="str">
        <f t="shared" si="7"/>
        <v>&lt;=5000$</v>
      </c>
    </row>
    <row r="245" spans="1:16" hidden="1" x14ac:dyDescent="0.25">
      <c r="A245">
        <v>244</v>
      </c>
      <c r="B245" t="s">
        <v>93</v>
      </c>
      <c r="C245" t="s">
        <v>338</v>
      </c>
      <c r="D245" t="s">
        <v>32</v>
      </c>
      <c r="E245" t="s">
        <v>17</v>
      </c>
      <c r="F245" s="3">
        <v>60</v>
      </c>
      <c r="G245">
        <v>40</v>
      </c>
      <c r="H245">
        <v>10.8</v>
      </c>
      <c r="I245">
        <v>20</v>
      </c>
      <c r="J245" t="s">
        <v>19</v>
      </c>
      <c r="K245" t="s">
        <v>20</v>
      </c>
      <c r="L245" t="s">
        <v>21</v>
      </c>
      <c r="M245" s="3">
        <v>42</v>
      </c>
      <c r="N245" s="2">
        <v>4200</v>
      </c>
      <c r="O245" t="str">
        <f t="shared" si="6"/>
        <v>&lt;=100</v>
      </c>
      <c r="P245" t="str">
        <f t="shared" si="7"/>
        <v>&lt;=5000$</v>
      </c>
    </row>
    <row r="246" spans="1:16" hidden="1" x14ac:dyDescent="0.25">
      <c r="A246">
        <v>245</v>
      </c>
      <c r="B246" t="s">
        <v>93</v>
      </c>
      <c r="C246" t="s">
        <v>338</v>
      </c>
      <c r="D246" t="s">
        <v>32</v>
      </c>
      <c r="E246" t="s">
        <v>17</v>
      </c>
      <c r="F246" s="3">
        <v>60</v>
      </c>
      <c r="G246">
        <v>40</v>
      </c>
      <c r="H246">
        <v>10.8</v>
      </c>
      <c r="I246">
        <v>20</v>
      </c>
      <c r="J246" t="s">
        <v>19</v>
      </c>
      <c r="K246" t="s">
        <v>20</v>
      </c>
      <c r="L246" t="s">
        <v>21</v>
      </c>
      <c r="M246" s="3">
        <v>42</v>
      </c>
      <c r="N246" s="2">
        <v>3900</v>
      </c>
      <c r="O246" t="str">
        <f t="shared" si="6"/>
        <v>&lt;=100</v>
      </c>
      <c r="P246" t="str">
        <f t="shared" si="7"/>
        <v>&lt;=5000$</v>
      </c>
    </row>
    <row r="247" spans="1:16" hidden="1" x14ac:dyDescent="0.25">
      <c r="A247">
        <v>246</v>
      </c>
      <c r="B247" t="s">
        <v>93</v>
      </c>
      <c r="C247" t="s">
        <v>335</v>
      </c>
      <c r="D247" t="s">
        <v>32</v>
      </c>
      <c r="E247" t="s">
        <v>17</v>
      </c>
      <c r="F247" s="3">
        <v>60</v>
      </c>
      <c r="G247">
        <v>41</v>
      </c>
      <c r="H247">
        <v>10.86</v>
      </c>
      <c r="I247">
        <v>20</v>
      </c>
      <c r="J247" t="s">
        <v>19</v>
      </c>
      <c r="K247" t="s">
        <v>20</v>
      </c>
      <c r="L247" t="s">
        <v>21</v>
      </c>
      <c r="M247" s="3">
        <v>42</v>
      </c>
      <c r="N247" s="2">
        <v>3800</v>
      </c>
      <c r="O247" t="str">
        <f t="shared" si="6"/>
        <v>&lt;=100</v>
      </c>
      <c r="P247" t="str">
        <f t="shared" si="7"/>
        <v>&lt;=5000$</v>
      </c>
    </row>
    <row r="248" spans="1:16" hidden="1" x14ac:dyDescent="0.25">
      <c r="A248">
        <v>247</v>
      </c>
      <c r="B248" t="s">
        <v>47</v>
      </c>
      <c r="C248" t="s">
        <v>339</v>
      </c>
      <c r="D248" t="s">
        <v>32</v>
      </c>
      <c r="E248" t="s">
        <v>17</v>
      </c>
      <c r="F248" s="3">
        <v>50</v>
      </c>
      <c r="G248">
        <v>39</v>
      </c>
      <c r="H248">
        <v>7.58</v>
      </c>
      <c r="I248">
        <v>20</v>
      </c>
      <c r="J248" t="s">
        <v>44</v>
      </c>
      <c r="K248" t="s">
        <v>20</v>
      </c>
      <c r="L248" t="s">
        <v>21</v>
      </c>
      <c r="M248" s="3">
        <v>70</v>
      </c>
      <c r="N248" s="2">
        <v>8900</v>
      </c>
      <c r="O248" t="str">
        <f t="shared" si="6"/>
        <v>&lt;=100</v>
      </c>
      <c r="P248" t="str">
        <f t="shared" si="7"/>
        <v>&lt;= 10000$</v>
      </c>
    </row>
    <row r="249" spans="1:16" hidden="1" x14ac:dyDescent="0.25">
      <c r="A249">
        <v>248</v>
      </c>
      <c r="B249" t="s">
        <v>47</v>
      </c>
      <c r="C249" t="s">
        <v>340</v>
      </c>
      <c r="D249" t="s">
        <v>32</v>
      </c>
      <c r="E249" t="s">
        <v>17</v>
      </c>
      <c r="F249" s="3">
        <v>50</v>
      </c>
      <c r="G249">
        <v>40</v>
      </c>
      <c r="H249">
        <v>8.7799999999999994</v>
      </c>
      <c r="I249">
        <v>20</v>
      </c>
      <c r="J249" t="s">
        <v>44</v>
      </c>
      <c r="K249" t="s">
        <v>20</v>
      </c>
      <c r="L249" t="s">
        <v>147</v>
      </c>
      <c r="M249" s="3">
        <v>70</v>
      </c>
      <c r="N249" s="2">
        <v>8500</v>
      </c>
      <c r="O249" t="str">
        <f t="shared" si="6"/>
        <v>&lt;=100</v>
      </c>
      <c r="P249" t="str">
        <f t="shared" si="7"/>
        <v>&lt;= 10000$</v>
      </c>
    </row>
    <row r="250" spans="1:16" hidden="1" x14ac:dyDescent="0.25">
      <c r="A250">
        <v>249</v>
      </c>
      <c r="B250" t="s">
        <v>47</v>
      </c>
      <c r="C250" t="s">
        <v>341</v>
      </c>
      <c r="D250" t="s">
        <v>32</v>
      </c>
      <c r="E250" t="s">
        <v>17</v>
      </c>
      <c r="F250" s="3">
        <v>50</v>
      </c>
      <c r="G250">
        <v>39</v>
      </c>
      <c r="H250">
        <v>8.5</v>
      </c>
      <c r="I250">
        <v>20</v>
      </c>
      <c r="J250" t="s">
        <v>44</v>
      </c>
      <c r="K250" t="s">
        <v>20</v>
      </c>
      <c r="L250" t="s">
        <v>232</v>
      </c>
      <c r="M250" s="3">
        <v>70</v>
      </c>
      <c r="N250" s="2">
        <v>8200</v>
      </c>
      <c r="O250" t="str">
        <f t="shared" ref="O250:O313" si="8">IF($F250&lt;=100, "&lt;=100", IF($F250&lt;=200, "100-200", IF($F250&lt;=300, "200-300", IF($F250&lt;=500, "300-500", IF($F250&lt;1000, "500-1000", "1000+")))))</f>
        <v>&lt;=100</v>
      </c>
      <c r="P250" t="str">
        <f t="shared" ref="P250:P313" si="9">IF(N250&lt;=1000, "&lt;= 1000$", IF(N250&lt;=2000, " &lt;=2000$", IF(N250&lt;=5000, "&lt;=5000$", IF(N250&lt;=10000, "&lt;= 10000$", IF(N250&lt;=20000, "&lt;= 20000$", IF(N250&lt;40000, "&lt;= 40000$", "40000$ +"))))))</f>
        <v>&lt;= 10000$</v>
      </c>
    </row>
    <row r="251" spans="1:16" hidden="1" x14ac:dyDescent="0.25">
      <c r="A251">
        <v>250</v>
      </c>
      <c r="B251" t="s">
        <v>47</v>
      </c>
      <c r="C251" t="s">
        <v>339</v>
      </c>
      <c r="D251" t="s">
        <v>32</v>
      </c>
      <c r="E251" t="s">
        <v>17</v>
      </c>
      <c r="F251" s="3">
        <v>50</v>
      </c>
      <c r="G251">
        <v>39</v>
      </c>
      <c r="H251">
        <v>7.58</v>
      </c>
      <c r="I251">
        <v>20</v>
      </c>
      <c r="J251" t="s">
        <v>44</v>
      </c>
      <c r="K251" t="s">
        <v>20</v>
      </c>
      <c r="L251" t="s">
        <v>45</v>
      </c>
      <c r="M251" s="3">
        <v>70</v>
      </c>
      <c r="N251" s="2">
        <v>7500</v>
      </c>
      <c r="O251" t="str">
        <f t="shared" si="8"/>
        <v>&lt;=100</v>
      </c>
      <c r="P251" t="str">
        <f t="shared" si="9"/>
        <v>&lt;= 10000$</v>
      </c>
    </row>
    <row r="252" spans="1:16" hidden="1" x14ac:dyDescent="0.25">
      <c r="A252">
        <v>251</v>
      </c>
      <c r="B252" t="s">
        <v>47</v>
      </c>
      <c r="C252" t="s">
        <v>340</v>
      </c>
      <c r="D252" t="s">
        <v>32</v>
      </c>
      <c r="E252" t="s">
        <v>17</v>
      </c>
      <c r="F252" s="3">
        <v>50</v>
      </c>
      <c r="G252">
        <v>40</v>
      </c>
      <c r="H252">
        <v>8.8000000000000007</v>
      </c>
      <c r="I252">
        <v>20</v>
      </c>
      <c r="J252" t="s">
        <v>44</v>
      </c>
      <c r="K252" t="s">
        <v>20</v>
      </c>
      <c r="L252" t="s">
        <v>21</v>
      </c>
      <c r="M252" s="3">
        <v>70</v>
      </c>
      <c r="N252" s="2">
        <v>7500</v>
      </c>
      <c r="O252" t="str">
        <f t="shared" si="8"/>
        <v>&lt;=100</v>
      </c>
      <c r="P252" t="str">
        <f t="shared" si="9"/>
        <v>&lt;= 10000$</v>
      </c>
    </row>
    <row r="253" spans="1:16" hidden="1" x14ac:dyDescent="0.25">
      <c r="A253">
        <v>252</v>
      </c>
      <c r="B253" t="s">
        <v>47</v>
      </c>
      <c r="C253" t="s">
        <v>341</v>
      </c>
      <c r="D253" t="s">
        <v>32</v>
      </c>
      <c r="E253" t="s">
        <v>17</v>
      </c>
      <c r="F253" s="3">
        <v>50</v>
      </c>
      <c r="G253">
        <v>39</v>
      </c>
      <c r="H253">
        <v>8.5</v>
      </c>
      <c r="I253">
        <v>20</v>
      </c>
      <c r="J253" t="s">
        <v>44</v>
      </c>
      <c r="K253" t="s">
        <v>20</v>
      </c>
      <c r="L253" t="s">
        <v>21</v>
      </c>
      <c r="M253" s="3">
        <v>70</v>
      </c>
      <c r="N253" s="2">
        <v>7500</v>
      </c>
      <c r="O253" t="str">
        <f t="shared" si="8"/>
        <v>&lt;=100</v>
      </c>
      <c r="P253" t="str">
        <f t="shared" si="9"/>
        <v>&lt;= 10000$</v>
      </c>
    </row>
    <row r="254" spans="1:16" hidden="1" x14ac:dyDescent="0.25">
      <c r="A254">
        <v>253</v>
      </c>
      <c r="B254" t="s">
        <v>47</v>
      </c>
      <c r="C254" t="s">
        <v>339</v>
      </c>
      <c r="D254" t="s">
        <v>32</v>
      </c>
      <c r="E254" t="s">
        <v>17</v>
      </c>
      <c r="F254" s="3">
        <v>50</v>
      </c>
      <c r="G254">
        <v>39</v>
      </c>
      <c r="H254">
        <v>7.58</v>
      </c>
      <c r="I254">
        <v>20</v>
      </c>
      <c r="J254" t="s">
        <v>44</v>
      </c>
      <c r="K254" t="s">
        <v>20</v>
      </c>
      <c r="L254" t="s">
        <v>45</v>
      </c>
      <c r="M254" s="3">
        <v>43</v>
      </c>
      <c r="N254" s="2">
        <v>6800</v>
      </c>
      <c r="O254" t="str">
        <f t="shared" si="8"/>
        <v>&lt;=100</v>
      </c>
      <c r="P254" t="str">
        <f t="shared" si="9"/>
        <v>&lt;= 10000$</v>
      </c>
    </row>
    <row r="255" spans="1:16" hidden="1" x14ac:dyDescent="0.25">
      <c r="A255">
        <v>254</v>
      </c>
      <c r="B255" t="s">
        <v>47</v>
      </c>
      <c r="C255" t="s">
        <v>340</v>
      </c>
      <c r="D255" t="s">
        <v>32</v>
      </c>
      <c r="E255" t="s">
        <v>17</v>
      </c>
      <c r="F255" s="3">
        <v>50</v>
      </c>
      <c r="G255">
        <v>40</v>
      </c>
      <c r="H255">
        <v>8.8000000000000007</v>
      </c>
      <c r="I255">
        <v>20</v>
      </c>
      <c r="J255" t="s">
        <v>44</v>
      </c>
      <c r="K255" t="s">
        <v>20</v>
      </c>
      <c r="L255" t="s">
        <v>21</v>
      </c>
      <c r="M255" s="3">
        <v>70</v>
      </c>
      <c r="N255" s="2">
        <v>6500</v>
      </c>
      <c r="O255" t="str">
        <f t="shared" si="8"/>
        <v>&lt;=100</v>
      </c>
      <c r="P255" t="str">
        <f t="shared" si="9"/>
        <v>&lt;= 10000$</v>
      </c>
    </row>
    <row r="256" spans="1:16" hidden="1" x14ac:dyDescent="0.25">
      <c r="A256">
        <v>255</v>
      </c>
      <c r="B256" t="s">
        <v>47</v>
      </c>
      <c r="C256" t="s">
        <v>340</v>
      </c>
      <c r="D256" t="s">
        <v>32</v>
      </c>
      <c r="E256" t="s">
        <v>17</v>
      </c>
      <c r="F256" s="3">
        <v>50</v>
      </c>
      <c r="G256">
        <v>40</v>
      </c>
      <c r="H256">
        <v>8.5</v>
      </c>
      <c r="I256">
        <v>20</v>
      </c>
      <c r="J256" t="s">
        <v>44</v>
      </c>
      <c r="K256" t="s">
        <v>20</v>
      </c>
      <c r="L256" t="s">
        <v>232</v>
      </c>
      <c r="M256" s="3">
        <v>70</v>
      </c>
      <c r="N256" s="2">
        <v>6500</v>
      </c>
      <c r="O256" t="str">
        <f t="shared" si="8"/>
        <v>&lt;=100</v>
      </c>
      <c r="P256" t="str">
        <f t="shared" si="9"/>
        <v>&lt;= 10000$</v>
      </c>
    </row>
    <row r="257" spans="1:16" hidden="1" x14ac:dyDescent="0.25">
      <c r="A257">
        <v>256</v>
      </c>
      <c r="B257" t="s">
        <v>47</v>
      </c>
      <c r="C257" t="s">
        <v>339</v>
      </c>
      <c r="D257" t="s">
        <v>32</v>
      </c>
      <c r="E257" t="s">
        <v>17</v>
      </c>
      <c r="F257" s="3">
        <v>50</v>
      </c>
      <c r="G257">
        <v>39</v>
      </c>
      <c r="H257">
        <v>7.8</v>
      </c>
      <c r="I257">
        <v>20</v>
      </c>
      <c r="J257" t="s">
        <v>44</v>
      </c>
      <c r="K257" t="s">
        <v>20</v>
      </c>
      <c r="L257" t="s">
        <v>45</v>
      </c>
      <c r="M257" s="3">
        <v>70</v>
      </c>
      <c r="N257" s="2">
        <v>6500</v>
      </c>
      <c r="O257" t="str">
        <f t="shared" si="8"/>
        <v>&lt;=100</v>
      </c>
      <c r="P257" t="str">
        <f t="shared" si="9"/>
        <v>&lt;= 10000$</v>
      </c>
    </row>
    <row r="258" spans="1:16" hidden="1" x14ac:dyDescent="0.25">
      <c r="A258">
        <v>257</v>
      </c>
      <c r="B258" t="s">
        <v>47</v>
      </c>
      <c r="C258" t="s">
        <v>342</v>
      </c>
      <c r="D258" t="s">
        <v>32</v>
      </c>
      <c r="E258" t="s">
        <v>17</v>
      </c>
      <c r="F258" s="3">
        <v>50</v>
      </c>
      <c r="G258">
        <v>40</v>
      </c>
      <c r="H258">
        <v>7.45</v>
      </c>
      <c r="I258">
        <v>20</v>
      </c>
      <c r="J258" t="s">
        <v>44</v>
      </c>
      <c r="K258" t="s">
        <v>20</v>
      </c>
      <c r="L258" t="s">
        <v>45</v>
      </c>
      <c r="M258" s="3">
        <v>43</v>
      </c>
      <c r="N258" s="2">
        <v>6300</v>
      </c>
      <c r="O258" t="str">
        <f t="shared" si="8"/>
        <v>&lt;=100</v>
      </c>
      <c r="P258" t="str">
        <f t="shared" si="9"/>
        <v>&lt;= 10000$</v>
      </c>
    </row>
    <row r="259" spans="1:16" hidden="1" x14ac:dyDescent="0.25">
      <c r="A259">
        <v>258</v>
      </c>
      <c r="B259" t="s">
        <v>47</v>
      </c>
      <c r="C259" t="s">
        <v>339</v>
      </c>
      <c r="D259" t="s">
        <v>32</v>
      </c>
      <c r="E259" t="s">
        <v>17</v>
      </c>
      <c r="F259" s="3">
        <v>50</v>
      </c>
      <c r="G259">
        <v>39</v>
      </c>
      <c r="H259">
        <v>7.5</v>
      </c>
      <c r="I259">
        <v>20</v>
      </c>
      <c r="J259" t="s">
        <v>34</v>
      </c>
      <c r="K259" t="s">
        <v>20</v>
      </c>
      <c r="L259" t="s">
        <v>21</v>
      </c>
      <c r="M259" s="3">
        <v>38</v>
      </c>
      <c r="N259" s="2">
        <v>6200</v>
      </c>
      <c r="O259" t="str">
        <f t="shared" si="8"/>
        <v>&lt;=100</v>
      </c>
      <c r="P259" t="str">
        <f t="shared" si="9"/>
        <v>&lt;= 10000$</v>
      </c>
    </row>
    <row r="260" spans="1:16" hidden="1" x14ac:dyDescent="0.25">
      <c r="A260">
        <v>259</v>
      </c>
      <c r="B260" t="s">
        <v>47</v>
      </c>
      <c r="C260" t="s">
        <v>340</v>
      </c>
      <c r="D260" t="s">
        <v>32</v>
      </c>
      <c r="E260" t="s">
        <v>17</v>
      </c>
      <c r="F260" s="3">
        <v>50</v>
      </c>
      <c r="G260">
        <v>40</v>
      </c>
      <c r="H260">
        <v>8.8000000000000007</v>
      </c>
      <c r="I260">
        <v>20</v>
      </c>
      <c r="J260" t="s">
        <v>44</v>
      </c>
      <c r="K260" t="s">
        <v>20</v>
      </c>
      <c r="L260" t="s">
        <v>169</v>
      </c>
      <c r="M260" s="3">
        <v>70</v>
      </c>
      <c r="N260" s="2">
        <v>6000</v>
      </c>
      <c r="O260" t="str">
        <f t="shared" si="8"/>
        <v>&lt;=100</v>
      </c>
      <c r="P260" t="str">
        <f t="shared" si="9"/>
        <v>&lt;= 10000$</v>
      </c>
    </row>
    <row r="261" spans="1:16" hidden="1" x14ac:dyDescent="0.25">
      <c r="A261">
        <v>260</v>
      </c>
      <c r="B261" t="s">
        <v>47</v>
      </c>
      <c r="C261" t="s">
        <v>343</v>
      </c>
      <c r="D261" t="s">
        <v>32</v>
      </c>
      <c r="E261" t="s">
        <v>49</v>
      </c>
      <c r="F261" s="3">
        <v>30</v>
      </c>
      <c r="G261">
        <v>42.9</v>
      </c>
      <c r="H261">
        <v>9.1999999999999993</v>
      </c>
      <c r="I261">
        <v>20</v>
      </c>
      <c r="J261" t="s">
        <v>19</v>
      </c>
      <c r="K261" t="s">
        <v>20</v>
      </c>
      <c r="L261" t="s">
        <v>45</v>
      </c>
      <c r="M261" s="3">
        <v>45</v>
      </c>
      <c r="N261" s="2">
        <v>5500</v>
      </c>
      <c r="O261" t="str">
        <f t="shared" si="8"/>
        <v>&lt;=100</v>
      </c>
      <c r="P261" t="str">
        <f t="shared" si="9"/>
        <v>&lt;= 10000$</v>
      </c>
    </row>
    <row r="262" spans="1:16" hidden="1" x14ac:dyDescent="0.25">
      <c r="A262">
        <v>261</v>
      </c>
      <c r="B262" t="s">
        <v>47</v>
      </c>
      <c r="C262" t="s">
        <v>343</v>
      </c>
      <c r="D262" t="s">
        <v>32</v>
      </c>
      <c r="E262" t="s">
        <v>49</v>
      </c>
      <c r="F262" s="3">
        <v>30</v>
      </c>
      <c r="G262">
        <v>42.9</v>
      </c>
      <c r="H262">
        <v>9.1999999999999993</v>
      </c>
      <c r="I262">
        <v>20</v>
      </c>
      <c r="J262" t="s">
        <v>19</v>
      </c>
      <c r="K262" t="s">
        <v>20</v>
      </c>
      <c r="L262" t="s">
        <v>45</v>
      </c>
      <c r="M262" s="3">
        <v>45</v>
      </c>
      <c r="N262" s="2">
        <v>5500</v>
      </c>
      <c r="O262" t="str">
        <f t="shared" si="8"/>
        <v>&lt;=100</v>
      </c>
      <c r="P262" t="str">
        <f t="shared" si="9"/>
        <v>&lt;= 10000$</v>
      </c>
    </row>
    <row r="263" spans="1:16" hidden="1" x14ac:dyDescent="0.25">
      <c r="A263">
        <v>262</v>
      </c>
      <c r="B263" t="s">
        <v>47</v>
      </c>
      <c r="C263" t="s">
        <v>344</v>
      </c>
      <c r="D263" t="s">
        <v>32</v>
      </c>
      <c r="E263" t="s">
        <v>17</v>
      </c>
      <c r="F263" s="3">
        <v>50</v>
      </c>
      <c r="G263">
        <v>38</v>
      </c>
      <c r="H263">
        <v>7.58</v>
      </c>
      <c r="I263">
        <v>20</v>
      </c>
      <c r="J263" t="s">
        <v>44</v>
      </c>
      <c r="K263" t="s">
        <v>20</v>
      </c>
      <c r="L263" t="s">
        <v>45</v>
      </c>
      <c r="M263" s="3">
        <v>70</v>
      </c>
      <c r="N263" s="2">
        <v>4500</v>
      </c>
      <c r="O263" t="str">
        <f t="shared" si="8"/>
        <v>&lt;=100</v>
      </c>
      <c r="P263" t="str">
        <f t="shared" si="9"/>
        <v>&lt;=5000$</v>
      </c>
    </row>
    <row r="264" spans="1:16" hidden="1" x14ac:dyDescent="0.25">
      <c r="A264">
        <v>263</v>
      </c>
      <c r="B264" t="s">
        <v>120</v>
      </c>
      <c r="C264" t="s">
        <v>345</v>
      </c>
      <c r="D264" t="s">
        <v>32</v>
      </c>
      <c r="E264" t="s">
        <v>17</v>
      </c>
      <c r="F264" s="3">
        <v>30</v>
      </c>
      <c r="G264">
        <v>43</v>
      </c>
      <c r="H264">
        <v>12.48</v>
      </c>
      <c r="I264">
        <v>23</v>
      </c>
      <c r="J264" t="s">
        <v>44</v>
      </c>
      <c r="K264" t="s">
        <v>20</v>
      </c>
      <c r="L264" t="s">
        <v>45</v>
      </c>
      <c r="M264" s="3">
        <v>68</v>
      </c>
      <c r="N264" s="2">
        <v>10000</v>
      </c>
      <c r="O264" t="str">
        <f t="shared" si="8"/>
        <v>&lt;=100</v>
      </c>
      <c r="P264" t="str">
        <f t="shared" si="9"/>
        <v>&lt;= 10000$</v>
      </c>
    </row>
    <row r="265" spans="1:16" hidden="1" x14ac:dyDescent="0.25">
      <c r="A265">
        <v>264</v>
      </c>
      <c r="B265" t="s">
        <v>120</v>
      </c>
      <c r="C265" t="s">
        <v>345</v>
      </c>
      <c r="D265" t="s">
        <v>32</v>
      </c>
      <c r="E265" t="s">
        <v>17</v>
      </c>
      <c r="F265" s="3">
        <v>30</v>
      </c>
      <c r="G265">
        <v>43</v>
      </c>
      <c r="H265">
        <v>12.27</v>
      </c>
      <c r="I265">
        <v>23</v>
      </c>
      <c r="J265" t="s">
        <v>19</v>
      </c>
      <c r="K265" t="s">
        <v>20</v>
      </c>
      <c r="L265" t="s">
        <v>45</v>
      </c>
      <c r="M265" s="3">
        <v>68</v>
      </c>
      <c r="N265" s="2">
        <v>9800</v>
      </c>
      <c r="O265" t="str">
        <f t="shared" si="8"/>
        <v>&lt;=100</v>
      </c>
      <c r="P265" t="str">
        <f t="shared" si="9"/>
        <v>&lt;= 10000$</v>
      </c>
    </row>
    <row r="266" spans="1:16" hidden="1" x14ac:dyDescent="0.25">
      <c r="A266">
        <v>265</v>
      </c>
      <c r="B266" t="s">
        <v>120</v>
      </c>
      <c r="C266" t="s">
        <v>345</v>
      </c>
      <c r="D266" t="s">
        <v>32</v>
      </c>
      <c r="E266" t="s">
        <v>17</v>
      </c>
      <c r="F266" s="3">
        <v>30</v>
      </c>
      <c r="G266">
        <v>43</v>
      </c>
      <c r="H266">
        <v>11.48</v>
      </c>
      <c r="I266">
        <v>23</v>
      </c>
      <c r="J266" t="s">
        <v>19</v>
      </c>
      <c r="K266" t="s">
        <v>20</v>
      </c>
      <c r="L266" t="s">
        <v>45</v>
      </c>
      <c r="M266" s="3">
        <v>68</v>
      </c>
      <c r="N266" s="2">
        <v>9500</v>
      </c>
      <c r="O266" t="str">
        <f t="shared" si="8"/>
        <v>&lt;=100</v>
      </c>
      <c r="P266" t="str">
        <f t="shared" si="9"/>
        <v>&lt;= 10000$</v>
      </c>
    </row>
    <row r="267" spans="1:16" hidden="1" x14ac:dyDescent="0.25">
      <c r="A267">
        <v>266</v>
      </c>
      <c r="B267" t="s">
        <v>120</v>
      </c>
      <c r="C267" t="s">
        <v>345</v>
      </c>
      <c r="D267" t="s">
        <v>32</v>
      </c>
      <c r="E267" t="s">
        <v>17</v>
      </c>
      <c r="F267" s="3">
        <v>30</v>
      </c>
      <c r="G267">
        <v>43</v>
      </c>
      <c r="H267">
        <v>11.48</v>
      </c>
      <c r="I267">
        <v>22</v>
      </c>
      <c r="J267" t="s">
        <v>34</v>
      </c>
      <c r="K267" t="s">
        <v>20</v>
      </c>
      <c r="L267" t="s">
        <v>45</v>
      </c>
      <c r="M267" s="3">
        <v>68</v>
      </c>
      <c r="N267" s="2">
        <v>8500</v>
      </c>
      <c r="O267" t="str">
        <f t="shared" si="8"/>
        <v>&lt;=100</v>
      </c>
      <c r="P267" t="str">
        <f t="shared" si="9"/>
        <v>&lt;= 10000$</v>
      </c>
    </row>
    <row r="268" spans="1:16" hidden="1" x14ac:dyDescent="0.25">
      <c r="A268">
        <v>267</v>
      </c>
      <c r="B268" t="s">
        <v>120</v>
      </c>
      <c r="C268" t="s">
        <v>345</v>
      </c>
      <c r="D268" t="s">
        <v>32</v>
      </c>
      <c r="E268" t="s">
        <v>17</v>
      </c>
      <c r="F268" s="3">
        <v>30</v>
      </c>
      <c r="G268">
        <v>43</v>
      </c>
      <c r="H268">
        <v>12.13</v>
      </c>
      <c r="I268">
        <v>23</v>
      </c>
      <c r="J268" t="s">
        <v>44</v>
      </c>
      <c r="K268" t="s">
        <v>20</v>
      </c>
      <c r="L268" t="s">
        <v>45</v>
      </c>
      <c r="M268" s="3">
        <v>68</v>
      </c>
      <c r="N268" s="2">
        <v>6200</v>
      </c>
      <c r="O268" t="str">
        <f t="shared" si="8"/>
        <v>&lt;=100</v>
      </c>
      <c r="P268" t="str">
        <f t="shared" si="9"/>
        <v>&lt;= 10000$</v>
      </c>
    </row>
    <row r="269" spans="1:16" hidden="1" x14ac:dyDescent="0.25">
      <c r="A269">
        <v>268</v>
      </c>
      <c r="B269" t="s">
        <v>62</v>
      </c>
      <c r="C269" t="s">
        <v>346</v>
      </c>
      <c r="D269" t="s">
        <v>32</v>
      </c>
      <c r="E269" t="s">
        <v>17</v>
      </c>
      <c r="F269" s="3">
        <v>30</v>
      </c>
      <c r="G269">
        <v>40</v>
      </c>
      <c r="H269">
        <v>10.25</v>
      </c>
      <c r="I269">
        <v>20</v>
      </c>
      <c r="J269" t="s">
        <v>19</v>
      </c>
      <c r="K269" t="s">
        <v>20</v>
      </c>
      <c r="L269" t="s">
        <v>21</v>
      </c>
      <c r="M269" s="3">
        <v>64</v>
      </c>
      <c r="N269" s="2">
        <v>2500</v>
      </c>
      <c r="O269" t="str">
        <f t="shared" si="8"/>
        <v>&lt;=100</v>
      </c>
      <c r="P269" t="str">
        <f t="shared" si="9"/>
        <v>&lt;=5000$</v>
      </c>
    </row>
    <row r="270" spans="1:16" hidden="1" x14ac:dyDescent="0.25">
      <c r="A270">
        <v>269</v>
      </c>
      <c r="B270" t="s">
        <v>62</v>
      </c>
      <c r="C270" t="s">
        <v>347</v>
      </c>
      <c r="D270" t="s">
        <v>16</v>
      </c>
      <c r="E270" t="s">
        <v>17</v>
      </c>
      <c r="F270" s="3">
        <v>300</v>
      </c>
      <c r="G270">
        <v>41</v>
      </c>
      <c r="H270">
        <v>13.2</v>
      </c>
      <c r="I270">
        <v>20</v>
      </c>
      <c r="J270" t="s">
        <v>19</v>
      </c>
      <c r="K270" t="s">
        <v>20</v>
      </c>
      <c r="L270" t="s">
        <v>35</v>
      </c>
      <c r="M270" s="3">
        <v>54</v>
      </c>
      <c r="N270" s="2">
        <v>2200</v>
      </c>
      <c r="O270" t="str">
        <f t="shared" si="8"/>
        <v>200-300</v>
      </c>
      <c r="P270" t="str">
        <f t="shared" si="9"/>
        <v>&lt;=5000$</v>
      </c>
    </row>
    <row r="271" spans="1:16" hidden="1" x14ac:dyDescent="0.25">
      <c r="A271">
        <v>270</v>
      </c>
      <c r="B271" t="s">
        <v>62</v>
      </c>
      <c r="C271" t="s">
        <v>348</v>
      </c>
      <c r="D271" t="s">
        <v>32</v>
      </c>
      <c r="E271" t="s">
        <v>17</v>
      </c>
      <c r="F271" s="3">
        <v>50</v>
      </c>
      <c r="G271">
        <v>40</v>
      </c>
      <c r="H271">
        <v>10.75</v>
      </c>
      <c r="I271">
        <v>20</v>
      </c>
      <c r="J271" t="s">
        <v>44</v>
      </c>
      <c r="K271" t="s">
        <v>20</v>
      </c>
      <c r="L271" t="s">
        <v>21</v>
      </c>
      <c r="M271" s="3">
        <v>54</v>
      </c>
      <c r="N271" s="2">
        <v>1850</v>
      </c>
      <c r="O271" t="str">
        <f t="shared" si="8"/>
        <v>&lt;=100</v>
      </c>
      <c r="P271" t="str">
        <f t="shared" si="9"/>
        <v xml:space="preserve"> &lt;=2000$</v>
      </c>
    </row>
    <row r="272" spans="1:16" hidden="1" x14ac:dyDescent="0.25">
      <c r="A272">
        <v>271</v>
      </c>
      <c r="B272" t="s">
        <v>62</v>
      </c>
      <c r="C272" t="s">
        <v>349</v>
      </c>
      <c r="D272" t="s">
        <v>16</v>
      </c>
      <c r="E272" t="s">
        <v>17</v>
      </c>
      <c r="F272" s="3">
        <v>300</v>
      </c>
      <c r="G272">
        <v>41</v>
      </c>
      <c r="H272">
        <v>12.65</v>
      </c>
      <c r="I272">
        <v>20</v>
      </c>
      <c r="J272" t="s">
        <v>19</v>
      </c>
      <c r="K272" t="s">
        <v>20</v>
      </c>
      <c r="L272" t="s">
        <v>21</v>
      </c>
      <c r="M272" s="3">
        <v>64</v>
      </c>
      <c r="N272" s="2">
        <v>1800</v>
      </c>
      <c r="O272" t="str">
        <f t="shared" si="8"/>
        <v>200-300</v>
      </c>
      <c r="P272" t="str">
        <f t="shared" si="9"/>
        <v xml:space="preserve"> &lt;=2000$</v>
      </c>
    </row>
    <row r="273" spans="1:16" hidden="1" x14ac:dyDescent="0.25">
      <c r="A273">
        <v>272</v>
      </c>
      <c r="B273" t="s">
        <v>62</v>
      </c>
      <c r="C273" t="s">
        <v>350</v>
      </c>
      <c r="D273" t="s">
        <v>32</v>
      </c>
      <c r="E273" t="s">
        <v>17</v>
      </c>
      <c r="F273" s="3">
        <v>30</v>
      </c>
      <c r="G273">
        <v>38.5</v>
      </c>
      <c r="H273">
        <v>9.6999999999999993</v>
      </c>
      <c r="I273">
        <v>20</v>
      </c>
      <c r="J273" t="s">
        <v>28</v>
      </c>
      <c r="K273" t="s">
        <v>20</v>
      </c>
      <c r="L273" t="s">
        <v>21</v>
      </c>
      <c r="M273" s="3">
        <v>64</v>
      </c>
      <c r="N273" s="2">
        <v>1800</v>
      </c>
      <c r="O273" t="str">
        <f t="shared" si="8"/>
        <v>&lt;=100</v>
      </c>
      <c r="P273" t="str">
        <f t="shared" si="9"/>
        <v xml:space="preserve"> &lt;=2000$</v>
      </c>
    </row>
    <row r="274" spans="1:16" hidden="1" x14ac:dyDescent="0.25">
      <c r="A274">
        <v>273</v>
      </c>
      <c r="B274" t="s">
        <v>62</v>
      </c>
      <c r="C274" t="s">
        <v>350</v>
      </c>
      <c r="D274" t="s">
        <v>32</v>
      </c>
      <c r="E274" t="s">
        <v>17</v>
      </c>
      <c r="F274" s="3">
        <v>30</v>
      </c>
      <c r="G274">
        <v>38.5</v>
      </c>
      <c r="H274">
        <v>9.3000000000000007</v>
      </c>
      <c r="I274">
        <v>20</v>
      </c>
      <c r="J274" t="s">
        <v>28</v>
      </c>
      <c r="K274" t="s">
        <v>20</v>
      </c>
      <c r="L274" t="s">
        <v>21</v>
      </c>
      <c r="M274" s="3">
        <v>42</v>
      </c>
      <c r="N274" s="2">
        <v>1600</v>
      </c>
      <c r="O274" t="str">
        <f t="shared" si="8"/>
        <v>&lt;=100</v>
      </c>
      <c r="P274" t="str">
        <f t="shared" si="9"/>
        <v xml:space="preserve"> &lt;=2000$</v>
      </c>
    </row>
    <row r="275" spans="1:16" x14ac:dyDescent="0.25">
      <c r="A275">
        <v>140</v>
      </c>
      <c r="B275" t="s">
        <v>41</v>
      </c>
      <c r="C275" t="s">
        <v>304</v>
      </c>
      <c r="D275" t="s">
        <v>32</v>
      </c>
      <c r="E275" t="s">
        <v>43</v>
      </c>
      <c r="F275" s="3">
        <v>30</v>
      </c>
      <c r="G275">
        <v>31</v>
      </c>
      <c r="H275">
        <v>6.05</v>
      </c>
      <c r="I275">
        <v>20</v>
      </c>
      <c r="J275" t="s">
        <v>44</v>
      </c>
      <c r="K275" t="s">
        <v>20</v>
      </c>
      <c r="L275" t="s">
        <v>45</v>
      </c>
      <c r="M275" s="3" t="s">
        <v>46</v>
      </c>
      <c r="N275" s="2">
        <v>2800</v>
      </c>
      <c r="O275" t="str">
        <f t="shared" si="8"/>
        <v>&lt;=100</v>
      </c>
      <c r="P275" t="str">
        <f t="shared" si="9"/>
        <v>&lt;=5000$</v>
      </c>
    </row>
    <row r="276" spans="1:16" hidden="1" x14ac:dyDescent="0.25">
      <c r="A276">
        <v>275</v>
      </c>
      <c r="B276" t="s">
        <v>62</v>
      </c>
      <c r="C276" t="s">
        <v>346</v>
      </c>
      <c r="D276" t="s">
        <v>32</v>
      </c>
      <c r="E276" t="s">
        <v>17</v>
      </c>
      <c r="F276" s="3">
        <v>30</v>
      </c>
      <c r="G276">
        <v>40</v>
      </c>
      <c r="H276">
        <v>9.35</v>
      </c>
      <c r="I276">
        <v>20</v>
      </c>
      <c r="J276" t="s">
        <v>44</v>
      </c>
      <c r="K276" t="s">
        <v>20</v>
      </c>
      <c r="L276" t="s">
        <v>21</v>
      </c>
      <c r="M276" s="3">
        <v>64</v>
      </c>
      <c r="N276" s="2">
        <v>1500</v>
      </c>
      <c r="O276" t="str">
        <f t="shared" si="8"/>
        <v>&lt;=100</v>
      </c>
      <c r="P276" t="str">
        <f t="shared" si="9"/>
        <v xml:space="preserve"> &lt;=2000$</v>
      </c>
    </row>
    <row r="277" spans="1:16" hidden="1" x14ac:dyDescent="0.25">
      <c r="A277">
        <v>276</v>
      </c>
      <c r="B277" t="s">
        <v>62</v>
      </c>
      <c r="C277" t="s">
        <v>352</v>
      </c>
      <c r="D277" t="s">
        <v>16</v>
      </c>
      <c r="E277" t="s">
        <v>17</v>
      </c>
      <c r="F277" s="3">
        <v>300</v>
      </c>
      <c r="G277">
        <v>43</v>
      </c>
      <c r="H277">
        <v>12.75</v>
      </c>
      <c r="I277">
        <v>22</v>
      </c>
      <c r="J277" t="s">
        <v>28</v>
      </c>
      <c r="K277" t="s">
        <v>20</v>
      </c>
      <c r="L277" t="s">
        <v>21</v>
      </c>
      <c r="M277" s="3">
        <v>64</v>
      </c>
      <c r="N277" s="2">
        <v>1400</v>
      </c>
      <c r="O277" t="str">
        <f t="shared" si="8"/>
        <v>200-300</v>
      </c>
      <c r="P277" t="str">
        <f t="shared" si="9"/>
        <v xml:space="preserve"> &lt;=2000$</v>
      </c>
    </row>
    <row r="278" spans="1:16" hidden="1" x14ac:dyDescent="0.25">
      <c r="A278">
        <v>277</v>
      </c>
      <c r="B278" t="s">
        <v>62</v>
      </c>
      <c r="C278" t="s">
        <v>350</v>
      </c>
      <c r="D278" t="s">
        <v>32</v>
      </c>
      <c r="E278" t="s">
        <v>17</v>
      </c>
      <c r="F278" s="3">
        <v>30</v>
      </c>
      <c r="G278">
        <v>38.5</v>
      </c>
      <c r="H278">
        <v>9.6999999999999993</v>
      </c>
      <c r="I278">
        <v>20</v>
      </c>
      <c r="J278" t="s">
        <v>44</v>
      </c>
      <c r="K278" t="s">
        <v>20</v>
      </c>
      <c r="L278" t="s">
        <v>21</v>
      </c>
      <c r="M278" s="3">
        <v>64</v>
      </c>
      <c r="N278" s="2">
        <v>1150</v>
      </c>
      <c r="O278" t="str">
        <f t="shared" si="8"/>
        <v>&lt;=100</v>
      </c>
      <c r="P278" t="str">
        <f t="shared" si="9"/>
        <v xml:space="preserve"> &lt;=2000$</v>
      </c>
    </row>
    <row r="279" spans="1:16" hidden="1" x14ac:dyDescent="0.25">
      <c r="A279">
        <v>278</v>
      </c>
      <c r="B279" t="s">
        <v>99</v>
      </c>
      <c r="C279" t="s">
        <v>353</v>
      </c>
      <c r="D279" t="s">
        <v>32</v>
      </c>
      <c r="E279" t="s">
        <v>17</v>
      </c>
      <c r="F279" s="3">
        <v>100</v>
      </c>
      <c r="G279">
        <v>42</v>
      </c>
      <c r="H279">
        <v>12.8</v>
      </c>
      <c r="I279">
        <v>22</v>
      </c>
      <c r="J279" t="s">
        <v>19</v>
      </c>
      <c r="K279" t="s">
        <v>20</v>
      </c>
      <c r="L279" t="s">
        <v>92</v>
      </c>
      <c r="M279" s="3">
        <v>42</v>
      </c>
      <c r="N279" s="2">
        <v>6500</v>
      </c>
      <c r="O279" t="str">
        <f t="shared" si="8"/>
        <v>&lt;=100</v>
      </c>
      <c r="P279" t="str">
        <f t="shared" si="9"/>
        <v>&lt;= 10000$</v>
      </c>
    </row>
    <row r="280" spans="1:16" hidden="1" x14ac:dyDescent="0.25">
      <c r="A280">
        <v>279</v>
      </c>
      <c r="B280" t="s">
        <v>99</v>
      </c>
      <c r="C280" t="s">
        <v>354</v>
      </c>
      <c r="D280" t="s">
        <v>32</v>
      </c>
      <c r="E280" t="s">
        <v>17</v>
      </c>
      <c r="F280" s="3">
        <v>100</v>
      </c>
      <c r="G280">
        <v>42</v>
      </c>
      <c r="H280">
        <v>11.2</v>
      </c>
      <c r="I280">
        <v>22</v>
      </c>
      <c r="J280" t="s">
        <v>19</v>
      </c>
      <c r="K280" t="s">
        <v>20</v>
      </c>
      <c r="L280" t="s">
        <v>101</v>
      </c>
      <c r="M280" s="3">
        <v>42</v>
      </c>
      <c r="N280" s="2">
        <v>6200</v>
      </c>
      <c r="O280" t="str">
        <f t="shared" si="8"/>
        <v>&lt;=100</v>
      </c>
      <c r="P280" t="str">
        <f t="shared" si="9"/>
        <v>&lt;= 10000$</v>
      </c>
    </row>
    <row r="281" spans="1:16" hidden="1" x14ac:dyDescent="0.25">
      <c r="A281">
        <v>280</v>
      </c>
      <c r="B281" t="s">
        <v>99</v>
      </c>
      <c r="C281" t="s">
        <v>355</v>
      </c>
      <c r="D281" t="s">
        <v>32</v>
      </c>
      <c r="E281" t="s">
        <v>17</v>
      </c>
      <c r="F281" s="3">
        <v>100</v>
      </c>
      <c r="G281">
        <v>44</v>
      </c>
      <c r="H281">
        <v>12.8</v>
      </c>
      <c r="I281">
        <v>22</v>
      </c>
      <c r="J281" t="s">
        <v>19</v>
      </c>
      <c r="K281" t="s">
        <v>20</v>
      </c>
      <c r="L281" t="s">
        <v>45</v>
      </c>
      <c r="M281" s="3">
        <v>42</v>
      </c>
      <c r="N281" s="2">
        <v>5300</v>
      </c>
      <c r="O281" t="str">
        <f t="shared" si="8"/>
        <v>&lt;=100</v>
      </c>
      <c r="P281" t="str">
        <f t="shared" si="9"/>
        <v>&lt;= 10000$</v>
      </c>
    </row>
    <row r="282" spans="1:16" hidden="1" x14ac:dyDescent="0.25">
      <c r="A282">
        <v>281</v>
      </c>
      <c r="B282" t="s">
        <v>99</v>
      </c>
      <c r="C282" t="s">
        <v>356</v>
      </c>
      <c r="D282" t="s">
        <v>32</v>
      </c>
      <c r="E282" t="s">
        <v>17</v>
      </c>
      <c r="F282" s="3">
        <v>50</v>
      </c>
      <c r="G282">
        <v>42</v>
      </c>
      <c r="H282">
        <v>11.4</v>
      </c>
      <c r="I282">
        <v>22</v>
      </c>
      <c r="J282" t="s">
        <v>34</v>
      </c>
      <c r="K282" t="s">
        <v>20</v>
      </c>
      <c r="L282" t="s">
        <v>232</v>
      </c>
      <c r="M282" s="3">
        <v>42</v>
      </c>
      <c r="N282" s="2">
        <v>3900</v>
      </c>
      <c r="O282" t="str">
        <f t="shared" si="8"/>
        <v>&lt;=100</v>
      </c>
      <c r="P282" t="str">
        <f t="shared" si="9"/>
        <v>&lt;=5000$</v>
      </c>
    </row>
    <row r="283" spans="1:16" hidden="1" x14ac:dyDescent="0.25">
      <c r="A283">
        <v>282</v>
      </c>
      <c r="B283" t="s">
        <v>99</v>
      </c>
      <c r="C283" t="s">
        <v>357</v>
      </c>
      <c r="D283" t="s">
        <v>32</v>
      </c>
      <c r="E283" t="s">
        <v>17</v>
      </c>
      <c r="F283" s="3">
        <v>100</v>
      </c>
      <c r="G283">
        <v>42</v>
      </c>
      <c r="H283">
        <v>12.8</v>
      </c>
      <c r="I283">
        <v>22</v>
      </c>
      <c r="J283" t="s">
        <v>19</v>
      </c>
      <c r="K283" t="s">
        <v>20</v>
      </c>
      <c r="L283" t="s">
        <v>45</v>
      </c>
      <c r="M283" s="3">
        <v>38</v>
      </c>
      <c r="N283" s="2">
        <v>3600</v>
      </c>
      <c r="O283" t="str">
        <f t="shared" si="8"/>
        <v>&lt;=100</v>
      </c>
      <c r="P283" t="str">
        <f t="shared" si="9"/>
        <v>&lt;=5000$</v>
      </c>
    </row>
    <row r="284" spans="1:16" hidden="1" x14ac:dyDescent="0.25">
      <c r="A284">
        <v>283</v>
      </c>
      <c r="B284" t="s">
        <v>99</v>
      </c>
      <c r="C284" t="s">
        <v>358</v>
      </c>
      <c r="D284" t="s">
        <v>32</v>
      </c>
      <c r="E284" t="s">
        <v>49</v>
      </c>
      <c r="F284" s="3">
        <v>30</v>
      </c>
      <c r="G284">
        <v>44</v>
      </c>
      <c r="H284">
        <v>12.3</v>
      </c>
      <c r="I284">
        <v>22</v>
      </c>
      <c r="J284" t="s">
        <v>19</v>
      </c>
      <c r="K284" t="s">
        <v>20</v>
      </c>
      <c r="L284" t="s">
        <v>45</v>
      </c>
      <c r="M284" s="3">
        <v>50</v>
      </c>
      <c r="N284" s="2">
        <v>3500</v>
      </c>
      <c r="O284" t="str">
        <f t="shared" si="8"/>
        <v>&lt;=100</v>
      </c>
      <c r="P284" t="str">
        <f t="shared" si="9"/>
        <v>&lt;=5000$</v>
      </c>
    </row>
    <row r="285" spans="1:16" hidden="1" x14ac:dyDescent="0.25">
      <c r="A285">
        <v>284</v>
      </c>
      <c r="B285" t="s">
        <v>99</v>
      </c>
      <c r="C285" t="s">
        <v>359</v>
      </c>
      <c r="D285" t="s">
        <v>32</v>
      </c>
      <c r="E285" t="s">
        <v>17</v>
      </c>
      <c r="F285" s="3">
        <v>50</v>
      </c>
      <c r="G285">
        <v>39</v>
      </c>
      <c r="H285">
        <v>9.9</v>
      </c>
      <c r="I285">
        <v>19</v>
      </c>
      <c r="J285" t="s">
        <v>44</v>
      </c>
      <c r="K285" t="s">
        <v>20</v>
      </c>
      <c r="L285" t="s">
        <v>21</v>
      </c>
      <c r="M285" s="3">
        <v>42</v>
      </c>
      <c r="N285" s="2">
        <v>3500</v>
      </c>
      <c r="O285" t="str">
        <f t="shared" si="8"/>
        <v>&lt;=100</v>
      </c>
      <c r="P285" t="str">
        <f t="shared" si="9"/>
        <v>&lt;=5000$</v>
      </c>
    </row>
    <row r="286" spans="1:16" hidden="1" x14ac:dyDescent="0.25">
      <c r="A286">
        <v>285</v>
      </c>
      <c r="B286" t="s">
        <v>99</v>
      </c>
      <c r="C286" t="s">
        <v>360</v>
      </c>
      <c r="D286" t="s">
        <v>32</v>
      </c>
      <c r="E286" t="s">
        <v>17</v>
      </c>
      <c r="F286" s="3">
        <v>50</v>
      </c>
      <c r="G286">
        <v>40</v>
      </c>
      <c r="H286">
        <v>9.85</v>
      </c>
      <c r="I286">
        <v>20</v>
      </c>
      <c r="J286" t="s">
        <v>44</v>
      </c>
      <c r="K286" t="s">
        <v>20</v>
      </c>
      <c r="L286" t="s">
        <v>21</v>
      </c>
      <c r="M286" s="3">
        <v>42</v>
      </c>
      <c r="N286" s="2">
        <v>2750</v>
      </c>
      <c r="O286" t="str">
        <f t="shared" si="8"/>
        <v>&lt;=100</v>
      </c>
      <c r="P286" t="str">
        <f t="shared" si="9"/>
        <v>&lt;=5000$</v>
      </c>
    </row>
    <row r="287" spans="1:16" hidden="1" x14ac:dyDescent="0.25">
      <c r="A287">
        <v>286</v>
      </c>
      <c r="B287" t="s">
        <v>99</v>
      </c>
      <c r="C287" t="s">
        <v>360</v>
      </c>
      <c r="D287" t="s">
        <v>32</v>
      </c>
      <c r="E287" t="s">
        <v>17</v>
      </c>
      <c r="F287" s="3">
        <v>50</v>
      </c>
      <c r="G287">
        <v>40</v>
      </c>
      <c r="H287">
        <v>9.85</v>
      </c>
      <c r="I287">
        <v>20</v>
      </c>
      <c r="J287" t="s">
        <v>19</v>
      </c>
      <c r="K287" t="s">
        <v>20</v>
      </c>
      <c r="L287" t="s">
        <v>21</v>
      </c>
      <c r="M287" s="3">
        <v>38</v>
      </c>
      <c r="N287" s="2">
        <v>2700</v>
      </c>
      <c r="O287" t="str">
        <f t="shared" si="8"/>
        <v>&lt;=100</v>
      </c>
      <c r="P287" t="str">
        <f t="shared" si="9"/>
        <v>&lt;=5000$</v>
      </c>
    </row>
    <row r="288" spans="1:16" hidden="1" x14ac:dyDescent="0.25">
      <c r="A288">
        <v>287</v>
      </c>
      <c r="B288" t="s">
        <v>23</v>
      </c>
      <c r="C288" t="s">
        <v>361</v>
      </c>
      <c r="D288" t="s">
        <v>16</v>
      </c>
      <c r="E288" t="s">
        <v>17</v>
      </c>
      <c r="F288" s="3">
        <v>50</v>
      </c>
      <c r="G288">
        <v>42</v>
      </c>
      <c r="H288">
        <v>13.5</v>
      </c>
      <c r="I288">
        <v>20</v>
      </c>
      <c r="J288" t="s">
        <v>19</v>
      </c>
      <c r="K288" t="s">
        <v>20</v>
      </c>
      <c r="L288" t="s">
        <v>35</v>
      </c>
      <c r="M288" s="3">
        <v>60</v>
      </c>
      <c r="N288" s="2">
        <v>6800</v>
      </c>
      <c r="O288" t="str">
        <f t="shared" si="8"/>
        <v>&lt;=100</v>
      </c>
      <c r="P288" t="str">
        <f t="shared" si="9"/>
        <v>&lt;= 10000$</v>
      </c>
    </row>
    <row r="289" spans="1:16" hidden="1" x14ac:dyDescent="0.25">
      <c r="A289">
        <v>288</v>
      </c>
      <c r="B289" t="s">
        <v>23</v>
      </c>
      <c r="C289" t="s">
        <v>361</v>
      </c>
      <c r="D289" t="s">
        <v>16</v>
      </c>
      <c r="E289" t="s">
        <v>17</v>
      </c>
      <c r="F289" s="3">
        <v>50</v>
      </c>
      <c r="G289">
        <v>42</v>
      </c>
      <c r="H289">
        <v>13.5</v>
      </c>
      <c r="I289">
        <v>20</v>
      </c>
      <c r="J289" t="s">
        <v>19</v>
      </c>
      <c r="K289" t="s">
        <v>20</v>
      </c>
      <c r="L289" t="s">
        <v>35</v>
      </c>
      <c r="M289" s="3">
        <v>60</v>
      </c>
      <c r="N289" s="2">
        <v>6500</v>
      </c>
      <c r="O289" t="str">
        <f t="shared" si="8"/>
        <v>&lt;=100</v>
      </c>
      <c r="P289" t="str">
        <f t="shared" si="9"/>
        <v>&lt;= 10000$</v>
      </c>
    </row>
    <row r="290" spans="1:16" hidden="1" x14ac:dyDescent="0.25">
      <c r="A290">
        <v>289</v>
      </c>
      <c r="B290" t="s">
        <v>23</v>
      </c>
      <c r="C290" t="s">
        <v>361</v>
      </c>
      <c r="D290" t="s">
        <v>16</v>
      </c>
      <c r="E290" t="s">
        <v>17</v>
      </c>
      <c r="F290" s="3">
        <v>50</v>
      </c>
      <c r="G290">
        <v>42</v>
      </c>
      <c r="H290">
        <v>13.7</v>
      </c>
      <c r="I290">
        <v>20</v>
      </c>
      <c r="J290" t="s">
        <v>19</v>
      </c>
      <c r="K290" t="s">
        <v>20</v>
      </c>
      <c r="L290" t="s">
        <v>83</v>
      </c>
      <c r="M290" s="3">
        <v>60</v>
      </c>
      <c r="N290" s="2">
        <v>6500</v>
      </c>
      <c r="O290" t="str">
        <f t="shared" si="8"/>
        <v>&lt;=100</v>
      </c>
      <c r="P290" t="str">
        <f t="shared" si="9"/>
        <v>&lt;= 10000$</v>
      </c>
    </row>
    <row r="291" spans="1:16" hidden="1" x14ac:dyDescent="0.25">
      <c r="A291">
        <v>290</v>
      </c>
      <c r="B291" t="s">
        <v>23</v>
      </c>
      <c r="C291" t="s">
        <v>362</v>
      </c>
      <c r="D291" t="s">
        <v>26</v>
      </c>
      <c r="E291" t="s">
        <v>17</v>
      </c>
      <c r="F291" s="3">
        <v>600</v>
      </c>
      <c r="G291">
        <v>43.5</v>
      </c>
      <c r="H291">
        <v>14.47</v>
      </c>
      <c r="I291">
        <v>21</v>
      </c>
      <c r="J291" t="s">
        <v>28</v>
      </c>
      <c r="K291" t="s">
        <v>20</v>
      </c>
      <c r="L291" t="s">
        <v>21</v>
      </c>
      <c r="M291" s="3">
        <v>60</v>
      </c>
      <c r="N291" s="2">
        <v>5800</v>
      </c>
      <c r="O291" t="str">
        <f t="shared" si="8"/>
        <v>500-1000</v>
      </c>
      <c r="P291" t="str">
        <f t="shared" si="9"/>
        <v>&lt;= 10000$</v>
      </c>
    </row>
    <row r="292" spans="1:16" hidden="1" x14ac:dyDescent="0.25">
      <c r="A292">
        <v>291</v>
      </c>
      <c r="B292" t="s">
        <v>23</v>
      </c>
      <c r="C292" t="s">
        <v>362</v>
      </c>
      <c r="D292" t="s">
        <v>26</v>
      </c>
      <c r="E292" t="s">
        <v>17</v>
      </c>
      <c r="F292" s="3">
        <v>600</v>
      </c>
      <c r="G292">
        <v>43.5</v>
      </c>
      <c r="H292">
        <v>14.47</v>
      </c>
      <c r="I292">
        <v>21</v>
      </c>
      <c r="J292" t="s">
        <v>28</v>
      </c>
      <c r="K292" t="s">
        <v>20</v>
      </c>
      <c r="L292" t="s">
        <v>21</v>
      </c>
      <c r="M292" s="3">
        <v>60</v>
      </c>
      <c r="N292" s="2">
        <v>5800</v>
      </c>
      <c r="O292" t="str">
        <f t="shared" si="8"/>
        <v>500-1000</v>
      </c>
      <c r="P292" t="str">
        <f t="shared" si="9"/>
        <v>&lt;= 10000$</v>
      </c>
    </row>
    <row r="293" spans="1:16" hidden="1" x14ac:dyDescent="0.25">
      <c r="A293">
        <v>292</v>
      </c>
      <c r="B293" t="s">
        <v>23</v>
      </c>
      <c r="C293" t="s">
        <v>361</v>
      </c>
      <c r="D293" t="s">
        <v>16</v>
      </c>
      <c r="E293" t="s">
        <v>49</v>
      </c>
      <c r="F293" s="3">
        <v>50</v>
      </c>
      <c r="G293">
        <v>42</v>
      </c>
      <c r="H293">
        <v>14.3</v>
      </c>
      <c r="I293">
        <v>20</v>
      </c>
      <c r="J293" t="s">
        <v>19</v>
      </c>
      <c r="K293" t="s">
        <v>106</v>
      </c>
      <c r="L293" t="s">
        <v>83</v>
      </c>
      <c r="M293" s="3">
        <v>48</v>
      </c>
      <c r="N293" s="2">
        <v>5500</v>
      </c>
      <c r="O293" t="str">
        <f t="shared" si="8"/>
        <v>&lt;=100</v>
      </c>
      <c r="P293" t="str">
        <f t="shared" si="9"/>
        <v>&lt;= 10000$</v>
      </c>
    </row>
    <row r="294" spans="1:16" hidden="1" x14ac:dyDescent="0.25">
      <c r="A294">
        <v>293</v>
      </c>
      <c r="B294" t="s">
        <v>23</v>
      </c>
      <c r="C294" t="s">
        <v>363</v>
      </c>
      <c r="D294" t="s">
        <v>16</v>
      </c>
      <c r="E294" t="s">
        <v>49</v>
      </c>
      <c r="F294" s="3">
        <v>50</v>
      </c>
      <c r="G294">
        <v>42</v>
      </c>
      <c r="H294">
        <v>13.2</v>
      </c>
      <c r="I294">
        <v>20</v>
      </c>
      <c r="J294" t="s">
        <v>19</v>
      </c>
      <c r="K294" t="s">
        <v>106</v>
      </c>
      <c r="L294" t="s">
        <v>83</v>
      </c>
      <c r="M294" s="3">
        <v>48</v>
      </c>
      <c r="N294" s="2">
        <v>5500</v>
      </c>
      <c r="O294" t="str">
        <f t="shared" si="8"/>
        <v>&lt;=100</v>
      </c>
      <c r="P294" t="str">
        <f t="shared" si="9"/>
        <v>&lt;= 10000$</v>
      </c>
    </row>
    <row r="295" spans="1:16" hidden="1" x14ac:dyDescent="0.25">
      <c r="A295">
        <v>294</v>
      </c>
      <c r="B295" t="s">
        <v>23</v>
      </c>
      <c r="C295" t="s">
        <v>361</v>
      </c>
      <c r="D295" t="s">
        <v>32</v>
      </c>
      <c r="E295" t="s">
        <v>49</v>
      </c>
      <c r="F295" s="3">
        <v>50</v>
      </c>
      <c r="G295">
        <v>42</v>
      </c>
      <c r="H295">
        <v>13.7</v>
      </c>
      <c r="I295">
        <v>20</v>
      </c>
      <c r="J295" t="s">
        <v>19</v>
      </c>
      <c r="K295" t="s">
        <v>106</v>
      </c>
      <c r="L295" t="s">
        <v>35</v>
      </c>
      <c r="M295" s="3">
        <v>48</v>
      </c>
      <c r="N295" s="2">
        <v>5500</v>
      </c>
      <c r="O295" t="str">
        <f t="shared" si="8"/>
        <v>&lt;=100</v>
      </c>
      <c r="P295" t="str">
        <f t="shared" si="9"/>
        <v>&lt;= 10000$</v>
      </c>
    </row>
    <row r="296" spans="1:16" hidden="1" x14ac:dyDescent="0.25">
      <c r="A296">
        <v>295</v>
      </c>
      <c r="B296" t="s">
        <v>23</v>
      </c>
      <c r="C296" t="s">
        <v>361</v>
      </c>
      <c r="D296" t="s">
        <v>16</v>
      </c>
      <c r="E296" t="s">
        <v>49</v>
      </c>
      <c r="F296" s="3">
        <v>50</v>
      </c>
      <c r="G296">
        <v>42</v>
      </c>
      <c r="H296">
        <v>14.3</v>
      </c>
      <c r="I296">
        <v>20</v>
      </c>
      <c r="J296" t="s">
        <v>19</v>
      </c>
      <c r="K296" t="s">
        <v>20</v>
      </c>
      <c r="L296" t="s">
        <v>35</v>
      </c>
      <c r="M296" s="3">
        <v>48</v>
      </c>
      <c r="N296" s="2">
        <v>5400</v>
      </c>
      <c r="O296" t="str">
        <f t="shared" si="8"/>
        <v>&lt;=100</v>
      </c>
      <c r="P296" t="str">
        <f t="shared" si="9"/>
        <v>&lt;= 10000$</v>
      </c>
    </row>
    <row r="297" spans="1:16" hidden="1" x14ac:dyDescent="0.25">
      <c r="A297">
        <v>296</v>
      </c>
      <c r="B297" t="s">
        <v>23</v>
      </c>
      <c r="C297" t="s">
        <v>363</v>
      </c>
      <c r="D297" t="s">
        <v>16</v>
      </c>
      <c r="E297" t="s">
        <v>49</v>
      </c>
      <c r="F297" s="3">
        <v>50</v>
      </c>
      <c r="G297">
        <v>42</v>
      </c>
      <c r="H297">
        <v>14.3</v>
      </c>
      <c r="I297">
        <v>20</v>
      </c>
      <c r="J297" t="s">
        <v>19</v>
      </c>
      <c r="K297" t="s">
        <v>106</v>
      </c>
      <c r="L297" t="s">
        <v>35</v>
      </c>
      <c r="M297" s="3">
        <v>48</v>
      </c>
      <c r="N297" s="2">
        <v>5400</v>
      </c>
      <c r="O297" t="str">
        <f t="shared" si="8"/>
        <v>&lt;=100</v>
      </c>
      <c r="P297" t="str">
        <f t="shared" si="9"/>
        <v>&lt;= 10000$</v>
      </c>
    </row>
    <row r="298" spans="1:16" hidden="1" x14ac:dyDescent="0.25">
      <c r="A298">
        <v>297</v>
      </c>
      <c r="B298" t="s">
        <v>23</v>
      </c>
      <c r="C298" t="s">
        <v>363</v>
      </c>
      <c r="D298" t="s">
        <v>16</v>
      </c>
      <c r="E298" t="s">
        <v>49</v>
      </c>
      <c r="F298" s="3">
        <v>50</v>
      </c>
      <c r="G298">
        <v>42</v>
      </c>
      <c r="H298">
        <v>13.75</v>
      </c>
      <c r="I298">
        <v>20</v>
      </c>
      <c r="J298" t="s">
        <v>19</v>
      </c>
      <c r="K298" t="s">
        <v>106</v>
      </c>
      <c r="L298" t="s">
        <v>83</v>
      </c>
      <c r="M298" s="3">
        <v>48</v>
      </c>
      <c r="N298" s="2">
        <v>5350</v>
      </c>
      <c r="O298" t="str">
        <f t="shared" si="8"/>
        <v>&lt;=100</v>
      </c>
      <c r="P298" t="str">
        <f t="shared" si="9"/>
        <v>&lt;= 10000$</v>
      </c>
    </row>
    <row r="299" spans="1:16" hidden="1" x14ac:dyDescent="0.25">
      <c r="A299">
        <v>298</v>
      </c>
      <c r="B299" t="s">
        <v>23</v>
      </c>
      <c r="C299" t="s">
        <v>361</v>
      </c>
      <c r="D299" t="s">
        <v>16</v>
      </c>
      <c r="E299" t="s">
        <v>49</v>
      </c>
      <c r="F299" s="3">
        <v>50</v>
      </c>
      <c r="G299">
        <v>42</v>
      </c>
      <c r="H299">
        <v>14.3</v>
      </c>
      <c r="I299">
        <v>20</v>
      </c>
      <c r="J299" t="s">
        <v>19</v>
      </c>
      <c r="K299" t="s">
        <v>106</v>
      </c>
      <c r="L299" t="s">
        <v>35</v>
      </c>
      <c r="M299" s="3">
        <v>48</v>
      </c>
      <c r="N299" s="2">
        <v>5350</v>
      </c>
      <c r="O299" t="str">
        <f t="shared" si="8"/>
        <v>&lt;=100</v>
      </c>
      <c r="P299" t="str">
        <f t="shared" si="9"/>
        <v>&lt;= 10000$</v>
      </c>
    </row>
    <row r="300" spans="1:16" hidden="1" x14ac:dyDescent="0.25">
      <c r="A300">
        <v>299</v>
      </c>
      <c r="B300" t="s">
        <v>23</v>
      </c>
      <c r="C300" t="s">
        <v>361</v>
      </c>
      <c r="D300" t="s">
        <v>16</v>
      </c>
      <c r="E300" t="s">
        <v>17</v>
      </c>
      <c r="F300" s="3">
        <v>50</v>
      </c>
      <c r="G300">
        <v>42</v>
      </c>
      <c r="H300">
        <v>13.75</v>
      </c>
      <c r="I300">
        <v>20</v>
      </c>
      <c r="J300" t="s">
        <v>19</v>
      </c>
      <c r="K300" t="s">
        <v>20</v>
      </c>
      <c r="L300" t="s">
        <v>141</v>
      </c>
      <c r="M300" s="3">
        <v>48</v>
      </c>
      <c r="N300" s="2">
        <v>5300</v>
      </c>
      <c r="O300" t="str">
        <f t="shared" si="8"/>
        <v>&lt;=100</v>
      </c>
      <c r="P300" t="str">
        <f t="shared" si="9"/>
        <v>&lt;= 10000$</v>
      </c>
    </row>
    <row r="301" spans="1:16" hidden="1" x14ac:dyDescent="0.25">
      <c r="A301">
        <v>300</v>
      </c>
      <c r="B301" t="s">
        <v>23</v>
      </c>
      <c r="C301" t="s">
        <v>363</v>
      </c>
      <c r="D301" t="s">
        <v>16</v>
      </c>
      <c r="E301" t="s">
        <v>49</v>
      </c>
      <c r="F301" s="3">
        <v>50</v>
      </c>
      <c r="G301">
        <v>42</v>
      </c>
      <c r="H301">
        <v>14.3</v>
      </c>
      <c r="I301">
        <v>20</v>
      </c>
      <c r="J301" t="s">
        <v>19</v>
      </c>
      <c r="K301" t="s">
        <v>106</v>
      </c>
      <c r="L301" t="s">
        <v>83</v>
      </c>
      <c r="M301" s="3">
        <v>48</v>
      </c>
      <c r="N301" s="2">
        <v>5250</v>
      </c>
      <c r="O301" t="str">
        <f t="shared" si="8"/>
        <v>&lt;=100</v>
      </c>
      <c r="P301" t="str">
        <f t="shared" si="9"/>
        <v>&lt;= 10000$</v>
      </c>
    </row>
    <row r="302" spans="1:16" hidden="1" x14ac:dyDescent="0.25">
      <c r="A302">
        <v>301</v>
      </c>
      <c r="B302" t="s">
        <v>23</v>
      </c>
      <c r="C302" t="s">
        <v>361</v>
      </c>
      <c r="D302" t="s">
        <v>16</v>
      </c>
      <c r="E302" t="s">
        <v>49</v>
      </c>
      <c r="F302" s="3">
        <v>50</v>
      </c>
      <c r="G302">
        <v>42</v>
      </c>
      <c r="H302">
        <v>14.3</v>
      </c>
      <c r="I302">
        <v>20</v>
      </c>
      <c r="J302" t="s">
        <v>19</v>
      </c>
      <c r="K302" t="s">
        <v>106</v>
      </c>
      <c r="L302" t="s">
        <v>35</v>
      </c>
      <c r="M302" s="3">
        <v>48</v>
      </c>
      <c r="N302" s="2">
        <v>5200</v>
      </c>
      <c r="O302" t="str">
        <f t="shared" si="8"/>
        <v>&lt;=100</v>
      </c>
      <c r="P302" t="str">
        <f t="shared" si="9"/>
        <v>&lt;= 10000$</v>
      </c>
    </row>
    <row r="303" spans="1:16" hidden="1" x14ac:dyDescent="0.25">
      <c r="A303">
        <v>302</v>
      </c>
      <c r="B303" t="s">
        <v>23</v>
      </c>
      <c r="C303" t="s">
        <v>361</v>
      </c>
      <c r="D303" t="s">
        <v>16</v>
      </c>
      <c r="E303" t="s">
        <v>17</v>
      </c>
      <c r="F303" s="3">
        <v>50</v>
      </c>
      <c r="G303">
        <v>42</v>
      </c>
      <c r="H303">
        <v>14.3</v>
      </c>
      <c r="I303">
        <v>20</v>
      </c>
      <c r="J303" t="s">
        <v>19</v>
      </c>
      <c r="K303" t="s">
        <v>106</v>
      </c>
      <c r="L303" t="s">
        <v>35</v>
      </c>
      <c r="M303" s="3">
        <v>48</v>
      </c>
      <c r="N303" s="2">
        <v>5000</v>
      </c>
      <c r="O303" t="str">
        <f t="shared" si="8"/>
        <v>&lt;=100</v>
      </c>
      <c r="P303" t="str">
        <f t="shared" si="9"/>
        <v>&lt;=5000$</v>
      </c>
    </row>
    <row r="304" spans="1:16" hidden="1" x14ac:dyDescent="0.25">
      <c r="A304">
        <v>303</v>
      </c>
      <c r="B304" t="s">
        <v>23</v>
      </c>
      <c r="C304" t="s">
        <v>361</v>
      </c>
      <c r="D304" t="s">
        <v>16</v>
      </c>
      <c r="E304" t="s">
        <v>17</v>
      </c>
      <c r="F304" s="3">
        <v>50</v>
      </c>
      <c r="G304">
        <v>42</v>
      </c>
      <c r="H304">
        <v>13.7</v>
      </c>
      <c r="I304">
        <v>20</v>
      </c>
      <c r="J304" t="s">
        <v>19</v>
      </c>
      <c r="K304" t="s">
        <v>106</v>
      </c>
      <c r="L304" t="s">
        <v>35</v>
      </c>
      <c r="M304" s="3">
        <v>48</v>
      </c>
      <c r="N304" s="2">
        <v>4950</v>
      </c>
      <c r="O304" t="str">
        <f t="shared" si="8"/>
        <v>&lt;=100</v>
      </c>
      <c r="P304" t="str">
        <f t="shared" si="9"/>
        <v>&lt;=5000$</v>
      </c>
    </row>
    <row r="305" spans="1:16" hidden="1" x14ac:dyDescent="0.25">
      <c r="A305">
        <v>304</v>
      </c>
      <c r="B305" t="s">
        <v>23</v>
      </c>
      <c r="C305" t="s">
        <v>364</v>
      </c>
      <c r="D305" t="s">
        <v>16</v>
      </c>
      <c r="E305" t="s">
        <v>17</v>
      </c>
      <c r="F305" s="3">
        <v>100</v>
      </c>
      <c r="G305">
        <v>39</v>
      </c>
      <c r="H305">
        <v>10.6</v>
      </c>
      <c r="I305">
        <v>20</v>
      </c>
      <c r="J305" t="s">
        <v>19</v>
      </c>
      <c r="K305" t="s">
        <v>20</v>
      </c>
      <c r="L305" t="s">
        <v>21</v>
      </c>
      <c r="M305" s="3">
        <v>50</v>
      </c>
      <c r="N305" s="2">
        <v>4800</v>
      </c>
      <c r="O305" t="str">
        <f t="shared" si="8"/>
        <v>&lt;=100</v>
      </c>
      <c r="P305" t="str">
        <f t="shared" si="9"/>
        <v>&lt;=5000$</v>
      </c>
    </row>
    <row r="306" spans="1:16" hidden="1" x14ac:dyDescent="0.25">
      <c r="A306">
        <v>305</v>
      </c>
      <c r="B306" t="s">
        <v>23</v>
      </c>
      <c r="C306" t="s">
        <v>365</v>
      </c>
      <c r="D306" t="s">
        <v>16</v>
      </c>
      <c r="E306" t="s">
        <v>17</v>
      </c>
      <c r="F306" s="3">
        <v>150</v>
      </c>
      <c r="G306">
        <v>41.5</v>
      </c>
      <c r="H306">
        <v>13</v>
      </c>
      <c r="I306">
        <v>20</v>
      </c>
      <c r="J306" t="s">
        <v>44</v>
      </c>
      <c r="K306" t="s">
        <v>20</v>
      </c>
      <c r="L306" t="s">
        <v>21</v>
      </c>
      <c r="M306" s="3">
        <v>60</v>
      </c>
      <c r="N306" s="2">
        <v>4700</v>
      </c>
      <c r="O306" t="str">
        <f t="shared" si="8"/>
        <v>100-200</v>
      </c>
      <c r="P306" t="str">
        <f t="shared" si="9"/>
        <v>&lt;=5000$</v>
      </c>
    </row>
    <row r="307" spans="1:16" hidden="1" x14ac:dyDescent="0.25">
      <c r="A307">
        <v>306</v>
      </c>
      <c r="B307" t="s">
        <v>23</v>
      </c>
      <c r="C307" t="s">
        <v>361</v>
      </c>
      <c r="D307" t="s">
        <v>16</v>
      </c>
      <c r="E307" t="s">
        <v>17</v>
      </c>
      <c r="F307" s="3">
        <v>50</v>
      </c>
      <c r="G307">
        <v>42</v>
      </c>
      <c r="H307">
        <v>14.5</v>
      </c>
      <c r="I307">
        <v>20</v>
      </c>
      <c r="J307" t="s">
        <v>19</v>
      </c>
      <c r="K307" t="s">
        <v>20</v>
      </c>
      <c r="L307" t="s">
        <v>83</v>
      </c>
      <c r="M307" s="3">
        <v>60</v>
      </c>
      <c r="N307" s="2">
        <v>4500</v>
      </c>
      <c r="O307" t="str">
        <f t="shared" si="8"/>
        <v>&lt;=100</v>
      </c>
      <c r="P307" t="str">
        <f t="shared" si="9"/>
        <v>&lt;=5000$</v>
      </c>
    </row>
    <row r="308" spans="1:16" hidden="1" x14ac:dyDescent="0.25">
      <c r="A308">
        <v>307</v>
      </c>
      <c r="B308" t="s">
        <v>23</v>
      </c>
      <c r="C308" t="s">
        <v>361</v>
      </c>
      <c r="D308" t="s">
        <v>16</v>
      </c>
      <c r="E308" t="s">
        <v>49</v>
      </c>
      <c r="F308" s="3">
        <v>50</v>
      </c>
      <c r="G308">
        <v>42</v>
      </c>
      <c r="H308">
        <v>14.3</v>
      </c>
      <c r="I308">
        <v>20</v>
      </c>
      <c r="J308" t="s">
        <v>19</v>
      </c>
      <c r="K308" t="s">
        <v>106</v>
      </c>
      <c r="L308" t="s">
        <v>83</v>
      </c>
      <c r="M308" s="3">
        <v>48</v>
      </c>
      <c r="N308" s="2">
        <v>4500</v>
      </c>
      <c r="O308" t="str">
        <f t="shared" si="8"/>
        <v>&lt;=100</v>
      </c>
      <c r="P308" t="str">
        <f t="shared" si="9"/>
        <v>&lt;=5000$</v>
      </c>
    </row>
    <row r="309" spans="1:16" hidden="1" x14ac:dyDescent="0.25">
      <c r="A309">
        <v>308</v>
      </c>
      <c r="B309" t="s">
        <v>23</v>
      </c>
      <c r="C309" t="s">
        <v>361</v>
      </c>
      <c r="D309" t="s">
        <v>16</v>
      </c>
      <c r="E309" t="s">
        <v>49</v>
      </c>
      <c r="F309" s="3">
        <v>50</v>
      </c>
      <c r="G309">
        <v>42</v>
      </c>
      <c r="H309">
        <v>14.3</v>
      </c>
      <c r="I309">
        <v>20</v>
      </c>
      <c r="J309" t="s">
        <v>19</v>
      </c>
      <c r="K309" t="s">
        <v>106</v>
      </c>
      <c r="L309" t="s">
        <v>35</v>
      </c>
      <c r="M309" s="3">
        <v>48</v>
      </c>
      <c r="N309" s="2">
        <v>4500</v>
      </c>
      <c r="O309" t="str">
        <f t="shared" si="8"/>
        <v>&lt;=100</v>
      </c>
      <c r="P309" t="str">
        <f t="shared" si="9"/>
        <v>&lt;=5000$</v>
      </c>
    </row>
    <row r="310" spans="1:16" hidden="1" x14ac:dyDescent="0.25">
      <c r="A310">
        <v>309</v>
      </c>
      <c r="B310" t="s">
        <v>23</v>
      </c>
      <c r="C310" t="s">
        <v>361</v>
      </c>
      <c r="D310" t="s">
        <v>16</v>
      </c>
      <c r="E310" t="s">
        <v>49</v>
      </c>
      <c r="F310" s="3">
        <v>50</v>
      </c>
      <c r="G310">
        <v>42</v>
      </c>
      <c r="H310">
        <v>14.3</v>
      </c>
      <c r="I310">
        <v>20</v>
      </c>
      <c r="J310" t="s">
        <v>19</v>
      </c>
      <c r="K310" t="s">
        <v>106</v>
      </c>
      <c r="L310" t="s">
        <v>35</v>
      </c>
      <c r="M310" s="3">
        <v>48</v>
      </c>
      <c r="N310" s="2">
        <v>4300</v>
      </c>
      <c r="O310" t="str">
        <f t="shared" si="8"/>
        <v>&lt;=100</v>
      </c>
      <c r="P310" t="str">
        <f t="shared" si="9"/>
        <v>&lt;=5000$</v>
      </c>
    </row>
    <row r="311" spans="1:16" hidden="1" x14ac:dyDescent="0.25">
      <c r="A311">
        <v>310</v>
      </c>
      <c r="B311" t="s">
        <v>65</v>
      </c>
      <c r="C311" t="s">
        <v>366</v>
      </c>
      <c r="D311" t="s">
        <v>67</v>
      </c>
      <c r="E311" t="s">
        <v>17</v>
      </c>
      <c r="F311" s="3">
        <v>100</v>
      </c>
      <c r="G311">
        <v>41</v>
      </c>
      <c r="H311">
        <v>12</v>
      </c>
      <c r="I311">
        <v>20</v>
      </c>
      <c r="J311" t="s">
        <v>19</v>
      </c>
      <c r="K311" t="s">
        <v>20</v>
      </c>
      <c r="L311" t="s">
        <v>68</v>
      </c>
      <c r="M311" s="3">
        <v>38</v>
      </c>
      <c r="N311" s="2">
        <v>1800</v>
      </c>
      <c r="O311" t="str">
        <f t="shared" si="8"/>
        <v>&lt;=100</v>
      </c>
      <c r="P311" t="str">
        <f t="shared" si="9"/>
        <v xml:space="preserve"> &lt;=2000$</v>
      </c>
    </row>
    <row r="312" spans="1:16" hidden="1" x14ac:dyDescent="0.25">
      <c r="A312">
        <v>311</v>
      </c>
      <c r="B312" t="s">
        <v>65</v>
      </c>
      <c r="C312" t="s">
        <v>367</v>
      </c>
      <c r="D312" t="s">
        <v>32</v>
      </c>
      <c r="E312" t="s">
        <v>17</v>
      </c>
      <c r="F312" s="3">
        <v>100</v>
      </c>
      <c r="G312">
        <v>40</v>
      </c>
      <c r="H312">
        <v>12.9</v>
      </c>
      <c r="I312">
        <v>20</v>
      </c>
      <c r="J312" t="s">
        <v>28</v>
      </c>
      <c r="K312" t="s">
        <v>20</v>
      </c>
      <c r="L312" t="s">
        <v>21</v>
      </c>
      <c r="M312" s="3">
        <v>38</v>
      </c>
      <c r="N312" s="2">
        <v>1500</v>
      </c>
      <c r="O312" t="str">
        <f t="shared" si="8"/>
        <v>&lt;=100</v>
      </c>
      <c r="P312" t="str">
        <f t="shared" si="9"/>
        <v xml:space="preserve"> &lt;=2000$</v>
      </c>
    </row>
    <row r="313" spans="1:16" hidden="1" x14ac:dyDescent="0.25">
      <c r="A313">
        <v>312</v>
      </c>
      <c r="B313" t="s">
        <v>86</v>
      </c>
      <c r="C313" t="s">
        <v>368</v>
      </c>
      <c r="D313" t="s">
        <v>26</v>
      </c>
      <c r="E313" t="s">
        <v>17</v>
      </c>
      <c r="F313" s="3">
        <v>300</v>
      </c>
      <c r="G313">
        <v>44</v>
      </c>
      <c r="H313">
        <v>15.65</v>
      </c>
      <c r="I313">
        <v>24</v>
      </c>
      <c r="J313" t="s">
        <v>19</v>
      </c>
      <c r="K313" t="s">
        <v>20</v>
      </c>
      <c r="L313" t="s">
        <v>21</v>
      </c>
      <c r="M313" s="3">
        <v>72</v>
      </c>
      <c r="N313" s="2">
        <v>9600</v>
      </c>
      <c r="O313" t="str">
        <f t="shared" si="8"/>
        <v>200-300</v>
      </c>
      <c r="P313" t="str">
        <f t="shared" si="9"/>
        <v>&lt;= 10000$</v>
      </c>
    </row>
    <row r="314" spans="1:16" hidden="1" x14ac:dyDescent="0.25">
      <c r="A314">
        <v>313</v>
      </c>
      <c r="B314" t="s">
        <v>86</v>
      </c>
      <c r="C314" t="s">
        <v>368</v>
      </c>
      <c r="D314" t="s">
        <v>32</v>
      </c>
      <c r="E314" t="s">
        <v>17</v>
      </c>
      <c r="F314" s="3">
        <v>300</v>
      </c>
      <c r="G314">
        <v>44</v>
      </c>
      <c r="H314">
        <v>16.149999999999999</v>
      </c>
      <c r="I314">
        <v>24</v>
      </c>
      <c r="J314" t="s">
        <v>19</v>
      </c>
      <c r="K314" t="s">
        <v>20</v>
      </c>
      <c r="L314" t="s">
        <v>45</v>
      </c>
      <c r="M314" s="3">
        <v>72</v>
      </c>
      <c r="N314" s="2">
        <v>9500</v>
      </c>
      <c r="O314" t="str">
        <f t="shared" ref="O314:O377" si="10">IF($F314&lt;=100, "&lt;=100", IF($F314&lt;=200, "100-200", IF($F314&lt;=300, "200-300", IF($F314&lt;=500, "300-500", IF($F314&lt;1000, "500-1000", "1000+")))))</f>
        <v>200-300</v>
      </c>
      <c r="P314" t="str">
        <f t="shared" ref="P314:P377" si="11">IF(N314&lt;=1000, "&lt;= 1000$", IF(N314&lt;=2000, " &lt;=2000$", IF(N314&lt;=5000, "&lt;=5000$", IF(N314&lt;=10000, "&lt;= 10000$", IF(N314&lt;=20000, "&lt;= 20000$", IF(N314&lt;40000, "&lt;= 40000$", "40000$ +"))))))</f>
        <v>&lt;= 10000$</v>
      </c>
    </row>
    <row r="315" spans="1:16" hidden="1" x14ac:dyDescent="0.25">
      <c r="A315">
        <v>314</v>
      </c>
      <c r="B315" t="s">
        <v>86</v>
      </c>
      <c r="C315" t="s">
        <v>369</v>
      </c>
      <c r="D315" t="s">
        <v>26</v>
      </c>
      <c r="E315" t="s">
        <v>17</v>
      </c>
      <c r="F315" s="3">
        <v>300</v>
      </c>
      <c r="G315">
        <v>44</v>
      </c>
      <c r="H315">
        <v>15.65</v>
      </c>
      <c r="I315">
        <v>24</v>
      </c>
      <c r="J315" t="s">
        <v>19</v>
      </c>
      <c r="K315" t="s">
        <v>20</v>
      </c>
      <c r="L315" t="s">
        <v>45</v>
      </c>
      <c r="M315" s="3">
        <v>72</v>
      </c>
      <c r="N315" s="2">
        <v>9500</v>
      </c>
      <c r="O315" t="str">
        <f t="shared" si="10"/>
        <v>200-300</v>
      </c>
      <c r="P315" t="str">
        <f t="shared" si="11"/>
        <v>&lt;= 10000$</v>
      </c>
    </row>
    <row r="316" spans="1:16" hidden="1" x14ac:dyDescent="0.25">
      <c r="A316">
        <v>315</v>
      </c>
      <c r="B316" t="s">
        <v>86</v>
      </c>
      <c r="C316" t="s">
        <v>370</v>
      </c>
      <c r="D316" t="s">
        <v>32</v>
      </c>
      <c r="E316" t="s">
        <v>17</v>
      </c>
      <c r="F316" s="3">
        <v>300</v>
      </c>
      <c r="G316">
        <v>44</v>
      </c>
      <c r="H316">
        <v>13.05</v>
      </c>
      <c r="I316">
        <v>24</v>
      </c>
      <c r="J316" t="s">
        <v>19</v>
      </c>
      <c r="K316" t="s">
        <v>20</v>
      </c>
      <c r="L316" t="s">
        <v>144</v>
      </c>
      <c r="M316" s="3">
        <v>72</v>
      </c>
      <c r="N316" s="2">
        <v>8900</v>
      </c>
      <c r="O316" t="str">
        <f t="shared" si="10"/>
        <v>200-300</v>
      </c>
      <c r="P316" t="str">
        <f t="shared" si="11"/>
        <v>&lt;= 10000$</v>
      </c>
    </row>
    <row r="317" spans="1:16" hidden="1" x14ac:dyDescent="0.25">
      <c r="A317">
        <v>316</v>
      </c>
      <c r="B317" t="s">
        <v>86</v>
      </c>
      <c r="C317" t="s">
        <v>370</v>
      </c>
      <c r="D317" t="s">
        <v>32</v>
      </c>
      <c r="E317" t="s">
        <v>17</v>
      </c>
      <c r="F317" s="3">
        <v>300</v>
      </c>
      <c r="G317">
        <v>44</v>
      </c>
      <c r="H317">
        <v>13.05</v>
      </c>
      <c r="I317">
        <v>22</v>
      </c>
      <c r="J317" t="s">
        <v>19</v>
      </c>
      <c r="K317" t="s">
        <v>20</v>
      </c>
      <c r="L317" t="s">
        <v>21</v>
      </c>
      <c r="M317" s="3">
        <v>72</v>
      </c>
      <c r="N317" s="2">
        <v>8900</v>
      </c>
      <c r="O317" t="str">
        <f t="shared" si="10"/>
        <v>200-300</v>
      </c>
      <c r="P317" t="str">
        <f t="shared" si="11"/>
        <v>&lt;= 10000$</v>
      </c>
    </row>
    <row r="318" spans="1:16" hidden="1" x14ac:dyDescent="0.25">
      <c r="A318">
        <v>317</v>
      </c>
      <c r="B318" t="s">
        <v>86</v>
      </c>
      <c r="C318" t="s">
        <v>370</v>
      </c>
      <c r="D318" t="s">
        <v>32</v>
      </c>
      <c r="E318" t="s">
        <v>17</v>
      </c>
      <c r="F318" s="3">
        <v>300</v>
      </c>
      <c r="G318">
        <v>44</v>
      </c>
      <c r="H318">
        <v>15.65</v>
      </c>
      <c r="I318">
        <v>24</v>
      </c>
      <c r="J318" t="s">
        <v>19</v>
      </c>
      <c r="K318" t="s">
        <v>20</v>
      </c>
      <c r="L318" t="s">
        <v>45</v>
      </c>
      <c r="M318" s="3">
        <v>72</v>
      </c>
      <c r="N318" s="2">
        <v>8500</v>
      </c>
      <c r="O318" t="str">
        <f t="shared" si="10"/>
        <v>200-300</v>
      </c>
      <c r="P318" t="str">
        <f t="shared" si="11"/>
        <v>&lt;= 10000$</v>
      </c>
    </row>
    <row r="319" spans="1:16" hidden="1" x14ac:dyDescent="0.25">
      <c r="A319">
        <v>318</v>
      </c>
      <c r="B319" t="s">
        <v>86</v>
      </c>
      <c r="C319" t="s">
        <v>368</v>
      </c>
      <c r="D319" t="s">
        <v>26</v>
      </c>
      <c r="E319" t="s">
        <v>17</v>
      </c>
      <c r="F319" s="3">
        <v>300</v>
      </c>
      <c r="G319">
        <v>44</v>
      </c>
      <c r="H319">
        <v>13.05</v>
      </c>
      <c r="I319">
        <v>24</v>
      </c>
      <c r="J319" t="s">
        <v>19</v>
      </c>
      <c r="K319" t="s">
        <v>20</v>
      </c>
      <c r="L319" t="s">
        <v>45</v>
      </c>
      <c r="M319" s="3">
        <v>72</v>
      </c>
      <c r="N319" s="2">
        <v>8500</v>
      </c>
      <c r="O319" t="str">
        <f t="shared" si="10"/>
        <v>200-300</v>
      </c>
      <c r="P319" t="str">
        <f t="shared" si="11"/>
        <v>&lt;= 10000$</v>
      </c>
    </row>
    <row r="320" spans="1:16" hidden="1" x14ac:dyDescent="0.25">
      <c r="A320">
        <v>319</v>
      </c>
      <c r="B320" t="s">
        <v>86</v>
      </c>
      <c r="C320" t="s">
        <v>368</v>
      </c>
      <c r="D320" t="s">
        <v>26</v>
      </c>
      <c r="E320" t="s">
        <v>49</v>
      </c>
      <c r="F320" s="3">
        <v>300</v>
      </c>
      <c r="G320">
        <v>44</v>
      </c>
      <c r="H320">
        <v>15.6</v>
      </c>
      <c r="I320">
        <v>24</v>
      </c>
      <c r="J320" t="s">
        <v>19</v>
      </c>
      <c r="K320" t="s">
        <v>20</v>
      </c>
      <c r="L320" t="s">
        <v>45</v>
      </c>
      <c r="M320" s="3">
        <v>72</v>
      </c>
      <c r="N320" s="2">
        <v>8500</v>
      </c>
      <c r="O320" t="str">
        <f t="shared" si="10"/>
        <v>200-300</v>
      </c>
      <c r="P320" t="str">
        <f t="shared" si="11"/>
        <v>&lt;= 10000$</v>
      </c>
    </row>
    <row r="321" spans="1:16" hidden="1" x14ac:dyDescent="0.25">
      <c r="A321">
        <v>320</v>
      </c>
      <c r="B321" t="s">
        <v>86</v>
      </c>
      <c r="C321" t="s">
        <v>370</v>
      </c>
      <c r="D321" t="s">
        <v>32</v>
      </c>
      <c r="E321" t="s">
        <v>17</v>
      </c>
      <c r="F321" s="3">
        <v>300</v>
      </c>
      <c r="G321">
        <v>44</v>
      </c>
      <c r="H321">
        <v>15.65</v>
      </c>
      <c r="I321">
        <v>24</v>
      </c>
      <c r="J321" t="s">
        <v>19</v>
      </c>
      <c r="K321" t="s">
        <v>20</v>
      </c>
      <c r="L321" t="s">
        <v>21</v>
      </c>
      <c r="M321" s="3">
        <v>72</v>
      </c>
      <c r="N321" s="2">
        <v>8000</v>
      </c>
      <c r="O321" t="str">
        <f t="shared" si="10"/>
        <v>200-300</v>
      </c>
      <c r="P321" t="str">
        <f t="shared" si="11"/>
        <v>&lt;= 10000$</v>
      </c>
    </row>
    <row r="322" spans="1:16" hidden="1" x14ac:dyDescent="0.25">
      <c r="A322">
        <v>321</v>
      </c>
      <c r="B322" t="s">
        <v>86</v>
      </c>
      <c r="C322" t="s">
        <v>371</v>
      </c>
      <c r="D322" t="s">
        <v>32</v>
      </c>
      <c r="E322" t="s">
        <v>49</v>
      </c>
      <c r="F322" s="3">
        <v>100</v>
      </c>
      <c r="G322">
        <v>44</v>
      </c>
      <c r="H322">
        <v>13.05</v>
      </c>
      <c r="I322">
        <v>24</v>
      </c>
      <c r="J322" t="s">
        <v>19</v>
      </c>
      <c r="K322" t="s">
        <v>20</v>
      </c>
      <c r="L322" t="s">
        <v>45</v>
      </c>
      <c r="M322" s="3">
        <v>56</v>
      </c>
      <c r="N322" s="2">
        <v>7500</v>
      </c>
      <c r="O322" t="str">
        <f t="shared" si="10"/>
        <v>&lt;=100</v>
      </c>
      <c r="P322" t="str">
        <f t="shared" si="11"/>
        <v>&lt;= 10000$</v>
      </c>
    </row>
    <row r="323" spans="1:16" hidden="1" x14ac:dyDescent="0.25">
      <c r="A323">
        <v>322</v>
      </c>
      <c r="B323" t="s">
        <v>86</v>
      </c>
      <c r="C323" t="s">
        <v>372</v>
      </c>
      <c r="D323" t="s">
        <v>32</v>
      </c>
      <c r="E323" t="s">
        <v>17</v>
      </c>
      <c r="F323" s="3">
        <v>300</v>
      </c>
      <c r="G323">
        <v>42</v>
      </c>
      <c r="H323">
        <v>13.2</v>
      </c>
      <c r="I323">
        <v>22</v>
      </c>
      <c r="J323" t="s">
        <v>19</v>
      </c>
      <c r="K323" t="s">
        <v>20</v>
      </c>
      <c r="L323" t="s">
        <v>21</v>
      </c>
      <c r="M323" s="3">
        <v>72</v>
      </c>
      <c r="N323" s="2">
        <v>7500</v>
      </c>
      <c r="O323" t="str">
        <f t="shared" si="10"/>
        <v>200-300</v>
      </c>
      <c r="P323" t="str">
        <f t="shared" si="11"/>
        <v>&lt;= 10000$</v>
      </c>
    </row>
    <row r="324" spans="1:16" hidden="1" x14ac:dyDescent="0.25">
      <c r="A324">
        <v>323</v>
      </c>
      <c r="B324" t="s">
        <v>86</v>
      </c>
      <c r="C324" t="s">
        <v>368</v>
      </c>
      <c r="D324" t="s">
        <v>32</v>
      </c>
      <c r="E324" t="s">
        <v>17</v>
      </c>
      <c r="F324" s="3">
        <v>100</v>
      </c>
      <c r="G324">
        <v>44</v>
      </c>
      <c r="H324">
        <v>15.65</v>
      </c>
      <c r="I324">
        <v>24</v>
      </c>
      <c r="J324" t="s">
        <v>19</v>
      </c>
      <c r="K324" t="s">
        <v>20</v>
      </c>
      <c r="L324" t="s">
        <v>45</v>
      </c>
      <c r="M324" s="3">
        <v>72</v>
      </c>
      <c r="N324" s="2">
        <v>7500</v>
      </c>
      <c r="O324" t="str">
        <f t="shared" si="10"/>
        <v>&lt;=100</v>
      </c>
      <c r="P324" t="str">
        <f t="shared" si="11"/>
        <v>&lt;= 10000$</v>
      </c>
    </row>
    <row r="325" spans="1:16" hidden="1" x14ac:dyDescent="0.25">
      <c r="A325">
        <v>324</v>
      </c>
      <c r="B325" t="s">
        <v>86</v>
      </c>
      <c r="C325" t="s">
        <v>370</v>
      </c>
      <c r="D325" t="s">
        <v>32</v>
      </c>
      <c r="E325" t="s">
        <v>17</v>
      </c>
      <c r="F325" s="3">
        <v>300</v>
      </c>
      <c r="G325">
        <v>44</v>
      </c>
      <c r="H325">
        <v>15.65</v>
      </c>
      <c r="I325">
        <v>22</v>
      </c>
      <c r="J325" t="s">
        <v>19</v>
      </c>
      <c r="K325" t="s">
        <v>20</v>
      </c>
      <c r="L325" t="s">
        <v>68</v>
      </c>
      <c r="M325" s="3">
        <v>72</v>
      </c>
      <c r="N325" s="2">
        <v>7500</v>
      </c>
      <c r="O325" t="str">
        <f t="shared" si="10"/>
        <v>200-300</v>
      </c>
      <c r="P325" t="str">
        <f t="shared" si="11"/>
        <v>&lt;= 10000$</v>
      </c>
    </row>
    <row r="326" spans="1:16" hidden="1" x14ac:dyDescent="0.25">
      <c r="A326">
        <v>325</v>
      </c>
      <c r="B326" t="s">
        <v>86</v>
      </c>
      <c r="C326" t="s">
        <v>368</v>
      </c>
      <c r="D326" t="s">
        <v>26</v>
      </c>
      <c r="E326" t="s">
        <v>17</v>
      </c>
      <c r="F326" s="3">
        <v>300</v>
      </c>
      <c r="G326">
        <v>44</v>
      </c>
      <c r="H326">
        <v>13.05</v>
      </c>
      <c r="I326">
        <v>24</v>
      </c>
      <c r="J326" t="s">
        <v>19</v>
      </c>
      <c r="K326" t="s">
        <v>20</v>
      </c>
      <c r="L326" t="s">
        <v>238</v>
      </c>
      <c r="M326" s="3">
        <v>72</v>
      </c>
      <c r="N326" s="2">
        <v>7500</v>
      </c>
      <c r="O326" t="str">
        <f t="shared" si="10"/>
        <v>200-300</v>
      </c>
      <c r="P326" t="str">
        <f t="shared" si="11"/>
        <v>&lt;= 10000$</v>
      </c>
    </row>
    <row r="327" spans="1:16" hidden="1" x14ac:dyDescent="0.25">
      <c r="A327">
        <v>326</v>
      </c>
      <c r="B327" t="s">
        <v>86</v>
      </c>
      <c r="C327" t="s">
        <v>370</v>
      </c>
      <c r="D327" t="s">
        <v>32</v>
      </c>
      <c r="E327" t="s">
        <v>49</v>
      </c>
      <c r="F327" s="3">
        <v>300</v>
      </c>
      <c r="G327">
        <v>44</v>
      </c>
      <c r="H327">
        <v>15.65</v>
      </c>
      <c r="I327">
        <v>24</v>
      </c>
      <c r="J327" t="s">
        <v>19</v>
      </c>
      <c r="K327" t="s">
        <v>20</v>
      </c>
      <c r="L327" t="s">
        <v>45</v>
      </c>
      <c r="M327" s="3">
        <v>56</v>
      </c>
      <c r="N327" s="2">
        <v>7200</v>
      </c>
      <c r="O327" t="str">
        <f t="shared" si="10"/>
        <v>200-300</v>
      </c>
      <c r="P327" t="str">
        <f t="shared" si="11"/>
        <v>&lt;= 10000$</v>
      </c>
    </row>
    <row r="328" spans="1:16" hidden="1" x14ac:dyDescent="0.25">
      <c r="A328">
        <v>327</v>
      </c>
      <c r="B328" t="s">
        <v>86</v>
      </c>
      <c r="C328" t="s">
        <v>372</v>
      </c>
      <c r="D328" t="s">
        <v>32</v>
      </c>
      <c r="E328" t="s">
        <v>17</v>
      </c>
      <c r="F328" s="3">
        <v>300</v>
      </c>
      <c r="G328">
        <v>42</v>
      </c>
      <c r="H328">
        <v>14.5</v>
      </c>
      <c r="I328">
        <v>22</v>
      </c>
      <c r="J328" t="s">
        <v>19</v>
      </c>
      <c r="K328" t="s">
        <v>20</v>
      </c>
      <c r="L328" t="s">
        <v>21</v>
      </c>
      <c r="M328" s="3">
        <v>50</v>
      </c>
      <c r="N328" s="2">
        <v>7200</v>
      </c>
      <c r="O328" t="str">
        <f t="shared" si="10"/>
        <v>200-300</v>
      </c>
      <c r="P328" t="str">
        <f t="shared" si="11"/>
        <v>&lt;= 10000$</v>
      </c>
    </row>
    <row r="329" spans="1:16" hidden="1" x14ac:dyDescent="0.25">
      <c r="A329">
        <v>328</v>
      </c>
      <c r="B329" t="s">
        <v>86</v>
      </c>
      <c r="C329" t="s">
        <v>368</v>
      </c>
      <c r="D329" t="s">
        <v>32</v>
      </c>
      <c r="E329" t="s">
        <v>49</v>
      </c>
      <c r="F329" s="3">
        <v>100</v>
      </c>
      <c r="G329">
        <v>44</v>
      </c>
      <c r="H329">
        <v>13.05</v>
      </c>
      <c r="I329">
        <v>24</v>
      </c>
      <c r="J329" t="s">
        <v>19</v>
      </c>
      <c r="K329" t="s">
        <v>20</v>
      </c>
      <c r="L329" t="s">
        <v>45</v>
      </c>
      <c r="M329" s="3">
        <v>56</v>
      </c>
      <c r="N329" s="2">
        <v>6900</v>
      </c>
      <c r="O329" t="str">
        <f t="shared" si="10"/>
        <v>&lt;=100</v>
      </c>
      <c r="P329" t="str">
        <f t="shared" si="11"/>
        <v>&lt;= 10000$</v>
      </c>
    </row>
    <row r="330" spans="1:16" hidden="1" x14ac:dyDescent="0.25">
      <c r="A330">
        <v>329</v>
      </c>
      <c r="B330" t="s">
        <v>86</v>
      </c>
      <c r="C330" t="s">
        <v>373</v>
      </c>
      <c r="D330" t="s">
        <v>32</v>
      </c>
      <c r="E330" t="s">
        <v>17</v>
      </c>
      <c r="F330" s="3">
        <v>30</v>
      </c>
      <c r="G330">
        <v>38</v>
      </c>
      <c r="H330">
        <v>11.2</v>
      </c>
      <c r="I330">
        <v>20</v>
      </c>
      <c r="J330" t="s">
        <v>19</v>
      </c>
      <c r="K330" t="s">
        <v>20</v>
      </c>
      <c r="L330" t="s">
        <v>45</v>
      </c>
      <c r="M330" s="3">
        <v>72</v>
      </c>
      <c r="N330" s="2">
        <v>6500</v>
      </c>
      <c r="O330" t="str">
        <f t="shared" si="10"/>
        <v>&lt;=100</v>
      </c>
      <c r="P330" t="str">
        <f t="shared" si="11"/>
        <v>&lt;= 10000$</v>
      </c>
    </row>
    <row r="331" spans="1:16" hidden="1" x14ac:dyDescent="0.25">
      <c r="A331">
        <v>330</v>
      </c>
      <c r="B331" t="s">
        <v>86</v>
      </c>
      <c r="C331" t="s">
        <v>370</v>
      </c>
      <c r="D331" t="s">
        <v>32</v>
      </c>
      <c r="E331" t="s">
        <v>17</v>
      </c>
      <c r="F331" s="3">
        <v>300</v>
      </c>
      <c r="G331">
        <v>44</v>
      </c>
      <c r="H331">
        <v>13.05</v>
      </c>
      <c r="I331">
        <v>24</v>
      </c>
      <c r="J331" t="s">
        <v>19</v>
      </c>
      <c r="K331" t="s">
        <v>20</v>
      </c>
      <c r="L331" t="s">
        <v>45</v>
      </c>
      <c r="M331" s="3">
        <v>72</v>
      </c>
      <c r="N331" s="2">
        <v>6500</v>
      </c>
      <c r="O331" t="str">
        <f t="shared" si="10"/>
        <v>200-300</v>
      </c>
      <c r="P331" t="str">
        <f t="shared" si="11"/>
        <v>&lt;= 10000$</v>
      </c>
    </row>
    <row r="332" spans="1:16" hidden="1" x14ac:dyDescent="0.25">
      <c r="A332">
        <v>331</v>
      </c>
      <c r="B332" t="s">
        <v>86</v>
      </c>
      <c r="C332" t="s">
        <v>370</v>
      </c>
      <c r="D332" t="s">
        <v>32</v>
      </c>
      <c r="E332" t="s">
        <v>17</v>
      </c>
      <c r="F332" s="3">
        <v>300</v>
      </c>
      <c r="G332">
        <v>44</v>
      </c>
      <c r="H332">
        <v>15.65</v>
      </c>
      <c r="I332">
        <v>24</v>
      </c>
      <c r="J332" t="s">
        <v>19</v>
      </c>
      <c r="K332" t="s">
        <v>20</v>
      </c>
      <c r="L332" t="s">
        <v>21</v>
      </c>
      <c r="M332" s="3">
        <v>72</v>
      </c>
      <c r="N332" s="2">
        <v>6500</v>
      </c>
      <c r="O332" t="str">
        <f t="shared" si="10"/>
        <v>200-300</v>
      </c>
      <c r="P332" t="str">
        <f t="shared" si="11"/>
        <v>&lt;= 10000$</v>
      </c>
    </row>
    <row r="333" spans="1:16" hidden="1" x14ac:dyDescent="0.25">
      <c r="A333">
        <v>332</v>
      </c>
      <c r="B333" t="s">
        <v>86</v>
      </c>
      <c r="C333" t="s">
        <v>371</v>
      </c>
      <c r="D333" t="s">
        <v>32</v>
      </c>
      <c r="E333" t="s">
        <v>49</v>
      </c>
      <c r="F333" s="3">
        <v>100</v>
      </c>
      <c r="G333">
        <v>44</v>
      </c>
      <c r="H333">
        <v>13.05</v>
      </c>
      <c r="I333">
        <v>24</v>
      </c>
      <c r="J333" t="s">
        <v>19</v>
      </c>
      <c r="K333" t="s">
        <v>20</v>
      </c>
      <c r="L333" t="s">
        <v>45</v>
      </c>
      <c r="M333" s="3">
        <v>56</v>
      </c>
      <c r="N333" s="2">
        <v>6400</v>
      </c>
      <c r="O333" t="str">
        <f t="shared" si="10"/>
        <v>&lt;=100</v>
      </c>
      <c r="P333" t="str">
        <f t="shared" si="11"/>
        <v>&lt;= 10000$</v>
      </c>
    </row>
    <row r="334" spans="1:16" hidden="1" x14ac:dyDescent="0.25">
      <c r="A334">
        <v>333</v>
      </c>
      <c r="B334" t="s">
        <v>86</v>
      </c>
      <c r="C334" t="s">
        <v>374</v>
      </c>
      <c r="D334" t="s">
        <v>32</v>
      </c>
      <c r="E334" t="s">
        <v>49</v>
      </c>
      <c r="F334" s="3">
        <v>100</v>
      </c>
      <c r="G334">
        <v>44</v>
      </c>
      <c r="H334">
        <v>10.5</v>
      </c>
      <c r="I334">
        <v>24</v>
      </c>
      <c r="J334" t="s">
        <v>19</v>
      </c>
      <c r="K334" t="s">
        <v>20</v>
      </c>
      <c r="L334" t="s">
        <v>45</v>
      </c>
      <c r="M334" s="3">
        <v>56</v>
      </c>
      <c r="N334" s="2">
        <v>5800</v>
      </c>
      <c r="O334" t="str">
        <f t="shared" si="10"/>
        <v>&lt;=100</v>
      </c>
      <c r="P334" t="str">
        <f t="shared" si="11"/>
        <v>&lt;= 10000$</v>
      </c>
    </row>
    <row r="335" spans="1:16" hidden="1" x14ac:dyDescent="0.25">
      <c r="A335">
        <v>334</v>
      </c>
      <c r="B335" t="s">
        <v>86</v>
      </c>
      <c r="C335" t="s">
        <v>369</v>
      </c>
      <c r="D335" t="s">
        <v>32</v>
      </c>
      <c r="E335" t="s">
        <v>49</v>
      </c>
      <c r="F335" s="3">
        <v>300</v>
      </c>
      <c r="G335">
        <v>44</v>
      </c>
      <c r="H335">
        <v>13.05</v>
      </c>
      <c r="I335">
        <v>24</v>
      </c>
      <c r="J335" t="s">
        <v>19</v>
      </c>
      <c r="K335" t="s">
        <v>20</v>
      </c>
      <c r="L335" t="s">
        <v>45</v>
      </c>
      <c r="M335" s="3">
        <v>56</v>
      </c>
      <c r="N335" s="2">
        <v>5700</v>
      </c>
      <c r="O335" t="str">
        <f t="shared" si="10"/>
        <v>200-300</v>
      </c>
      <c r="P335" t="str">
        <f t="shared" si="11"/>
        <v>&lt;= 10000$</v>
      </c>
    </row>
    <row r="336" spans="1:16" hidden="1" x14ac:dyDescent="0.25">
      <c r="A336">
        <v>335</v>
      </c>
      <c r="B336" t="s">
        <v>86</v>
      </c>
      <c r="C336" t="s">
        <v>370</v>
      </c>
      <c r="D336" t="s">
        <v>32</v>
      </c>
      <c r="E336" t="s">
        <v>49</v>
      </c>
      <c r="F336" s="3">
        <v>300</v>
      </c>
      <c r="G336">
        <v>44</v>
      </c>
      <c r="H336">
        <v>13.05</v>
      </c>
      <c r="I336">
        <v>24</v>
      </c>
      <c r="J336" t="s">
        <v>19</v>
      </c>
      <c r="K336" t="s">
        <v>20</v>
      </c>
      <c r="L336" t="s">
        <v>45</v>
      </c>
      <c r="M336" s="3">
        <v>56</v>
      </c>
      <c r="N336" s="2">
        <v>5200</v>
      </c>
      <c r="O336" t="str">
        <f t="shared" si="10"/>
        <v>200-300</v>
      </c>
      <c r="P336" t="str">
        <f t="shared" si="11"/>
        <v>&lt;= 10000$</v>
      </c>
    </row>
    <row r="337" spans="1:16" hidden="1" x14ac:dyDescent="0.25">
      <c r="A337">
        <v>336</v>
      </c>
      <c r="B337" t="s">
        <v>86</v>
      </c>
      <c r="C337" t="s">
        <v>375</v>
      </c>
      <c r="D337" t="s">
        <v>32</v>
      </c>
      <c r="E337" t="s">
        <v>49</v>
      </c>
      <c r="F337" s="3">
        <v>100</v>
      </c>
      <c r="G337">
        <v>44</v>
      </c>
      <c r="H337">
        <v>10.5</v>
      </c>
      <c r="I337">
        <v>22</v>
      </c>
      <c r="J337" t="s">
        <v>19</v>
      </c>
      <c r="K337" t="s">
        <v>20</v>
      </c>
      <c r="L337" t="s">
        <v>45</v>
      </c>
      <c r="M337" s="3">
        <v>56</v>
      </c>
      <c r="N337" s="2">
        <v>3900</v>
      </c>
      <c r="O337" t="str">
        <f t="shared" si="10"/>
        <v>&lt;=100</v>
      </c>
      <c r="P337" t="str">
        <f t="shared" si="11"/>
        <v>&lt;=5000$</v>
      </c>
    </row>
    <row r="338" spans="1:16" hidden="1" x14ac:dyDescent="0.25">
      <c r="A338">
        <v>337</v>
      </c>
      <c r="B338" t="s">
        <v>135</v>
      </c>
      <c r="C338" t="s">
        <v>376</v>
      </c>
      <c r="D338" t="s">
        <v>16</v>
      </c>
      <c r="E338" t="s">
        <v>17</v>
      </c>
      <c r="F338" s="3">
        <v>120</v>
      </c>
      <c r="G338">
        <v>40.5</v>
      </c>
      <c r="H338">
        <v>8.3000000000000007</v>
      </c>
      <c r="I338">
        <v>22</v>
      </c>
      <c r="J338" t="s">
        <v>28</v>
      </c>
      <c r="K338" t="s">
        <v>20</v>
      </c>
      <c r="L338" t="s">
        <v>139</v>
      </c>
      <c r="M338" s="3">
        <v>45</v>
      </c>
      <c r="N338" s="2">
        <v>70000</v>
      </c>
      <c r="O338" t="str">
        <f t="shared" si="10"/>
        <v>100-200</v>
      </c>
      <c r="P338" t="str">
        <f t="shared" si="11"/>
        <v>40000$ +</v>
      </c>
    </row>
    <row r="339" spans="1:16" hidden="1" x14ac:dyDescent="0.25">
      <c r="A339">
        <v>338</v>
      </c>
      <c r="B339" t="s">
        <v>135</v>
      </c>
      <c r="C339" t="s">
        <v>376</v>
      </c>
      <c r="D339" t="s">
        <v>16</v>
      </c>
      <c r="E339" t="s">
        <v>17</v>
      </c>
      <c r="F339" s="3">
        <v>120</v>
      </c>
      <c r="G339">
        <v>40.5</v>
      </c>
      <c r="H339">
        <v>8.3000000000000007</v>
      </c>
      <c r="I339">
        <v>20</v>
      </c>
      <c r="J339" t="s">
        <v>28</v>
      </c>
      <c r="K339" t="s">
        <v>20</v>
      </c>
      <c r="L339" t="s">
        <v>148</v>
      </c>
      <c r="M339" s="3">
        <v>55</v>
      </c>
      <c r="N339" s="2">
        <v>67000</v>
      </c>
      <c r="O339" t="str">
        <f t="shared" si="10"/>
        <v>100-200</v>
      </c>
      <c r="P339" t="str">
        <f t="shared" si="11"/>
        <v>40000$ +</v>
      </c>
    </row>
    <row r="340" spans="1:16" hidden="1" x14ac:dyDescent="0.25">
      <c r="A340">
        <v>339</v>
      </c>
      <c r="B340" t="s">
        <v>135</v>
      </c>
      <c r="C340" t="s">
        <v>377</v>
      </c>
      <c r="D340" t="s">
        <v>16</v>
      </c>
      <c r="E340" t="s">
        <v>17</v>
      </c>
      <c r="F340" s="3">
        <v>120</v>
      </c>
      <c r="G340">
        <v>40.799999999999997</v>
      </c>
      <c r="H340">
        <v>8.3000000000000007</v>
      </c>
      <c r="I340">
        <v>21</v>
      </c>
      <c r="J340" t="s">
        <v>28</v>
      </c>
      <c r="K340" t="s">
        <v>20</v>
      </c>
      <c r="L340" t="s">
        <v>21</v>
      </c>
      <c r="M340" s="3">
        <v>45</v>
      </c>
      <c r="N340" s="2">
        <v>62500</v>
      </c>
      <c r="O340" t="str">
        <f t="shared" si="10"/>
        <v>100-200</v>
      </c>
      <c r="P340" t="str">
        <f t="shared" si="11"/>
        <v>40000$ +</v>
      </c>
    </row>
    <row r="341" spans="1:16" hidden="1" x14ac:dyDescent="0.25">
      <c r="A341">
        <v>340</v>
      </c>
      <c r="B341" t="s">
        <v>135</v>
      </c>
      <c r="C341" t="s">
        <v>377</v>
      </c>
      <c r="D341" t="s">
        <v>16</v>
      </c>
      <c r="E341" t="s">
        <v>17</v>
      </c>
      <c r="F341" s="3">
        <v>120</v>
      </c>
      <c r="G341">
        <v>40.799999999999997</v>
      </c>
      <c r="H341">
        <v>8.3000000000000007</v>
      </c>
      <c r="I341">
        <v>20</v>
      </c>
      <c r="J341" t="s">
        <v>28</v>
      </c>
      <c r="K341" t="s">
        <v>20</v>
      </c>
      <c r="L341" t="s">
        <v>21</v>
      </c>
      <c r="M341" s="3">
        <v>45</v>
      </c>
      <c r="N341" s="2">
        <v>57000</v>
      </c>
      <c r="O341" t="str">
        <f t="shared" si="10"/>
        <v>100-200</v>
      </c>
      <c r="P341" t="str">
        <f t="shared" si="11"/>
        <v>40000$ +</v>
      </c>
    </row>
    <row r="342" spans="1:16" hidden="1" x14ac:dyDescent="0.25">
      <c r="A342">
        <v>341</v>
      </c>
      <c r="B342" t="s">
        <v>135</v>
      </c>
      <c r="C342" t="s">
        <v>377</v>
      </c>
      <c r="D342" t="s">
        <v>16</v>
      </c>
      <c r="E342" t="s">
        <v>17</v>
      </c>
      <c r="F342" s="3">
        <v>120</v>
      </c>
      <c r="G342">
        <v>40.799999999999997</v>
      </c>
      <c r="H342">
        <v>8.3000000000000007</v>
      </c>
      <c r="I342">
        <v>20</v>
      </c>
      <c r="J342" t="s">
        <v>28</v>
      </c>
      <c r="K342" t="s">
        <v>20</v>
      </c>
      <c r="L342" t="s">
        <v>21</v>
      </c>
      <c r="M342" s="3">
        <v>45</v>
      </c>
      <c r="N342" s="2">
        <v>52000</v>
      </c>
      <c r="O342" t="str">
        <f t="shared" si="10"/>
        <v>100-200</v>
      </c>
      <c r="P342" t="str">
        <f t="shared" si="11"/>
        <v>40000$ +</v>
      </c>
    </row>
    <row r="343" spans="1:16" hidden="1" x14ac:dyDescent="0.25">
      <c r="A343">
        <v>342</v>
      </c>
      <c r="B343" t="s">
        <v>135</v>
      </c>
      <c r="C343" t="s">
        <v>377</v>
      </c>
      <c r="D343" t="s">
        <v>16</v>
      </c>
      <c r="E343" t="s">
        <v>17</v>
      </c>
      <c r="F343" s="3">
        <v>120</v>
      </c>
      <c r="G343">
        <v>40.799999999999997</v>
      </c>
      <c r="H343">
        <v>8.3000000000000007</v>
      </c>
      <c r="I343">
        <v>21</v>
      </c>
      <c r="J343" t="s">
        <v>28</v>
      </c>
      <c r="K343" t="s">
        <v>20</v>
      </c>
      <c r="L343" t="s">
        <v>21</v>
      </c>
      <c r="M343" s="3">
        <v>55</v>
      </c>
      <c r="N343" s="2">
        <v>51000</v>
      </c>
      <c r="O343" t="str">
        <f t="shared" si="10"/>
        <v>100-200</v>
      </c>
      <c r="P343" t="str">
        <f t="shared" si="11"/>
        <v>40000$ +</v>
      </c>
    </row>
    <row r="344" spans="1:16" hidden="1" x14ac:dyDescent="0.25">
      <c r="A344">
        <v>343</v>
      </c>
      <c r="B344" t="s">
        <v>135</v>
      </c>
      <c r="C344" t="s">
        <v>376</v>
      </c>
      <c r="D344" t="s">
        <v>16</v>
      </c>
      <c r="E344" t="s">
        <v>17</v>
      </c>
      <c r="F344" s="3">
        <v>120</v>
      </c>
      <c r="G344">
        <v>40.5</v>
      </c>
      <c r="H344">
        <v>8.3000000000000007</v>
      </c>
      <c r="I344">
        <v>22</v>
      </c>
      <c r="J344" t="s">
        <v>28</v>
      </c>
      <c r="K344" t="s">
        <v>20</v>
      </c>
      <c r="L344" t="s">
        <v>21</v>
      </c>
      <c r="M344" s="3">
        <v>45</v>
      </c>
      <c r="N344" s="2">
        <v>51000</v>
      </c>
      <c r="O344" t="str">
        <f t="shared" si="10"/>
        <v>100-200</v>
      </c>
      <c r="P344" t="str">
        <f t="shared" si="11"/>
        <v>40000$ +</v>
      </c>
    </row>
    <row r="345" spans="1:16" hidden="1" x14ac:dyDescent="0.25">
      <c r="A345">
        <v>344</v>
      </c>
      <c r="B345" t="s">
        <v>135</v>
      </c>
      <c r="C345" t="s">
        <v>376</v>
      </c>
      <c r="D345" t="s">
        <v>16</v>
      </c>
      <c r="E345" t="s">
        <v>17</v>
      </c>
      <c r="F345" s="3">
        <v>120</v>
      </c>
      <c r="G345">
        <v>40.5</v>
      </c>
      <c r="H345">
        <v>8.3000000000000007</v>
      </c>
      <c r="I345">
        <v>20</v>
      </c>
      <c r="J345" t="s">
        <v>28</v>
      </c>
      <c r="K345" t="s">
        <v>20</v>
      </c>
      <c r="L345" t="s">
        <v>21</v>
      </c>
      <c r="M345" s="3">
        <v>45</v>
      </c>
      <c r="N345" s="2">
        <v>49800</v>
      </c>
      <c r="O345" t="str">
        <f t="shared" si="10"/>
        <v>100-200</v>
      </c>
      <c r="P345" t="str">
        <f t="shared" si="11"/>
        <v>40000$ +</v>
      </c>
    </row>
    <row r="346" spans="1:16" hidden="1" x14ac:dyDescent="0.25">
      <c r="A346">
        <v>345</v>
      </c>
      <c r="B346" t="s">
        <v>135</v>
      </c>
      <c r="C346" t="s">
        <v>377</v>
      </c>
      <c r="D346" t="s">
        <v>16</v>
      </c>
      <c r="E346" t="s">
        <v>17</v>
      </c>
      <c r="F346" s="3">
        <v>120</v>
      </c>
      <c r="G346">
        <v>40.799999999999997</v>
      </c>
      <c r="H346">
        <v>8.3000000000000007</v>
      </c>
      <c r="I346">
        <v>20</v>
      </c>
      <c r="J346" t="s">
        <v>28</v>
      </c>
      <c r="K346" t="s">
        <v>20</v>
      </c>
      <c r="L346" t="s">
        <v>21</v>
      </c>
      <c r="M346" s="3">
        <v>45</v>
      </c>
      <c r="N346" s="2">
        <v>47000</v>
      </c>
      <c r="O346" t="str">
        <f t="shared" si="10"/>
        <v>100-200</v>
      </c>
      <c r="P346" t="str">
        <f t="shared" si="11"/>
        <v>40000$ +</v>
      </c>
    </row>
    <row r="347" spans="1:16" hidden="1" x14ac:dyDescent="0.25">
      <c r="A347">
        <v>346</v>
      </c>
      <c r="B347" t="s">
        <v>135</v>
      </c>
      <c r="C347" t="s">
        <v>377</v>
      </c>
      <c r="D347" t="s">
        <v>16</v>
      </c>
      <c r="E347" t="s">
        <v>17</v>
      </c>
      <c r="F347" s="3">
        <v>120</v>
      </c>
      <c r="G347">
        <v>40.799999999999997</v>
      </c>
      <c r="H347">
        <v>8.3000000000000007</v>
      </c>
      <c r="I347">
        <v>20</v>
      </c>
      <c r="J347" t="s">
        <v>28</v>
      </c>
      <c r="K347" t="s">
        <v>20</v>
      </c>
      <c r="L347" t="s">
        <v>139</v>
      </c>
      <c r="M347" s="3">
        <v>48</v>
      </c>
      <c r="N347" s="2">
        <v>44500</v>
      </c>
      <c r="O347" t="str">
        <f t="shared" si="10"/>
        <v>100-200</v>
      </c>
      <c r="P347" t="str">
        <f t="shared" si="11"/>
        <v>40000$ +</v>
      </c>
    </row>
    <row r="348" spans="1:16" hidden="1" x14ac:dyDescent="0.25">
      <c r="A348">
        <v>347</v>
      </c>
      <c r="B348" t="s">
        <v>135</v>
      </c>
      <c r="C348" t="s">
        <v>376</v>
      </c>
      <c r="D348" t="s">
        <v>16</v>
      </c>
      <c r="E348" t="s">
        <v>17</v>
      </c>
      <c r="F348" s="3">
        <v>120</v>
      </c>
      <c r="G348">
        <v>40.5</v>
      </c>
      <c r="H348">
        <v>8.3000000000000007</v>
      </c>
      <c r="I348">
        <v>20</v>
      </c>
      <c r="J348" t="s">
        <v>28</v>
      </c>
      <c r="K348" t="s">
        <v>20</v>
      </c>
      <c r="L348" t="s">
        <v>21</v>
      </c>
      <c r="M348" s="3">
        <v>55</v>
      </c>
      <c r="N348" s="2">
        <v>44000</v>
      </c>
      <c r="O348" t="str">
        <f t="shared" si="10"/>
        <v>100-200</v>
      </c>
      <c r="P348" t="str">
        <f t="shared" si="11"/>
        <v>40000$ +</v>
      </c>
    </row>
    <row r="349" spans="1:16" hidden="1" x14ac:dyDescent="0.25">
      <c r="A349">
        <v>348</v>
      </c>
      <c r="B349" t="s">
        <v>135</v>
      </c>
      <c r="C349" t="s">
        <v>376</v>
      </c>
      <c r="D349" t="s">
        <v>16</v>
      </c>
      <c r="E349" t="s">
        <v>17</v>
      </c>
      <c r="F349" s="3">
        <v>120</v>
      </c>
      <c r="G349">
        <v>40.5</v>
      </c>
      <c r="H349">
        <v>8.3000000000000007</v>
      </c>
      <c r="I349">
        <v>21</v>
      </c>
      <c r="J349" t="s">
        <v>28</v>
      </c>
      <c r="K349" t="s">
        <v>20</v>
      </c>
      <c r="L349" t="s">
        <v>21</v>
      </c>
      <c r="M349" s="3">
        <v>45</v>
      </c>
      <c r="N349" s="2">
        <v>40000</v>
      </c>
      <c r="O349" t="str">
        <f t="shared" si="10"/>
        <v>100-200</v>
      </c>
      <c r="P349" t="str">
        <f t="shared" si="11"/>
        <v>40000$ +</v>
      </c>
    </row>
    <row r="350" spans="1:16" hidden="1" x14ac:dyDescent="0.25">
      <c r="A350">
        <v>349</v>
      </c>
      <c r="B350" t="s">
        <v>135</v>
      </c>
      <c r="C350" t="s">
        <v>376</v>
      </c>
      <c r="D350" t="s">
        <v>16</v>
      </c>
      <c r="E350" t="s">
        <v>17</v>
      </c>
      <c r="F350" s="3">
        <v>120</v>
      </c>
      <c r="G350">
        <v>40.5</v>
      </c>
      <c r="H350">
        <v>8.3000000000000007</v>
      </c>
      <c r="I350">
        <v>20</v>
      </c>
      <c r="J350" t="s">
        <v>28</v>
      </c>
      <c r="K350" t="s">
        <v>20</v>
      </c>
      <c r="L350" t="s">
        <v>21</v>
      </c>
      <c r="M350" s="3">
        <v>45</v>
      </c>
      <c r="N350" s="2">
        <v>39000</v>
      </c>
      <c r="O350" t="str">
        <f t="shared" si="10"/>
        <v>100-200</v>
      </c>
      <c r="P350" t="str">
        <f t="shared" si="11"/>
        <v>&lt;= 40000$</v>
      </c>
    </row>
    <row r="351" spans="1:16" hidden="1" x14ac:dyDescent="0.25">
      <c r="A351">
        <v>350</v>
      </c>
      <c r="B351" t="s">
        <v>135</v>
      </c>
      <c r="C351" t="s">
        <v>377</v>
      </c>
      <c r="D351" t="s">
        <v>16</v>
      </c>
      <c r="E351" t="s">
        <v>17</v>
      </c>
      <c r="F351" s="3">
        <v>120</v>
      </c>
      <c r="G351">
        <v>40.799999999999997</v>
      </c>
      <c r="H351">
        <v>8.3000000000000007</v>
      </c>
      <c r="I351">
        <v>20</v>
      </c>
      <c r="J351" t="s">
        <v>28</v>
      </c>
      <c r="K351" t="s">
        <v>20</v>
      </c>
      <c r="L351" t="s">
        <v>167</v>
      </c>
      <c r="M351" s="3">
        <v>45</v>
      </c>
      <c r="N351" s="2">
        <v>38000</v>
      </c>
      <c r="O351" t="str">
        <f t="shared" si="10"/>
        <v>100-200</v>
      </c>
      <c r="P351" t="str">
        <f t="shared" si="11"/>
        <v>&lt;= 40000$</v>
      </c>
    </row>
    <row r="352" spans="1:16" hidden="1" x14ac:dyDescent="0.25">
      <c r="A352">
        <v>351</v>
      </c>
      <c r="B352" t="s">
        <v>135</v>
      </c>
      <c r="C352" t="s">
        <v>377</v>
      </c>
      <c r="D352" t="s">
        <v>16</v>
      </c>
      <c r="E352" t="s">
        <v>17</v>
      </c>
      <c r="F352" s="3">
        <v>120</v>
      </c>
      <c r="G352">
        <v>40.799999999999997</v>
      </c>
      <c r="H352">
        <v>8.3000000000000007</v>
      </c>
      <c r="I352">
        <v>20</v>
      </c>
      <c r="J352" t="s">
        <v>28</v>
      </c>
      <c r="K352" t="s">
        <v>20</v>
      </c>
      <c r="L352" t="s">
        <v>21</v>
      </c>
      <c r="M352" s="3">
        <v>45</v>
      </c>
      <c r="N352" s="2">
        <v>38000</v>
      </c>
      <c r="O352" t="str">
        <f t="shared" si="10"/>
        <v>100-200</v>
      </c>
      <c r="P352" t="str">
        <f t="shared" si="11"/>
        <v>&lt;= 40000$</v>
      </c>
    </row>
    <row r="353" spans="1:16" hidden="1" x14ac:dyDescent="0.25">
      <c r="A353">
        <v>352</v>
      </c>
      <c r="B353" t="s">
        <v>135</v>
      </c>
      <c r="C353" t="s">
        <v>378</v>
      </c>
      <c r="D353" t="s">
        <v>16</v>
      </c>
      <c r="E353" t="s">
        <v>17</v>
      </c>
      <c r="F353" s="3">
        <v>120</v>
      </c>
      <c r="G353">
        <v>40</v>
      </c>
      <c r="H353">
        <v>8.3000000000000007</v>
      </c>
      <c r="I353">
        <v>22</v>
      </c>
      <c r="J353" t="s">
        <v>28</v>
      </c>
      <c r="K353" t="s">
        <v>20</v>
      </c>
      <c r="L353" t="s">
        <v>21</v>
      </c>
      <c r="M353" s="3">
        <v>45</v>
      </c>
      <c r="N353" s="2">
        <v>36000</v>
      </c>
      <c r="O353" t="str">
        <f t="shared" si="10"/>
        <v>100-200</v>
      </c>
      <c r="P353" t="str">
        <f t="shared" si="11"/>
        <v>&lt;= 40000$</v>
      </c>
    </row>
    <row r="354" spans="1:16" hidden="1" x14ac:dyDescent="0.25">
      <c r="A354">
        <v>353</v>
      </c>
      <c r="B354" t="s">
        <v>135</v>
      </c>
      <c r="C354" t="s">
        <v>376</v>
      </c>
      <c r="D354" t="s">
        <v>16</v>
      </c>
      <c r="E354" t="s">
        <v>17</v>
      </c>
      <c r="F354" s="3">
        <v>120</v>
      </c>
      <c r="G354">
        <v>40.5</v>
      </c>
      <c r="H354">
        <v>8.3000000000000007</v>
      </c>
      <c r="I354">
        <v>20</v>
      </c>
      <c r="J354" t="s">
        <v>28</v>
      </c>
      <c r="K354" t="s">
        <v>20</v>
      </c>
      <c r="L354" t="s">
        <v>21</v>
      </c>
      <c r="M354" s="3">
        <v>45</v>
      </c>
      <c r="N354" s="2">
        <v>35000</v>
      </c>
      <c r="O354" t="str">
        <f t="shared" si="10"/>
        <v>100-200</v>
      </c>
      <c r="P354" t="str">
        <f t="shared" si="11"/>
        <v>&lt;= 40000$</v>
      </c>
    </row>
    <row r="355" spans="1:16" hidden="1" x14ac:dyDescent="0.25">
      <c r="A355">
        <v>354</v>
      </c>
      <c r="B355" t="s">
        <v>135</v>
      </c>
      <c r="C355" t="s">
        <v>376</v>
      </c>
      <c r="D355" t="s">
        <v>16</v>
      </c>
      <c r="E355" t="s">
        <v>17</v>
      </c>
      <c r="F355" s="3">
        <v>120</v>
      </c>
      <c r="G355">
        <v>40.5</v>
      </c>
      <c r="H355">
        <v>8.3000000000000007</v>
      </c>
      <c r="I355">
        <v>22</v>
      </c>
      <c r="J355" t="s">
        <v>28</v>
      </c>
      <c r="K355" t="s">
        <v>20</v>
      </c>
      <c r="L355" t="s">
        <v>21</v>
      </c>
      <c r="M355" s="3">
        <v>45</v>
      </c>
      <c r="N355" s="2">
        <v>34000</v>
      </c>
      <c r="O355" t="str">
        <f t="shared" si="10"/>
        <v>100-200</v>
      </c>
      <c r="P355" t="str">
        <f t="shared" si="11"/>
        <v>&lt;= 40000$</v>
      </c>
    </row>
    <row r="356" spans="1:16" hidden="1" x14ac:dyDescent="0.25">
      <c r="A356">
        <v>355</v>
      </c>
      <c r="B356" t="s">
        <v>135</v>
      </c>
      <c r="C356" t="s">
        <v>376</v>
      </c>
      <c r="D356" t="s">
        <v>16</v>
      </c>
      <c r="E356" t="s">
        <v>17</v>
      </c>
      <c r="F356" s="3">
        <v>120</v>
      </c>
      <c r="G356">
        <v>40.5</v>
      </c>
      <c r="H356">
        <v>8.3000000000000007</v>
      </c>
      <c r="I356">
        <v>22</v>
      </c>
      <c r="J356" t="s">
        <v>28</v>
      </c>
      <c r="K356" t="s">
        <v>20</v>
      </c>
      <c r="L356" t="s">
        <v>21</v>
      </c>
      <c r="M356" s="3">
        <v>45</v>
      </c>
      <c r="N356" s="2">
        <v>34000</v>
      </c>
      <c r="O356" t="str">
        <f t="shared" si="10"/>
        <v>100-200</v>
      </c>
      <c r="P356" t="str">
        <f t="shared" si="11"/>
        <v>&lt;= 40000$</v>
      </c>
    </row>
    <row r="357" spans="1:16" hidden="1" x14ac:dyDescent="0.25">
      <c r="A357">
        <v>356</v>
      </c>
      <c r="B357" t="s">
        <v>135</v>
      </c>
      <c r="C357" t="s">
        <v>376</v>
      </c>
      <c r="D357" t="s">
        <v>16</v>
      </c>
      <c r="E357" t="s">
        <v>17</v>
      </c>
      <c r="F357" s="3">
        <v>120</v>
      </c>
      <c r="G357">
        <v>40.5</v>
      </c>
      <c r="H357">
        <v>8.3000000000000007</v>
      </c>
      <c r="I357">
        <v>21</v>
      </c>
      <c r="J357" t="s">
        <v>28</v>
      </c>
      <c r="K357" t="s">
        <v>20</v>
      </c>
      <c r="L357" t="s">
        <v>21</v>
      </c>
      <c r="M357" s="3">
        <v>45</v>
      </c>
      <c r="N357" s="2">
        <v>34000</v>
      </c>
      <c r="O357" t="str">
        <f t="shared" si="10"/>
        <v>100-200</v>
      </c>
      <c r="P357" t="str">
        <f t="shared" si="11"/>
        <v>&lt;= 40000$</v>
      </c>
    </row>
    <row r="358" spans="1:16" hidden="1" x14ac:dyDescent="0.25">
      <c r="A358">
        <v>357</v>
      </c>
      <c r="B358" t="s">
        <v>135</v>
      </c>
      <c r="C358" t="s">
        <v>376</v>
      </c>
      <c r="D358" t="s">
        <v>16</v>
      </c>
      <c r="E358" t="s">
        <v>17</v>
      </c>
      <c r="F358" s="3">
        <v>120</v>
      </c>
      <c r="G358">
        <v>40.5</v>
      </c>
      <c r="H358">
        <v>8.3000000000000007</v>
      </c>
      <c r="I358">
        <v>20</v>
      </c>
      <c r="J358" t="s">
        <v>28</v>
      </c>
      <c r="K358" t="s">
        <v>20</v>
      </c>
      <c r="L358" t="s">
        <v>21</v>
      </c>
      <c r="M358" s="3">
        <v>45</v>
      </c>
      <c r="N358" s="2">
        <v>29800</v>
      </c>
      <c r="O358" t="str">
        <f t="shared" si="10"/>
        <v>100-200</v>
      </c>
      <c r="P358" t="str">
        <f t="shared" si="11"/>
        <v>&lt;= 40000$</v>
      </c>
    </row>
    <row r="359" spans="1:16" hidden="1" x14ac:dyDescent="0.25">
      <c r="A359">
        <v>358</v>
      </c>
      <c r="B359" t="s">
        <v>135</v>
      </c>
      <c r="C359" t="s">
        <v>376</v>
      </c>
      <c r="D359" t="s">
        <v>16</v>
      </c>
      <c r="E359" t="s">
        <v>17</v>
      </c>
      <c r="F359" s="3">
        <v>120</v>
      </c>
      <c r="G359">
        <v>40.5</v>
      </c>
      <c r="H359">
        <v>8.3000000000000007</v>
      </c>
      <c r="I359">
        <v>22</v>
      </c>
      <c r="J359" t="s">
        <v>28</v>
      </c>
      <c r="K359" t="s">
        <v>20</v>
      </c>
      <c r="L359" t="s">
        <v>21</v>
      </c>
      <c r="M359" s="3">
        <v>45</v>
      </c>
      <c r="N359" s="2">
        <v>29800</v>
      </c>
      <c r="O359" t="str">
        <f t="shared" si="10"/>
        <v>100-200</v>
      </c>
      <c r="P359" t="str">
        <f t="shared" si="11"/>
        <v>&lt;= 40000$</v>
      </c>
    </row>
    <row r="360" spans="1:16" hidden="1" x14ac:dyDescent="0.25">
      <c r="A360">
        <v>359</v>
      </c>
      <c r="B360" t="s">
        <v>135</v>
      </c>
      <c r="C360" t="s">
        <v>376</v>
      </c>
      <c r="D360" t="s">
        <v>16</v>
      </c>
      <c r="E360" t="s">
        <v>17</v>
      </c>
      <c r="F360" s="3">
        <v>120</v>
      </c>
      <c r="G360">
        <v>40.5</v>
      </c>
      <c r="H360">
        <v>8.3000000000000007</v>
      </c>
      <c r="I360">
        <v>21</v>
      </c>
      <c r="J360" t="s">
        <v>28</v>
      </c>
      <c r="K360" t="s">
        <v>20</v>
      </c>
      <c r="L360" t="s">
        <v>21</v>
      </c>
      <c r="M360" s="3">
        <v>45</v>
      </c>
      <c r="N360" s="2">
        <v>29800</v>
      </c>
      <c r="O360" t="str">
        <f t="shared" si="10"/>
        <v>100-200</v>
      </c>
      <c r="P360" t="str">
        <f t="shared" si="11"/>
        <v>&lt;= 40000$</v>
      </c>
    </row>
    <row r="361" spans="1:16" hidden="1" x14ac:dyDescent="0.25">
      <c r="A361">
        <v>360</v>
      </c>
      <c r="B361" t="s">
        <v>135</v>
      </c>
      <c r="C361" t="s">
        <v>377</v>
      </c>
      <c r="D361" t="s">
        <v>16</v>
      </c>
      <c r="E361" t="s">
        <v>17</v>
      </c>
      <c r="F361" s="3">
        <v>120</v>
      </c>
      <c r="G361">
        <v>40.799999999999997</v>
      </c>
      <c r="H361">
        <v>8.3000000000000007</v>
      </c>
      <c r="I361">
        <v>21</v>
      </c>
      <c r="J361" t="s">
        <v>28</v>
      </c>
      <c r="K361" t="s">
        <v>20</v>
      </c>
      <c r="L361" t="s">
        <v>21</v>
      </c>
      <c r="M361" s="3">
        <v>55</v>
      </c>
      <c r="N361" s="2">
        <v>29800</v>
      </c>
      <c r="O361" t="str">
        <f t="shared" si="10"/>
        <v>100-200</v>
      </c>
      <c r="P361" t="str">
        <f t="shared" si="11"/>
        <v>&lt;= 40000$</v>
      </c>
    </row>
    <row r="362" spans="1:16" hidden="1" x14ac:dyDescent="0.25">
      <c r="A362">
        <v>361</v>
      </c>
      <c r="B362" t="s">
        <v>135</v>
      </c>
      <c r="C362" t="s">
        <v>376</v>
      </c>
      <c r="D362" t="s">
        <v>16</v>
      </c>
      <c r="E362" t="s">
        <v>17</v>
      </c>
      <c r="F362" s="3">
        <v>120</v>
      </c>
      <c r="G362">
        <v>40.5</v>
      </c>
      <c r="H362">
        <v>8.3000000000000007</v>
      </c>
      <c r="I362">
        <v>22</v>
      </c>
      <c r="J362" t="s">
        <v>28</v>
      </c>
      <c r="K362" t="s">
        <v>20</v>
      </c>
      <c r="L362" t="s">
        <v>21</v>
      </c>
      <c r="M362" s="3">
        <v>45</v>
      </c>
      <c r="N362" s="2">
        <v>29000</v>
      </c>
      <c r="O362" t="str">
        <f t="shared" si="10"/>
        <v>100-200</v>
      </c>
      <c r="P362" t="str">
        <f t="shared" si="11"/>
        <v>&lt;= 40000$</v>
      </c>
    </row>
    <row r="363" spans="1:16" hidden="1" x14ac:dyDescent="0.25">
      <c r="A363">
        <v>362</v>
      </c>
      <c r="B363" t="s">
        <v>135</v>
      </c>
      <c r="C363" t="s">
        <v>378</v>
      </c>
      <c r="D363" t="s">
        <v>16</v>
      </c>
      <c r="E363" t="s">
        <v>17</v>
      </c>
      <c r="F363" s="3">
        <v>120</v>
      </c>
      <c r="G363">
        <v>40</v>
      </c>
      <c r="H363">
        <v>8.3000000000000007</v>
      </c>
      <c r="I363">
        <v>20</v>
      </c>
      <c r="J363" t="s">
        <v>28</v>
      </c>
      <c r="K363" t="s">
        <v>20</v>
      </c>
      <c r="L363" t="s">
        <v>21</v>
      </c>
      <c r="M363" s="3">
        <v>45</v>
      </c>
      <c r="N363" s="2">
        <v>26000</v>
      </c>
      <c r="O363" t="str">
        <f t="shared" si="10"/>
        <v>100-200</v>
      </c>
      <c r="P363" t="str">
        <f t="shared" si="11"/>
        <v>&lt;= 40000$</v>
      </c>
    </row>
    <row r="364" spans="1:16" hidden="1" x14ac:dyDescent="0.25">
      <c r="A364">
        <v>363</v>
      </c>
      <c r="B364" t="s">
        <v>135</v>
      </c>
      <c r="C364" t="s">
        <v>379</v>
      </c>
      <c r="D364" t="s">
        <v>32</v>
      </c>
      <c r="E364" t="s">
        <v>17</v>
      </c>
      <c r="F364" s="3">
        <v>30</v>
      </c>
      <c r="G364">
        <v>39</v>
      </c>
      <c r="H364">
        <v>8.25</v>
      </c>
      <c r="I364">
        <v>20</v>
      </c>
      <c r="J364" t="s">
        <v>44</v>
      </c>
      <c r="K364" t="s">
        <v>20</v>
      </c>
      <c r="L364" t="s">
        <v>45</v>
      </c>
      <c r="M364" s="3">
        <v>48</v>
      </c>
      <c r="N364" s="2">
        <v>25800</v>
      </c>
      <c r="O364" t="str">
        <f t="shared" si="10"/>
        <v>&lt;=100</v>
      </c>
      <c r="P364" t="str">
        <f t="shared" si="11"/>
        <v>&lt;= 40000$</v>
      </c>
    </row>
    <row r="365" spans="1:16" hidden="1" x14ac:dyDescent="0.25">
      <c r="A365">
        <v>364</v>
      </c>
      <c r="B365" t="s">
        <v>135</v>
      </c>
      <c r="C365" t="s">
        <v>380</v>
      </c>
      <c r="D365" t="s">
        <v>32</v>
      </c>
      <c r="E365" t="s">
        <v>49</v>
      </c>
      <c r="F365" s="3">
        <v>30</v>
      </c>
      <c r="G365">
        <v>37</v>
      </c>
      <c r="H365">
        <v>7.7</v>
      </c>
      <c r="I365">
        <v>20</v>
      </c>
      <c r="J365" t="s">
        <v>34</v>
      </c>
      <c r="K365" t="s">
        <v>20</v>
      </c>
      <c r="L365" t="s">
        <v>45</v>
      </c>
      <c r="M365" s="3">
        <v>44</v>
      </c>
      <c r="N365" s="2">
        <v>25000</v>
      </c>
      <c r="O365" t="str">
        <f t="shared" si="10"/>
        <v>&lt;=100</v>
      </c>
      <c r="P365" t="str">
        <f t="shared" si="11"/>
        <v>&lt;= 40000$</v>
      </c>
    </row>
    <row r="366" spans="1:16" hidden="1" x14ac:dyDescent="0.25">
      <c r="A366">
        <v>365</v>
      </c>
      <c r="B366" t="s">
        <v>135</v>
      </c>
      <c r="C366" t="s">
        <v>381</v>
      </c>
      <c r="D366" t="s">
        <v>32</v>
      </c>
      <c r="E366" t="s">
        <v>49</v>
      </c>
      <c r="F366" s="3">
        <v>30</v>
      </c>
      <c r="G366">
        <v>38</v>
      </c>
      <c r="H366">
        <v>8.25</v>
      </c>
      <c r="I366">
        <v>20</v>
      </c>
      <c r="J366" t="s">
        <v>34</v>
      </c>
      <c r="K366" t="s">
        <v>20</v>
      </c>
      <c r="L366" t="s">
        <v>45</v>
      </c>
      <c r="M366" s="3">
        <v>44</v>
      </c>
      <c r="N366" s="2">
        <v>25000</v>
      </c>
      <c r="O366" t="str">
        <f t="shared" si="10"/>
        <v>&lt;=100</v>
      </c>
      <c r="P366" t="str">
        <f t="shared" si="11"/>
        <v>&lt;= 40000$</v>
      </c>
    </row>
    <row r="367" spans="1:16" hidden="1" x14ac:dyDescent="0.25">
      <c r="A367">
        <v>366</v>
      </c>
      <c r="B367" t="s">
        <v>135</v>
      </c>
      <c r="C367" t="s">
        <v>380</v>
      </c>
      <c r="D367" t="s">
        <v>32</v>
      </c>
      <c r="E367" t="s">
        <v>17</v>
      </c>
      <c r="F367" s="3">
        <v>30</v>
      </c>
      <c r="G367">
        <v>37</v>
      </c>
      <c r="H367">
        <v>8.5</v>
      </c>
      <c r="I367">
        <v>18</v>
      </c>
      <c r="J367" t="s">
        <v>34</v>
      </c>
      <c r="K367" t="s">
        <v>20</v>
      </c>
      <c r="L367" t="s">
        <v>21</v>
      </c>
      <c r="M367" s="3">
        <v>45</v>
      </c>
      <c r="N367" s="2">
        <v>25000</v>
      </c>
      <c r="O367" t="str">
        <f t="shared" si="10"/>
        <v>&lt;=100</v>
      </c>
      <c r="P367" t="str">
        <f t="shared" si="11"/>
        <v>&lt;= 40000$</v>
      </c>
    </row>
    <row r="368" spans="1:16" hidden="1" x14ac:dyDescent="0.25">
      <c r="A368">
        <v>367</v>
      </c>
      <c r="B368" t="s">
        <v>135</v>
      </c>
      <c r="C368" t="s">
        <v>382</v>
      </c>
      <c r="D368" t="s">
        <v>32</v>
      </c>
      <c r="E368" t="s">
        <v>49</v>
      </c>
      <c r="F368" s="3">
        <v>30</v>
      </c>
      <c r="G368">
        <v>38</v>
      </c>
      <c r="H368">
        <v>7.68</v>
      </c>
      <c r="I368">
        <v>19</v>
      </c>
      <c r="J368" t="s">
        <v>34</v>
      </c>
      <c r="K368" t="s">
        <v>20</v>
      </c>
      <c r="L368" t="s">
        <v>45</v>
      </c>
      <c r="M368" s="3">
        <v>44</v>
      </c>
      <c r="N368" s="2">
        <v>22900</v>
      </c>
      <c r="O368" t="str">
        <f t="shared" si="10"/>
        <v>&lt;=100</v>
      </c>
      <c r="P368" t="str">
        <f t="shared" si="11"/>
        <v>&lt;= 40000$</v>
      </c>
    </row>
    <row r="369" spans="1:16" hidden="1" x14ac:dyDescent="0.25">
      <c r="A369">
        <v>368</v>
      </c>
      <c r="B369" t="s">
        <v>135</v>
      </c>
      <c r="C369" t="s">
        <v>383</v>
      </c>
      <c r="D369" t="s">
        <v>32</v>
      </c>
      <c r="E369" t="s">
        <v>17</v>
      </c>
      <c r="F369" s="3">
        <v>30</v>
      </c>
      <c r="G369">
        <v>39</v>
      </c>
      <c r="H369">
        <v>8.6</v>
      </c>
      <c r="I369">
        <v>20</v>
      </c>
      <c r="J369" t="s">
        <v>44</v>
      </c>
      <c r="K369" t="s">
        <v>20</v>
      </c>
      <c r="L369" t="s">
        <v>21</v>
      </c>
      <c r="M369" s="3">
        <v>48</v>
      </c>
      <c r="N369" s="2">
        <v>22000</v>
      </c>
      <c r="O369" t="str">
        <f t="shared" si="10"/>
        <v>&lt;=100</v>
      </c>
      <c r="P369" t="str">
        <f t="shared" si="11"/>
        <v>&lt;= 40000$</v>
      </c>
    </row>
    <row r="370" spans="1:16" hidden="1" x14ac:dyDescent="0.25">
      <c r="A370">
        <v>369</v>
      </c>
      <c r="B370" t="s">
        <v>135</v>
      </c>
      <c r="C370" t="s">
        <v>384</v>
      </c>
      <c r="D370" t="s">
        <v>32</v>
      </c>
      <c r="E370" t="s">
        <v>49</v>
      </c>
      <c r="F370" s="3">
        <v>30</v>
      </c>
      <c r="G370">
        <v>36</v>
      </c>
      <c r="H370">
        <v>7.45</v>
      </c>
      <c r="I370">
        <v>18</v>
      </c>
      <c r="J370" t="s">
        <v>34</v>
      </c>
      <c r="K370" t="s">
        <v>20</v>
      </c>
      <c r="L370" t="s">
        <v>45</v>
      </c>
      <c r="M370" s="3">
        <v>44</v>
      </c>
      <c r="N370" s="2">
        <v>18000</v>
      </c>
      <c r="O370" t="str">
        <f t="shared" si="10"/>
        <v>&lt;=100</v>
      </c>
      <c r="P370" t="str">
        <f t="shared" si="11"/>
        <v>&lt;= 20000$</v>
      </c>
    </row>
    <row r="371" spans="1:16" hidden="1" x14ac:dyDescent="0.25">
      <c r="A371">
        <v>370</v>
      </c>
      <c r="B371" t="s">
        <v>116</v>
      </c>
      <c r="C371" t="s">
        <v>385</v>
      </c>
      <c r="D371" t="s">
        <v>32</v>
      </c>
      <c r="E371" t="s">
        <v>49</v>
      </c>
      <c r="F371" s="3">
        <v>30</v>
      </c>
      <c r="G371">
        <v>40</v>
      </c>
      <c r="H371">
        <v>6.36</v>
      </c>
      <c r="I371">
        <v>20</v>
      </c>
      <c r="J371" t="s">
        <v>44</v>
      </c>
      <c r="K371" t="s">
        <v>20</v>
      </c>
      <c r="L371" t="s">
        <v>45</v>
      </c>
      <c r="M371" s="3">
        <v>44</v>
      </c>
      <c r="N371" s="2">
        <v>22000</v>
      </c>
      <c r="O371" t="str">
        <f t="shared" si="10"/>
        <v>&lt;=100</v>
      </c>
      <c r="P371" t="str">
        <f t="shared" si="11"/>
        <v>&lt;= 40000$</v>
      </c>
    </row>
    <row r="372" spans="1:16" hidden="1" x14ac:dyDescent="0.25">
      <c r="A372">
        <v>371</v>
      </c>
      <c r="B372" t="s">
        <v>116</v>
      </c>
      <c r="C372" t="s">
        <v>386</v>
      </c>
      <c r="D372" t="s">
        <v>32</v>
      </c>
      <c r="E372" t="s">
        <v>49</v>
      </c>
      <c r="F372" s="3">
        <v>30</v>
      </c>
      <c r="G372">
        <v>38</v>
      </c>
      <c r="H372">
        <v>6</v>
      </c>
      <c r="I372">
        <v>20</v>
      </c>
      <c r="J372" t="s">
        <v>34</v>
      </c>
      <c r="K372" t="s">
        <v>20</v>
      </c>
      <c r="L372" t="s">
        <v>45</v>
      </c>
      <c r="M372" s="3">
        <v>43</v>
      </c>
      <c r="N372" s="2">
        <v>20800</v>
      </c>
      <c r="O372" t="str">
        <f t="shared" si="10"/>
        <v>&lt;=100</v>
      </c>
      <c r="P372" t="str">
        <f t="shared" si="11"/>
        <v>&lt;= 40000$</v>
      </c>
    </row>
    <row r="373" spans="1:16" hidden="1" x14ac:dyDescent="0.25">
      <c r="A373">
        <v>372</v>
      </c>
      <c r="B373" t="s">
        <v>116</v>
      </c>
      <c r="C373" t="s">
        <v>387</v>
      </c>
      <c r="D373" t="s">
        <v>32</v>
      </c>
      <c r="E373" t="s">
        <v>49</v>
      </c>
      <c r="F373" s="3">
        <v>30</v>
      </c>
      <c r="G373">
        <v>40</v>
      </c>
      <c r="H373">
        <v>6.36</v>
      </c>
      <c r="I373">
        <v>20</v>
      </c>
      <c r="J373" t="s">
        <v>44</v>
      </c>
      <c r="K373" t="s">
        <v>20</v>
      </c>
      <c r="L373" t="s">
        <v>45</v>
      </c>
      <c r="M373" s="3">
        <v>43</v>
      </c>
      <c r="N373" s="2">
        <v>18500</v>
      </c>
      <c r="O373" t="str">
        <f t="shared" si="10"/>
        <v>&lt;=100</v>
      </c>
      <c r="P373" t="str">
        <f t="shared" si="11"/>
        <v>&lt;= 20000$</v>
      </c>
    </row>
    <row r="374" spans="1:16" hidden="1" x14ac:dyDescent="0.25">
      <c r="A374">
        <v>373</v>
      </c>
      <c r="B374" t="s">
        <v>116</v>
      </c>
      <c r="C374" t="s">
        <v>388</v>
      </c>
      <c r="D374" t="s">
        <v>32</v>
      </c>
      <c r="E374" t="s">
        <v>49</v>
      </c>
      <c r="F374" s="3">
        <v>30</v>
      </c>
      <c r="G374">
        <v>38</v>
      </c>
      <c r="H374">
        <v>6.1</v>
      </c>
      <c r="I374">
        <v>20</v>
      </c>
      <c r="J374" t="s">
        <v>44</v>
      </c>
      <c r="K374" t="s">
        <v>20</v>
      </c>
      <c r="L374" t="s">
        <v>45</v>
      </c>
      <c r="M374" s="3">
        <v>43</v>
      </c>
      <c r="N374" s="2">
        <v>16500</v>
      </c>
      <c r="O374" t="str">
        <f t="shared" si="10"/>
        <v>&lt;=100</v>
      </c>
      <c r="P374" t="str">
        <f t="shared" si="11"/>
        <v>&lt;= 20000$</v>
      </c>
    </row>
    <row r="375" spans="1:16" hidden="1" x14ac:dyDescent="0.25">
      <c r="A375">
        <v>374</v>
      </c>
      <c r="B375" t="s">
        <v>116</v>
      </c>
      <c r="C375" t="s">
        <v>389</v>
      </c>
      <c r="D375" t="s">
        <v>16</v>
      </c>
      <c r="E375" t="s">
        <v>17</v>
      </c>
      <c r="F375" s="3">
        <v>100</v>
      </c>
      <c r="G375">
        <v>42</v>
      </c>
      <c r="H375">
        <v>9.4</v>
      </c>
      <c r="I375">
        <v>22</v>
      </c>
      <c r="J375" t="s">
        <v>28</v>
      </c>
      <c r="K375" t="s">
        <v>20</v>
      </c>
      <c r="L375" t="s">
        <v>21</v>
      </c>
      <c r="M375" s="3">
        <v>44</v>
      </c>
      <c r="N375" s="2">
        <v>10500</v>
      </c>
      <c r="O375" t="str">
        <f t="shared" si="10"/>
        <v>&lt;=100</v>
      </c>
      <c r="P375" t="str">
        <f t="shared" si="11"/>
        <v>&lt;= 20000$</v>
      </c>
    </row>
    <row r="376" spans="1:16" hidden="1" x14ac:dyDescent="0.25">
      <c r="A376">
        <v>375</v>
      </c>
      <c r="B376" t="s">
        <v>116</v>
      </c>
      <c r="C376" t="s">
        <v>390</v>
      </c>
      <c r="D376" t="s">
        <v>16</v>
      </c>
      <c r="E376" t="s">
        <v>17</v>
      </c>
      <c r="F376" s="3">
        <v>100</v>
      </c>
      <c r="G376">
        <v>42</v>
      </c>
      <c r="H376">
        <v>9.4</v>
      </c>
      <c r="I376">
        <v>24</v>
      </c>
      <c r="J376" t="s">
        <v>28</v>
      </c>
      <c r="K376" t="s">
        <v>20</v>
      </c>
      <c r="L376" t="s">
        <v>21</v>
      </c>
      <c r="M376" s="3">
        <v>50</v>
      </c>
      <c r="N376" s="2">
        <v>10000</v>
      </c>
      <c r="O376" t="str">
        <f t="shared" si="10"/>
        <v>&lt;=100</v>
      </c>
      <c r="P376" t="str">
        <f t="shared" si="11"/>
        <v>&lt;= 10000$</v>
      </c>
    </row>
    <row r="377" spans="1:16" x14ac:dyDescent="0.25">
      <c r="A377">
        <v>138</v>
      </c>
      <c r="B377" t="s">
        <v>41</v>
      </c>
      <c r="C377" t="s">
        <v>303</v>
      </c>
      <c r="D377" t="s">
        <v>32</v>
      </c>
      <c r="E377" t="s">
        <v>43</v>
      </c>
      <c r="F377" s="3">
        <v>30</v>
      </c>
      <c r="G377">
        <v>38</v>
      </c>
      <c r="H377">
        <v>7.5</v>
      </c>
      <c r="I377">
        <v>18</v>
      </c>
      <c r="J377" t="s">
        <v>44</v>
      </c>
      <c r="K377" t="s">
        <v>20</v>
      </c>
      <c r="L377" t="s">
        <v>45</v>
      </c>
      <c r="M377" s="3" t="s">
        <v>46</v>
      </c>
      <c r="N377" s="2">
        <v>3500</v>
      </c>
      <c r="O377" t="str">
        <f t="shared" si="10"/>
        <v>&lt;=100</v>
      </c>
      <c r="P377" t="str">
        <f t="shared" si="11"/>
        <v>&lt;=5000$</v>
      </c>
    </row>
    <row r="378" spans="1:16" hidden="1" x14ac:dyDescent="0.25">
      <c r="A378">
        <v>377</v>
      </c>
      <c r="B378" t="s">
        <v>14</v>
      </c>
      <c r="C378" t="s">
        <v>392</v>
      </c>
      <c r="D378" t="s">
        <v>32</v>
      </c>
      <c r="E378" t="s">
        <v>17</v>
      </c>
      <c r="F378" s="3">
        <v>100</v>
      </c>
      <c r="G378">
        <v>40</v>
      </c>
      <c r="H378">
        <v>12.4</v>
      </c>
      <c r="I378">
        <v>20</v>
      </c>
      <c r="J378" t="s">
        <v>219</v>
      </c>
      <c r="K378" t="s">
        <v>20</v>
      </c>
      <c r="L378" t="s">
        <v>35</v>
      </c>
      <c r="M378" s="3">
        <v>72</v>
      </c>
      <c r="N378" s="2">
        <v>39500</v>
      </c>
      <c r="O378" t="str">
        <f t="shared" ref="O378:O425" si="12">IF($F378&lt;=100, "&lt;=100", IF($F378&lt;=200, "100-200", IF($F378&lt;=300, "200-300", IF($F378&lt;=500, "300-500", IF($F378&lt;1000, "500-1000", "1000+")))))</f>
        <v>&lt;=100</v>
      </c>
      <c r="P378" t="str">
        <f t="shared" ref="P378:P425" si="13">IF(N378&lt;=1000, "&lt;= 1000$", IF(N378&lt;=2000, " &lt;=2000$", IF(N378&lt;=5000, "&lt;=5000$", IF(N378&lt;=10000, "&lt;= 10000$", IF(N378&lt;=20000, "&lt;= 20000$", IF(N378&lt;40000, "&lt;= 40000$", "40000$ +"))))))</f>
        <v>&lt;= 40000$</v>
      </c>
    </row>
    <row r="379" spans="1:16" hidden="1" x14ac:dyDescent="0.25">
      <c r="A379">
        <v>378</v>
      </c>
      <c r="B379" t="s">
        <v>14</v>
      </c>
      <c r="C379" t="s">
        <v>393</v>
      </c>
      <c r="D379" t="s">
        <v>32</v>
      </c>
      <c r="E379" t="s">
        <v>17</v>
      </c>
      <c r="F379" s="3">
        <v>100</v>
      </c>
      <c r="G379">
        <v>40</v>
      </c>
      <c r="H379">
        <v>12.4</v>
      </c>
      <c r="I379">
        <v>20</v>
      </c>
      <c r="J379" t="s">
        <v>226</v>
      </c>
      <c r="K379" t="s">
        <v>20</v>
      </c>
      <c r="L379" t="s">
        <v>35</v>
      </c>
      <c r="M379" s="3">
        <v>72</v>
      </c>
      <c r="N379" s="2">
        <v>29500</v>
      </c>
      <c r="O379" t="str">
        <f t="shared" si="12"/>
        <v>&lt;=100</v>
      </c>
      <c r="P379" t="str">
        <f t="shared" si="13"/>
        <v>&lt;= 40000$</v>
      </c>
    </row>
    <row r="380" spans="1:16" hidden="1" x14ac:dyDescent="0.25">
      <c r="A380">
        <v>379</v>
      </c>
      <c r="B380" t="s">
        <v>14</v>
      </c>
      <c r="C380" t="s">
        <v>394</v>
      </c>
      <c r="D380" t="s">
        <v>16</v>
      </c>
      <c r="E380" t="s">
        <v>17</v>
      </c>
      <c r="F380" s="3">
        <v>100</v>
      </c>
      <c r="G380">
        <v>40</v>
      </c>
      <c r="H380">
        <v>12.5</v>
      </c>
      <c r="I380">
        <v>20</v>
      </c>
      <c r="J380" t="s">
        <v>19</v>
      </c>
      <c r="K380" t="s">
        <v>20</v>
      </c>
      <c r="L380" t="s">
        <v>92</v>
      </c>
      <c r="M380" s="3">
        <v>48</v>
      </c>
      <c r="N380" s="2">
        <v>14000</v>
      </c>
      <c r="O380" t="str">
        <f t="shared" si="12"/>
        <v>&lt;=100</v>
      </c>
      <c r="P380" t="str">
        <f t="shared" si="13"/>
        <v>&lt;= 20000$</v>
      </c>
    </row>
    <row r="381" spans="1:16" hidden="1" x14ac:dyDescent="0.25">
      <c r="A381">
        <v>380</v>
      </c>
      <c r="B381" t="s">
        <v>14</v>
      </c>
      <c r="C381" t="s">
        <v>395</v>
      </c>
      <c r="D381" t="s">
        <v>16</v>
      </c>
      <c r="E381" t="s">
        <v>17</v>
      </c>
      <c r="F381" s="3">
        <v>100</v>
      </c>
      <c r="G381">
        <v>40</v>
      </c>
      <c r="H381">
        <v>12.4</v>
      </c>
      <c r="I381">
        <v>20</v>
      </c>
      <c r="J381" t="s">
        <v>34</v>
      </c>
      <c r="K381" t="s">
        <v>20</v>
      </c>
      <c r="L381" t="s">
        <v>35</v>
      </c>
      <c r="M381" s="3">
        <v>72</v>
      </c>
      <c r="N381" s="2">
        <v>13500</v>
      </c>
      <c r="O381" t="str">
        <f t="shared" si="12"/>
        <v>&lt;=100</v>
      </c>
      <c r="P381" t="str">
        <f t="shared" si="13"/>
        <v>&lt;= 20000$</v>
      </c>
    </row>
    <row r="382" spans="1:16" hidden="1" x14ac:dyDescent="0.25">
      <c r="A382">
        <v>381</v>
      </c>
      <c r="B382" t="s">
        <v>14</v>
      </c>
      <c r="C382" t="s">
        <v>394</v>
      </c>
      <c r="D382" t="s">
        <v>16</v>
      </c>
      <c r="E382" t="s">
        <v>17</v>
      </c>
      <c r="F382" s="3">
        <v>100</v>
      </c>
      <c r="G382">
        <v>40</v>
      </c>
      <c r="H382">
        <v>12.5</v>
      </c>
      <c r="I382">
        <v>20</v>
      </c>
      <c r="J382" t="s">
        <v>19</v>
      </c>
      <c r="K382" t="s">
        <v>20</v>
      </c>
      <c r="L382" t="s">
        <v>185</v>
      </c>
      <c r="M382" s="3">
        <v>70</v>
      </c>
      <c r="N382" s="2">
        <v>9950</v>
      </c>
      <c r="O382" t="str">
        <f t="shared" si="12"/>
        <v>&lt;=100</v>
      </c>
      <c r="P382" t="str">
        <f t="shared" si="13"/>
        <v>&lt;= 10000$</v>
      </c>
    </row>
    <row r="383" spans="1:16" hidden="1" x14ac:dyDescent="0.25">
      <c r="A383">
        <v>382</v>
      </c>
      <c r="B383" t="s">
        <v>14</v>
      </c>
      <c r="C383" t="s">
        <v>394</v>
      </c>
      <c r="D383" t="s">
        <v>16</v>
      </c>
      <c r="E383" t="s">
        <v>17</v>
      </c>
      <c r="F383" s="3">
        <v>100</v>
      </c>
      <c r="G383">
        <v>40</v>
      </c>
      <c r="H383">
        <v>12.5</v>
      </c>
      <c r="I383">
        <v>20</v>
      </c>
      <c r="J383" t="s">
        <v>19</v>
      </c>
      <c r="K383" t="s">
        <v>20</v>
      </c>
      <c r="L383" t="s">
        <v>185</v>
      </c>
      <c r="M383" s="3">
        <v>70</v>
      </c>
      <c r="N383" s="2">
        <v>9900</v>
      </c>
      <c r="O383" t="str">
        <f t="shared" si="12"/>
        <v>&lt;=100</v>
      </c>
      <c r="P383" t="str">
        <f t="shared" si="13"/>
        <v>&lt;= 10000$</v>
      </c>
    </row>
    <row r="384" spans="1:16" hidden="1" x14ac:dyDescent="0.25">
      <c r="A384">
        <v>383</v>
      </c>
      <c r="B384" t="s">
        <v>14</v>
      </c>
      <c r="C384" t="s">
        <v>394</v>
      </c>
      <c r="D384" t="s">
        <v>16</v>
      </c>
      <c r="E384" t="s">
        <v>17</v>
      </c>
      <c r="F384" s="3">
        <v>100</v>
      </c>
      <c r="G384">
        <v>40</v>
      </c>
      <c r="H384">
        <v>12.5</v>
      </c>
      <c r="I384">
        <v>20</v>
      </c>
      <c r="J384" t="s">
        <v>19</v>
      </c>
      <c r="K384" t="s">
        <v>20</v>
      </c>
      <c r="L384" t="s">
        <v>68</v>
      </c>
      <c r="M384" s="3">
        <v>70</v>
      </c>
      <c r="N384" s="2">
        <v>9700</v>
      </c>
      <c r="O384" t="str">
        <f t="shared" si="12"/>
        <v>&lt;=100</v>
      </c>
      <c r="P384" t="str">
        <f t="shared" si="13"/>
        <v>&lt;= 10000$</v>
      </c>
    </row>
    <row r="385" spans="1:16" hidden="1" x14ac:dyDescent="0.25">
      <c r="A385">
        <v>384</v>
      </c>
      <c r="B385" t="s">
        <v>14</v>
      </c>
      <c r="C385" t="s">
        <v>396</v>
      </c>
      <c r="D385" t="s">
        <v>16</v>
      </c>
      <c r="E385" t="s">
        <v>17</v>
      </c>
      <c r="F385" s="3">
        <v>300</v>
      </c>
      <c r="G385">
        <v>40</v>
      </c>
      <c r="H385">
        <v>13</v>
      </c>
      <c r="I385">
        <v>20</v>
      </c>
      <c r="J385" t="s">
        <v>19</v>
      </c>
      <c r="K385" t="s">
        <v>20</v>
      </c>
      <c r="L385" t="s">
        <v>21</v>
      </c>
      <c r="M385" s="3">
        <v>48</v>
      </c>
      <c r="N385" s="2">
        <v>9500</v>
      </c>
      <c r="O385" t="str">
        <f t="shared" si="12"/>
        <v>200-300</v>
      </c>
      <c r="P385" t="str">
        <f t="shared" si="13"/>
        <v>&lt;= 10000$</v>
      </c>
    </row>
    <row r="386" spans="1:16" hidden="1" x14ac:dyDescent="0.25">
      <c r="A386">
        <v>385</v>
      </c>
      <c r="B386" t="s">
        <v>14</v>
      </c>
      <c r="C386" t="s">
        <v>396</v>
      </c>
      <c r="D386" t="s">
        <v>16</v>
      </c>
      <c r="E386" t="s">
        <v>17</v>
      </c>
      <c r="F386" s="3">
        <v>300</v>
      </c>
      <c r="G386">
        <v>40</v>
      </c>
      <c r="H386">
        <v>13</v>
      </c>
      <c r="I386">
        <v>20</v>
      </c>
      <c r="J386" t="s">
        <v>19</v>
      </c>
      <c r="K386" t="s">
        <v>20</v>
      </c>
      <c r="L386" t="s">
        <v>21</v>
      </c>
      <c r="M386" s="3">
        <v>48</v>
      </c>
      <c r="N386" s="2">
        <v>9500</v>
      </c>
      <c r="O386" t="str">
        <f t="shared" si="12"/>
        <v>200-300</v>
      </c>
      <c r="P386" t="str">
        <f t="shared" si="13"/>
        <v>&lt;= 10000$</v>
      </c>
    </row>
    <row r="387" spans="1:16" hidden="1" x14ac:dyDescent="0.25">
      <c r="A387">
        <v>386</v>
      </c>
      <c r="B387" t="s">
        <v>14</v>
      </c>
      <c r="C387" t="s">
        <v>394</v>
      </c>
      <c r="D387" t="s">
        <v>16</v>
      </c>
      <c r="E387" t="s">
        <v>17</v>
      </c>
      <c r="F387" s="3">
        <v>100</v>
      </c>
      <c r="G387">
        <v>40</v>
      </c>
      <c r="H387">
        <v>12.5</v>
      </c>
      <c r="I387">
        <v>20</v>
      </c>
      <c r="J387" t="s">
        <v>19</v>
      </c>
      <c r="K387" t="s">
        <v>20</v>
      </c>
      <c r="L387" t="s">
        <v>185</v>
      </c>
      <c r="M387" s="3">
        <v>70</v>
      </c>
      <c r="N387" s="2">
        <v>9500</v>
      </c>
      <c r="O387" t="str">
        <f t="shared" si="12"/>
        <v>&lt;=100</v>
      </c>
      <c r="P387" t="str">
        <f t="shared" si="13"/>
        <v>&lt;= 10000$</v>
      </c>
    </row>
    <row r="388" spans="1:16" hidden="1" x14ac:dyDescent="0.25">
      <c r="A388">
        <v>387</v>
      </c>
      <c r="B388" t="s">
        <v>14</v>
      </c>
      <c r="C388" t="s">
        <v>397</v>
      </c>
      <c r="D388" t="s">
        <v>209</v>
      </c>
      <c r="E388" t="s">
        <v>17</v>
      </c>
      <c r="F388" s="3">
        <v>100</v>
      </c>
      <c r="G388">
        <v>41</v>
      </c>
      <c r="H388">
        <v>11.8</v>
      </c>
      <c r="I388">
        <v>20</v>
      </c>
      <c r="J388" t="s">
        <v>28</v>
      </c>
      <c r="K388" t="s">
        <v>20</v>
      </c>
      <c r="L388" t="s">
        <v>21</v>
      </c>
      <c r="M388" s="3">
        <v>70</v>
      </c>
      <c r="N388" s="2">
        <v>9500</v>
      </c>
      <c r="O388" t="str">
        <f t="shared" si="12"/>
        <v>&lt;=100</v>
      </c>
      <c r="P388" t="str">
        <f t="shared" si="13"/>
        <v>&lt;= 10000$</v>
      </c>
    </row>
    <row r="389" spans="1:16" hidden="1" x14ac:dyDescent="0.25">
      <c r="A389">
        <v>388</v>
      </c>
      <c r="B389" t="s">
        <v>14</v>
      </c>
      <c r="C389" t="s">
        <v>394</v>
      </c>
      <c r="D389" t="s">
        <v>16</v>
      </c>
      <c r="E389" t="s">
        <v>17</v>
      </c>
      <c r="F389" s="3">
        <v>100</v>
      </c>
      <c r="G389">
        <v>40</v>
      </c>
      <c r="H389">
        <v>12.5</v>
      </c>
      <c r="I389">
        <v>20</v>
      </c>
      <c r="J389" t="s">
        <v>19</v>
      </c>
      <c r="K389" t="s">
        <v>20</v>
      </c>
      <c r="L389" t="s">
        <v>241</v>
      </c>
      <c r="M389" s="3">
        <v>70</v>
      </c>
      <c r="N389" s="2">
        <v>9500</v>
      </c>
      <c r="O389" t="str">
        <f t="shared" si="12"/>
        <v>&lt;=100</v>
      </c>
      <c r="P389" t="str">
        <f t="shared" si="13"/>
        <v>&lt;= 10000$</v>
      </c>
    </row>
    <row r="390" spans="1:16" hidden="1" x14ac:dyDescent="0.25">
      <c r="A390">
        <v>389</v>
      </c>
      <c r="B390" t="s">
        <v>14</v>
      </c>
      <c r="C390" t="s">
        <v>394</v>
      </c>
      <c r="D390" t="s">
        <v>16</v>
      </c>
      <c r="E390" t="s">
        <v>17</v>
      </c>
      <c r="F390" s="3">
        <v>100</v>
      </c>
      <c r="G390">
        <v>40</v>
      </c>
      <c r="H390">
        <v>12.1</v>
      </c>
      <c r="I390">
        <v>20</v>
      </c>
      <c r="J390" t="s">
        <v>19</v>
      </c>
      <c r="K390" t="s">
        <v>20</v>
      </c>
      <c r="L390" t="s">
        <v>185</v>
      </c>
      <c r="M390" s="3">
        <v>70</v>
      </c>
      <c r="N390" s="2">
        <v>9450</v>
      </c>
      <c r="O390" t="str">
        <f t="shared" si="12"/>
        <v>&lt;=100</v>
      </c>
      <c r="P390" t="str">
        <f t="shared" si="13"/>
        <v>&lt;= 10000$</v>
      </c>
    </row>
    <row r="391" spans="1:16" hidden="1" x14ac:dyDescent="0.25">
      <c r="A391">
        <v>390</v>
      </c>
      <c r="B391" t="s">
        <v>14</v>
      </c>
      <c r="C391" t="s">
        <v>394</v>
      </c>
      <c r="D391" t="s">
        <v>16</v>
      </c>
      <c r="E391" t="s">
        <v>17</v>
      </c>
      <c r="F391" s="3">
        <v>100</v>
      </c>
      <c r="G391">
        <v>40</v>
      </c>
      <c r="H391">
        <v>12.4</v>
      </c>
      <c r="I391">
        <v>20</v>
      </c>
      <c r="J391" t="s">
        <v>19</v>
      </c>
      <c r="K391" t="s">
        <v>20</v>
      </c>
      <c r="L391" t="s">
        <v>185</v>
      </c>
      <c r="M391" s="3">
        <v>70</v>
      </c>
      <c r="N391" s="2">
        <v>9100</v>
      </c>
      <c r="O391" t="str">
        <f t="shared" si="12"/>
        <v>&lt;=100</v>
      </c>
      <c r="P391" t="str">
        <f t="shared" si="13"/>
        <v>&lt;= 10000$</v>
      </c>
    </row>
    <row r="392" spans="1:16" hidden="1" x14ac:dyDescent="0.25">
      <c r="A392">
        <v>391</v>
      </c>
      <c r="B392" t="s">
        <v>14</v>
      </c>
      <c r="C392" t="s">
        <v>398</v>
      </c>
      <c r="D392" t="s">
        <v>104</v>
      </c>
      <c r="E392" t="s">
        <v>17</v>
      </c>
      <c r="F392" s="3">
        <v>100</v>
      </c>
      <c r="G392">
        <v>36</v>
      </c>
      <c r="H392">
        <v>12</v>
      </c>
      <c r="I392">
        <v>20</v>
      </c>
      <c r="J392" t="s">
        <v>44</v>
      </c>
      <c r="K392" t="s">
        <v>20</v>
      </c>
      <c r="L392" t="s">
        <v>21</v>
      </c>
      <c r="M392" s="3">
        <v>70</v>
      </c>
      <c r="N392" s="2">
        <v>9000</v>
      </c>
      <c r="O392" t="str">
        <f t="shared" si="12"/>
        <v>&lt;=100</v>
      </c>
      <c r="P392" t="str">
        <f t="shared" si="13"/>
        <v>&lt;= 10000$</v>
      </c>
    </row>
    <row r="393" spans="1:16" hidden="1" x14ac:dyDescent="0.25">
      <c r="A393">
        <v>392</v>
      </c>
      <c r="B393" t="s">
        <v>14</v>
      </c>
      <c r="C393" t="s">
        <v>397</v>
      </c>
      <c r="D393" t="s">
        <v>16</v>
      </c>
      <c r="E393" t="s">
        <v>17</v>
      </c>
      <c r="F393" s="3">
        <v>100</v>
      </c>
      <c r="G393">
        <v>41</v>
      </c>
      <c r="H393">
        <v>11.2</v>
      </c>
      <c r="I393">
        <v>20</v>
      </c>
      <c r="J393" t="s">
        <v>44</v>
      </c>
      <c r="K393" t="s">
        <v>20</v>
      </c>
      <c r="L393" t="s">
        <v>21</v>
      </c>
      <c r="M393" s="3">
        <v>70</v>
      </c>
      <c r="N393" s="2">
        <v>8900</v>
      </c>
      <c r="O393" t="str">
        <f t="shared" si="12"/>
        <v>&lt;=100</v>
      </c>
      <c r="P393" t="str">
        <f t="shared" si="13"/>
        <v>&lt;= 10000$</v>
      </c>
    </row>
    <row r="394" spans="1:16" hidden="1" x14ac:dyDescent="0.25">
      <c r="A394">
        <v>393</v>
      </c>
      <c r="B394" t="s">
        <v>14</v>
      </c>
      <c r="C394" t="s">
        <v>398</v>
      </c>
      <c r="D394" t="s">
        <v>209</v>
      </c>
      <c r="E394" t="s">
        <v>17</v>
      </c>
      <c r="F394" s="3">
        <v>100</v>
      </c>
      <c r="G394">
        <v>36</v>
      </c>
      <c r="H394">
        <v>12.5</v>
      </c>
      <c r="I394">
        <v>20</v>
      </c>
      <c r="J394" t="s">
        <v>44</v>
      </c>
      <c r="K394" t="s">
        <v>20</v>
      </c>
      <c r="L394" t="s">
        <v>21</v>
      </c>
      <c r="M394" s="3">
        <v>70</v>
      </c>
      <c r="N394" s="2">
        <v>8900</v>
      </c>
      <c r="O394" t="str">
        <f t="shared" si="12"/>
        <v>&lt;=100</v>
      </c>
      <c r="P394" t="str">
        <f t="shared" si="13"/>
        <v>&lt;= 10000$</v>
      </c>
    </row>
    <row r="395" spans="1:16" hidden="1" x14ac:dyDescent="0.25">
      <c r="A395">
        <v>394</v>
      </c>
      <c r="B395" t="s">
        <v>14</v>
      </c>
      <c r="C395" t="s">
        <v>397</v>
      </c>
      <c r="D395" t="s">
        <v>16</v>
      </c>
      <c r="E395" t="s">
        <v>17</v>
      </c>
      <c r="F395" s="3">
        <v>100</v>
      </c>
      <c r="G395">
        <v>41</v>
      </c>
      <c r="H395">
        <v>11.8</v>
      </c>
      <c r="I395">
        <v>20</v>
      </c>
      <c r="J395" t="s">
        <v>19</v>
      </c>
      <c r="K395" t="s">
        <v>20</v>
      </c>
      <c r="L395" t="s">
        <v>21</v>
      </c>
      <c r="M395" s="3">
        <v>70</v>
      </c>
      <c r="N395" s="2">
        <v>8200</v>
      </c>
      <c r="O395" t="str">
        <f t="shared" si="12"/>
        <v>&lt;=100</v>
      </c>
      <c r="P395" t="str">
        <f t="shared" si="13"/>
        <v>&lt;= 10000$</v>
      </c>
    </row>
    <row r="396" spans="1:16" hidden="1" x14ac:dyDescent="0.25">
      <c r="A396">
        <v>395</v>
      </c>
      <c r="B396" t="s">
        <v>14</v>
      </c>
      <c r="C396" t="s">
        <v>398</v>
      </c>
      <c r="D396" t="s">
        <v>16</v>
      </c>
      <c r="E396" t="s">
        <v>17</v>
      </c>
      <c r="F396" s="3">
        <v>100</v>
      </c>
      <c r="G396">
        <v>36</v>
      </c>
      <c r="H396">
        <v>12</v>
      </c>
      <c r="I396">
        <v>20</v>
      </c>
      <c r="J396" t="s">
        <v>19</v>
      </c>
      <c r="K396" t="s">
        <v>20</v>
      </c>
      <c r="L396" t="s">
        <v>21</v>
      </c>
      <c r="M396" s="3">
        <v>70</v>
      </c>
      <c r="N396" s="2">
        <v>8100</v>
      </c>
      <c r="O396" t="str">
        <f t="shared" si="12"/>
        <v>&lt;=100</v>
      </c>
      <c r="P396" t="str">
        <f t="shared" si="13"/>
        <v>&lt;= 10000$</v>
      </c>
    </row>
    <row r="397" spans="1:16" hidden="1" x14ac:dyDescent="0.25">
      <c r="A397">
        <v>396</v>
      </c>
      <c r="B397" t="s">
        <v>14</v>
      </c>
      <c r="C397" t="s">
        <v>398</v>
      </c>
      <c r="D397" t="s">
        <v>104</v>
      </c>
      <c r="E397" t="s">
        <v>17</v>
      </c>
      <c r="F397" s="3">
        <v>100</v>
      </c>
      <c r="G397">
        <v>36</v>
      </c>
      <c r="H397">
        <v>12.5</v>
      </c>
      <c r="I397">
        <v>20</v>
      </c>
      <c r="J397" t="s">
        <v>19</v>
      </c>
      <c r="K397" t="s">
        <v>20</v>
      </c>
      <c r="L397" t="s">
        <v>21</v>
      </c>
      <c r="M397" s="3">
        <v>70</v>
      </c>
      <c r="N397" s="2">
        <v>8000</v>
      </c>
      <c r="O397" t="str">
        <f t="shared" si="12"/>
        <v>&lt;=100</v>
      </c>
      <c r="P397" t="str">
        <f t="shared" si="13"/>
        <v>&lt;= 10000$</v>
      </c>
    </row>
    <row r="398" spans="1:16" hidden="1" x14ac:dyDescent="0.25">
      <c r="A398">
        <v>397</v>
      </c>
      <c r="B398" t="s">
        <v>14</v>
      </c>
      <c r="C398" t="s">
        <v>398</v>
      </c>
      <c r="D398" t="s">
        <v>16</v>
      </c>
      <c r="E398" t="s">
        <v>17</v>
      </c>
      <c r="F398" s="3">
        <v>100</v>
      </c>
      <c r="G398">
        <v>36</v>
      </c>
      <c r="H398">
        <v>12.5</v>
      </c>
      <c r="I398">
        <v>20</v>
      </c>
      <c r="J398" t="s">
        <v>44</v>
      </c>
      <c r="K398" t="s">
        <v>20</v>
      </c>
      <c r="L398" t="s">
        <v>236</v>
      </c>
      <c r="M398" s="3">
        <v>70</v>
      </c>
      <c r="N398" s="2">
        <v>8000</v>
      </c>
      <c r="O398" t="str">
        <f t="shared" si="12"/>
        <v>&lt;=100</v>
      </c>
      <c r="P398" t="str">
        <f t="shared" si="13"/>
        <v>&lt;= 10000$</v>
      </c>
    </row>
    <row r="399" spans="1:16" hidden="1" x14ac:dyDescent="0.25">
      <c r="A399">
        <v>398</v>
      </c>
      <c r="B399" t="s">
        <v>14</v>
      </c>
      <c r="C399" t="s">
        <v>397</v>
      </c>
      <c r="D399" t="s">
        <v>16</v>
      </c>
      <c r="E399" t="s">
        <v>17</v>
      </c>
      <c r="F399" s="3">
        <v>100</v>
      </c>
      <c r="G399">
        <v>41</v>
      </c>
      <c r="H399">
        <v>11.7</v>
      </c>
      <c r="I399">
        <v>20</v>
      </c>
      <c r="J399" t="s">
        <v>34</v>
      </c>
      <c r="K399" t="s">
        <v>20</v>
      </c>
      <c r="L399" t="s">
        <v>21</v>
      </c>
      <c r="M399" s="3">
        <v>70</v>
      </c>
      <c r="N399" s="2">
        <v>8000</v>
      </c>
      <c r="O399" t="str">
        <f t="shared" si="12"/>
        <v>&lt;=100</v>
      </c>
      <c r="P399" t="str">
        <f t="shared" si="13"/>
        <v>&lt;= 10000$</v>
      </c>
    </row>
    <row r="400" spans="1:16" hidden="1" x14ac:dyDescent="0.25">
      <c r="A400">
        <v>399</v>
      </c>
      <c r="B400" t="s">
        <v>14</v>
      </c>
      <c r="C400" t="s">
        <v>397</v>
      </c>
      <c r="D400" t="s">
        <v>16</v>
      </c>
      <c r="E400" t="s">
        <v>17</v>
      </c>
      <c r="F400" s="3">
        <v>100</v>
      </c>
      <c r="G400">
        <v>41</v>
      </c>
      <c r="H400">
        <v>11.8</v>
      </c>
      <c r="I400">
        <v>21</v>
      </c>
      <c r="J400" t="s">
        <v>28</v>
      </c>
      <c r="K400" t="s">
        <v>20</v>
      </c>
      <c r="L400" t="s">
        <v>21</v>
      </c>
      <c r="M400" s="3">
        <v>70</v>
      </c>
      <c r="N400" s="2">
        <v>7800</v>
      </c>
      <c r="O400" t="str">
        <f t="shared" si="12"/>
        <v>&lt;=100</v>
      </c>
      <c r="P400" t="str">
        <f t="shared" si="13"/>
        <v>&lt;= 10000$</v>
      </c>
    </row>
    <row r="401" spans="1:16" hidden="1" x14ac:dyDescent="0.25">
      <c r="A401">
        <v>400</v>
      </c>
      <c r="B401" t="s">
        <v>14</v>
      </c>
      <c r="C401" t="s">
        <v>398</v>
      </c>
      <c r="D401" t="s">
        <v>209</v>
      </c>
      <c r="E401" t="s">
        <v>17</v>
      </c>
      <c r="F401" s="3">
        <v>100</v>
      </c>
      <c r="G401">
        <v>36</v>
      </c>
      <c r="H401">
        <v>12</v>
      </c>
      <c r="I401">
        <v>20</v>
      </c>
      <c r="J401" t="s">
        <v>28</v>
      </c>
      <c r="K401" t="s">
        <v>20</v>
      </c>
      <c r="L401" t="s">
        <v>21</v>
      </c>
      <c r="M401" s="3">
        <v>70</v>
      </c>
      <c r="N401" s="2">
        <v>7650</v>
      </c>
      <c r="O401" t="str">
        <f t="shared" si="12"/>
        <v>&lt;=100</v>
      </c>
      <c r="P401" t="str">
        <f t="shared" si="13"/>
        <v>&lt;= 10000$</v>
      </c>
    </row>
    <row r="402" spans="1:16" hidden="1" x14ac:dyDescent="0.25">
      <c r="A402">
        <v>401</v>
      </c>
      <c r="B402" t="s">
        <v>14</v>
      </c>
      <c r="C402" t="s">
        <v>398</v>
      </c>
      <c r="D402" t="s">
        <v>16</v>
      </c>
      <c r="E402" t="s">
        <v>17</v>
      </c>
      <c r="F402" s="3">
        <v>100</v>
      </c>
      <c r="G402">
        <v>36</v>
      </c>
      <c r="H402">
        <v>12</v>
      </c>
      <c r="I402">
        <v>20</v>
      </c>
      <c r="J402" t="s">
        <v>44</v>
      </c>
      <c r="K402" t="s">
        <v>20</v>
      </c>
      <c r="L402" t="s">
        <v>21</v>
      </c>
      <c r="M402" s="3">
        <v>70</v>
      </c>
      <c r="N402" s="2">
        <v>7500</v>
      </c>
      <c r="O402" t="str">
        <f t="shared" si="12"/>
        <v>&lt;=100</v>
      </c>
      <c r="P402" t="str">
        <f t="shared" si="13"/>
        <v>&lt;= 10000$</v>
      </c>
    </row>
    <row r="403" spans="1:16" hidden="1" x14ac:dyDescent="0.25">
      <c r="A403">
        <v>402</v>
      </c>
      <c r="B403" t="s">
        <v>14</v>
      </c>
      <c r="C403" t="s">
        <v>398</v>
      </c>
      <c r="D403" t="s">
        <v>16</v>
      </c>
      <c r="E403" t="s">
        <v>17</v>
      </c>
      <c r="F403" s="3">
        <v>100</v>
      </c>
      <c r="G403">
        <v>36</v>
      </c>
      <c r="H403">
        <v>12.5</v>
      </c>
      <c r="I403">
        <v>20</v>
      </c>
      <c r="J403" t="s">
        <v>28</v>
      </c>
      <c r="K403" t="s">
        <v>20</v>
      </c>
      <c r="L403" t="s">
        <v>228</v>
      </c>
      <c r="M403" s="3">
        <v>70</v>
      </c>
      <c r="N403" s="2">
        <v>7400</v>
      </c>
      <c r="O403" t="str">
        <f t="shared" si="12"/>
        <v>&lt;=100</v>
      </c>
      <c r="P403" t="str">
        <f t="shared" si="13"/>
        <v>&lt;= 10000$</v>
      </c>
    </row>
    <row r="404" spans="1:16" hidden="1" x14ac:dyDescent="0.25">
      <c r="A404">
        <v>403</v>
      </c>
      <c r="B404" t="s">
        <v>14</v>
      </c>
      <c r="C404" t="s">
        <v>398</v>
      </c>
      <c r="D404" t="s">
        <v>16</v>
      </c>
      <c r="E404" t="s">
        <v>17</v>
      </c>
      <c r="F404" s="3">
        <v>100</v>
      </c>
      <c r="G404">
        <v>36</v>
      </c>
      <c r="H404">
        <v>12.5</v>
      </c>
      <c r="I404">
        <v>20</v>
      </c>
      <c r="J404" t="s">
        <v>19</v>
      </c>
      <c r="K404" t="s">
        <v>20</v>
      </c>
      <c r="L404" t="s">
        <v>21</v>
      </c>
      <c r="M404" s="3">
        <v>70</v>
      </c>
      <c r="N404" s="2">
        <v>6500</v>
      </c>
      <c r="O404" t="str">
        <f t="shared" si="12"/>
        <v>&lt;=100</v>
      </c>
      <c r="P404" t="str">
        <f t="shared" si="13"/>
        <v>&lt;= 10000$</v>
      </c>
    </row>
    <row r="405" spans="1:16" hidden="1" x14ac:dyDescent="0.25">
      <c r="A405">
        <v>404</v>
      </c>
      <c r="B405" t="s">
        <v>51</v>
      </c>
      <c r="C405" t="s">
        <v>399</v>
      </c>
      <c r="D405" t="s">
        <v>26</v>
      </c>
      <c r="E405" t="s">
        <v>17</v>
      </c>
      <c r="F405" s="3">
        <v>200</v>
      </c>
      <c r="G405">
        <v>44.3</v>
      </c>
      <c r="H405">
        <v>12.9</v>
      </c>
      <c r="I405">
        <v>20</v>
      </c>
      <c r="J405" t="s">
        <v>19</v>
      </c>
      <c r="K405" t="s">
        <v>20</v>
      </c>
      <c r="L405" t="s">
        <v>21</v>
      </c>
      <c r="M405" s="3">
        <v>50</v>
      </c>
      <c r="N405" s="2">
        <v>1400</v>
      </c>
      <c r="O405" t="str">
        <f t="shared" si="12"/>
        <v>100-200</v>
      </c>
      <c r="P405" t="str">
        <f t="shared" si="13"/>
        <v xml:space="preserve"> &lt;=2000$</v>
      </c>
    </row>
    <row r="406" spans="1:16" hidden="1" x14ac:dyDescent="0.25">
      <c r="A406">
        <v>405</v>
      </c>
      <c r="B406" t="s">
        <v>51</v>
      </c>
      <c r="C406" t="s">
        <v>400</v>
      </c>
      <c r="D406" t="s">
        <v>154</v>
      </c>
      <c r="E406" t="s">
        <v>17</v>
      </c>
      <c r="F406" s="3">
        <v>200</v>
      </c>
      <c r="G406">
        <v>43</v>
      </c>
      <c r="H406">
        <v>13.2</v>
      </c>
      <c r="I406">
        <v>22</v>
      </c>
      <c r="J406" t="s">
        <v>28</v>
      </c>
      <c r="K406" t="s">
        <v>155</v>
      </c>
      <c r="L406" t="s">
        <v>21</v>
      </c>
      <c r="M406" s="3">
        <v>50</v>
      </c>
      <c r="N406" s="2">
        <v>1300</v>
      </c>
      <c r="O406" t="str">
        <f t="shared" si="12"/>
        <v>100-200</v>
      </c>
      <c r="P406" t="str">
        <f t="shared" si="13"/>
        <v xml:space="preserve"> &lt;=2000$</v>
      </c>
    </row>
    <row r="407" spans="1:16" hidden="1" x14ac:dyDescent="0.25">
      <c r="A407">
        <v>406</v>
      </c>
      <c r="B407" t="s">
        <v>51</v>
      </c>
      <c r="C407" t="s">
        <v>399</v>
      </c>
      <c r="D407" t="s">
        <v>154</v>
      </c>
      <c r="E407" t="s">
        <v>17</v>
      </c>
      <c r="F407" s="3">
        <v>200</v>
      </c>
      <c r="G407">
        <v>44.3</v>
      </c>
      <c r="H407">
        <v>12.7</v>
      </c>
      <c r="I407">
        <v>20</v>
      </c>
      <c r="J407" t="s">
        <v>28</v>
      </c>
      <c r="K407" t="s">
        <v>20</v>
      </c>
      <c r="L407" t="s">
        <v>177</v>
      </c>
      <c r="M407" s="3">
        <v>41</v>
      </c>
      <c r="N407" s="2">
        <v>1200</v>
      </c>
      <c r="O407" t="str">
        <f t="shared" si="12"/>
        <v>100-200</v>
      </c>
      <c r="P407" t="str">
        <f t="shared" si="13"/>
        <v xml:space="preserve"> &lt;=2000$</v>
      </c>
    </row>
    <row r="408" spans="1:16" hidden="1" x14ac:dyDescent="0.25">
      <c r="A408">
        <v>407</v>
      </c>
      <c r="B408" t="s">
        <v>51</v>
      </c>
      <c r="C408" t="s">
        <v>399</v>
      </c>
      <c r="D408" t="s">
        <v>154</v>
      </c>
      <c r="E408" t="s">
        <v>17</v>
      </c>
      <c r="F408" s="3">
        <v>200</v>
      </c>
      <c r="G408">
        <v>44.3</v>
      </c>
      <c r="H408">
        <v>13.1</v>
      </c>
      <c r="I408">
        <v>22</v>
      </c>
      <c r="J408" t="s">
        <v>19</v>
      </c>
      <c r="K408" t="s">
        <v>155</v>
      </c>
      <c r="L408" t="s">
        <v>68</v>
      </c>
      <c r="M408" s="3">
        <v>50</v>
      </c>
      <c r="N408" s="2">
        <v>1200</v>
      </c>
      <c r="O408" t="str">
        <f t="shared" si="12"/>
        <v>100-200</v>
      </c>
      <c r="P408" t="str">
        <f t="shared" si="13"/>
        <v xml:space="preserve"> &lt;=2000$</v>
      </c>
    </row>
    <row r="409" spans="1:16" hidden="1" x14ac:dyDescent="0.25">
      <c r="A409">
        <v>408</v>
      </c>
      <c r="B409" t="s">
        <v>51</v>
      </c>
      <c r="C409" t="s">
        <v>401</v>
      </c>
      <c r="D409" t="s">
        <v>154</v>
      </c>
      <c r="E409" t="s">
        <v>17</v>
      </c>
      <c r="F409" s="3">
        <v>200</v>
      </c>
      <c r="G409">
        <v>42.3</v>
      </c>
      <c r="H409">
        <v>13.4</v>
      </c>
      <c r="I409">
        <v>22</v>
      </c>
      <c r="J409" t="s">
        <v>28</v>
      </c>
      <c r="K409" t="s">
        <v>155</v>
      </c>
      <c r="L409" t="s">
        <v>45</v>
      </c>
      <c r="M409" s="3">
        <v>50</v>
      </c>
      <c r="N409" s="2">
        <v>650</v>
      </c>
      <c r="O409" t="str">
        <f t="shared" si="12"/>
        <v>100-200</v>
      </c>
      <c r="P409" t="str">
        <f t="shared" si="13"/>
        <v>&lt;= 1000$</v>
      </c>
    </row>
    <row r="410" spans="1:16" hidden="1" x14ac:dyDescent="0.25">
      <c r="A410">
        <v>409</v>
      </c>
      <c r="B410" t="s">
        <v>71</v>
      </c>
      <c r="C410" t="s">
        <v>402</v>
      </c>
      <c r="D410" t="s">
        <v>154</v>
      </c>
      <c r="E410" t="s">
        <v>17</v>
      </c>
      <c r="F410" s="3">
        <v>500</v>
      </c>
      <c r="G410">
        <v>45</v>
      </c>
      <c r="H410">
        <v>14.7</v>
      </c>
      <c r="I410">
        <v>22</v>
      </c>
      <c r="J410" t="s">
        <v>19</v>
      </c>
      <c r="K410" t="s">
        <v>20</v>
      </c>
      <c r="L410" t="s">
        <v>45</v>
      </c>
      <c r="M410" s="3">
        <v>38</v>
      </c>
      <c r="N410" s="2">
        <v>3350</v>
      </c>
      <c r="O410" t="str">
        <f t="shared" si="12"/>
        <v>300-500</v>
      </c>
      <c r="P410" t="str">
        <f t="shared" si="13"/>
        <v>&lt;=5000$</v>
      </c>
    </row>
    <row r="411" spans="1:16" hidden="1" x14ac:dyDescent="0.25">
      <c r="A411">
        <v>410</v>
      </c>
      <c r="B411" t="s">
        <v>71</v>
      </c>
      <c r="C411" t="s">
        <v>403</v>
      </c>
      <c r="D411" t="s">
        <v>26</v>
      </c>
      <c r="E411" t="s">
        <v>17</v>
      </c>
      <c r="F411" s="3">
        <v>1000</v>
      </c>
      <c r="G411">
        <v>44</v>
      </c>
      <c r="H411">
        <v>14.3</v>
      </c>
      <c r="I411">
        <v>22</v>
      </c>
      <c r="J411" t="s">
        <v>19</v>
      </c>
      <c r="K411" t="s">
        <v>20</v>
      </c>
      <c r="L411" t="s">
        <v>45</v>
      </c>
      <c r="M411" s="3">
        <v>38</v>
      </c>
      <c r="N411" s="2">
        <v>2500</v>
      </c>
      <c r="O411" t="str">
        <f t="shared" si="12"/>
        <v>1000+</v>
      </c>
      <c r="P411" t="str">
        <f t="shared" si="13"/>
        <v>&lt;=5000$</v>
      </c>
    </row>
    <row r="412" spans="1:16" hidden="1" x14ac:dyDescent="0.25">
      <c r="A412">
        <v>411</v>
      </c>
      <c r="B412" t="s">
        <v>71</v>
      </c>
      <c r="C412" t="s">
        <v>404</v>
      </c>
      <c r="D412" t="s">
        <v>32</v>
      </c>
      <c r="E412" t="s">
        <v>17</v>
      </c>
      <c r="F412" s="3">
        <v>200</v>
      </c>
      <c r="G412">
        <v>41</v>
      </c>
      <c r="H412">
        <v>11.5</v>
      </c>
      <c r="I412">
        <v>20</v>
      </c>
      <c r="J412" t="s">
        <v>19</v>
      </c>
      <c r="K412" t="s">
        <v>20</v>
      </c>
      <c r="L412" t="s">
        <v>21</v>
      </c>
      <c r="M412" s="3">
        <v>42</v>
      </c>
      <c r="N412" s="2">
        <v>1400</v>
      </c>
      <c r="O412" t="str">
        <f t="shared" si="12"/>
        <v>100-200</v>
      </c>
      <c r="P412" t="str">
        <f t="shared" si="13"/>
        <v xml:space="preserve"> &lt;=2000$</v>
      </c>
    </row>
    <row r="413" spans="1:16" hidden="1" x14ac:dyDescent="0.25">
      <c r="A413">
        <v>412</v>
      </c>
      <c r="B413" t="s">
        <v>220</v>
      </c>
      <c r="C413" t="s">
        <v>405</v>
      </c>
      <c r="D413" t="s">
        <v>32</v>
      </c>
      <c r="E413" t="s">
        <v>17</v>
      </c>
      <c r="F413" s="3">
        <v>100</v>
      </c>
      <c r="G413">
        <v>39</v>
      </c>
      <c r="H413">
        <v>14</v>
      </c>
      <c r="I413">
        <v>22</v>
      </c>
      <c r="J413" t="s">
        <v>28</v>
      </c>
      <c r="K413" t="s">
        <v>20</v>
      </c>
      <c r="L413" t="s">
        <v>35</v>
      </c>
      <c r="M413" s="3">
        <v>42</v>
      </c>
      <c r="N413" s="2">
        <v>6550</v>
      </c>
      <c r="O413" t="str">
        <f t="shared" si="12"/>
        <v>&lt;=100</v>
      </c>
      <c r="P413" t="str">
        <f t="shared" si="13"/>
        <v>&lt;= 10000$</v>
      </c>
    </row>
    <row r="414" spans="1:16" hidden="1" x14ac:dyDescent="0.25">
      <c r="A414">
        <v>413</v>
      </c>
      <c r="B414" t="s">
        <v>30</v>
      </c>
      <c r="C414" t="s">
        <v>405</v>
      </c>
      <c r="D414" t="s">
        <v>32</v>
      </c>
      <c r="E414" t="s">
        <v>17</v>
      </c>
      <c r="F414" s="3">
        <v>100</v>
      </c>
      <c r="G414">
        <v>39</v>
      </c>
      <c r="H414">
        <v>14.5</v>
      </c>
      <c r="I414">
        <v>22</v>
      </c>
      <c r="J414" t="s">
        <v>28</v>
      </c>
      <c r="K414" t="s">
        <v>20</v>
      </c>
      <c r="L414" t="s">
        <v>35</v>
      </c>
      <c r="M414" s="3">
        <v>42</v>
      </c>
      <c r="N414" s="2">
        <v>5900</v>
      </c>
      <c r="O414" t="str">
        <f t="shared" si="12"/>
        <v>&lt;=100</v>
      </c>
      <c r="P414" t="str">
        <f t="shared" si="13"/>
        <v>&lt;= 10000$</v>
      </c>
    </row>
    <row r="415" spans="1:16" hidden="1" x14ac:dyDescent="0.25">
      <c r="A415">
        <v>414</v>
      </c>
      <c r="B415" t="s">
        <v>30</v>
      </c>
      <c r="C415" t="s">
        <v>405</v>
      </c>
      <c r="D415" t="s">
        <v>32</v>
      </c>
      <c r="E415" t="s">
        <v>17</v>
      </c>
      <c r="F415" s="3">
        <v>100</v>
      </c>
      <c r="G415">
        <v>39</v>
      </c>
      <c r="H415">
        <v>14.5</v>
      </c>
      <c r="I415">
        <v>22</v>
      </c>
      <c r="J415" t="s">
        <v>28</v>
      </c>
      <c r="K415" t="s">
        <v>20</v>
      </c>
      <c r="L415" t="s">
        <v>35</v>
      </c>
      <c r="M415" s="3">
        <v>40</v>
      </c>
      <c r="N415" s="2">
        <v>5200</v>
      </c>
      <c r="O415" t="str">
        <f t="shared" si="12"/>
        <v>&lt;=100</v>
      </c>
      <c r="P415" t="str">
        <f t="shared" si="13"/>
        <v>&lt;= 10000$</v>
      </c>
    </row>
    <row r="416" spans="1:16" hidden="1" x14ac:dyDescent="0.25">
      <c r="A416">
        <v>415</v>
      </c>
      <c r="B416" t="s">
        <v>30</v>
      </c>
      <c r="C416" t="s">
        <v>405</v>
      </c>
      <c r="D416" t="s">
        <v>32</v>
      </c>
      <c r="E416" t="s">
        <v>17</v>
      </c>
      <c r="F416" s="3">
        <v>100</v>
      </c>
      <c r="G416">
        <v>39</v>
      </c>
      <c r="H416">
        <v>14</v>
      </c>
      <c r="I416">
        <v>22</v>
      </c>
      <c r="J416" t="s">
        <v>28</v>
      </c>
      <c r="K416" t="s">
        <v>20</v>
      </c>
      <c r="L416" t="s">
        <v>35</v>
      </c>
      <c r="M416" s="3">
        <v>40</v>
      </c>
      <c r="N416" s="2">
        <v>4950</v>
      </c>
      <c r="O416" t="str">
        <f t="shared" si="12"/>
        <v>&lt;=100</v>
      </c>
      <c r="P416" t="str">
        <f t="shared" si="13"/>
        <v>&lt;=5000$</v>
      </c>
    </row>
    <row r="417" spans="1:16" hidden="1" x14ac:dyDescent="0.25">
      <c r="A417">
        <v>416</v>
      </c>
      <c r="B417" t="s">
        <v>30</v>
      </c>
      <c r="C417" t="s">
        <v>406</v>
      </c>
      <c r="D417" t="s">
        <v>32</v>
      </c>
      <c r="E417" t="s">
        <v>17</v>
      </c>
      <c r="F417" s="3">
        <v>100</v>
      </c>
      <c r="G417">
        <v>41</v>
      </c>
      <c r="H417">
        <v>13</v>
      </c>
      <c r="I417">
        <v>20</v>
      </c>
      <c r="J417" t="s">
        <v>34</v>
      </c>
      <c r="K417" t="s">
        <v>20</v>
      </c>
      <c r="L417" t="s">
        <v>35</v>
      </c>
      <c r="M417" s="3">
        <v>42</v>
      </c>
      <c r="N417" s="2">
        <v>4200</v>
      </c>
      <c r="O417" t="str">
        <f t="shared" si="12"/>
        <v>&lt;=100</v>
      </c>
      <c r="P417" t="str">
        <f t="shared" si="13"/>
        <v>&lt;=5000$</v>
      </c>
    </row>
    <row r="418" spans="1:16" hidden="1" x14ac:dyDescent="0.25">
      <c r="A418">
        <v>417</v>
      </c>
      <c r="B418" t="s">
        <v>30</v>
      </c>
      <c r="C418" t="s">
        <v>406</v>
      </c>
      <c r="D418" t="s">
        <v>32</v>
      </c>
      <c r="E418" t="s">
        <v>17</v>
      </c>
      <c r="F418" s="3">
        <v>100</v>
      </c>
      <c r="G418">
        <v>41</v>
      </c>
      <c r="H418">
        <v>13</v>
      </c>
      <c r="I418">
        <v>20</v>
      </c>
      <c r="J418" t="s">
        <v>34</v>
      </c>
      <c r="K418" t="s">
        <v>20</v>
      </c>
      <c r="L418" t="s">
        <v>35</v>
      </c>
      <c r="M418" s="3">
        <v>42</v>
      </c>
      <c r="N418" s="2">
        <v>4200</v>
      </c>
      <c r="O418" t="str">
        <f t="shared" si="12"/>
        <v>&lt;=100</v>
      </c>
      <c r="P418" t="str">
        <f t="shared" si="13"/>
        <v>&lt;=5000$</v>
      </c>
    </row>
    <row r="419" spans="1:16" hidden="1" x14ac:dyDescent="0.25">
      <c r="A419">
        <v>418</v>
      </c>
      <c r="B419" t="s">
        <v>30</v>
      </c>
      <c r="C419" t="s">
        <v>407</v>
      </c>
      <c r="D419" t="s">
        <v>16</v>
      </c>
      <c r="E419" t="s">
        <v>17</v>
      </c>
      <c r="F419" s="3">
        <v>300</v>
      </c>
      <c r="G419">
        <v>43</v>
      </c>
      <c r="H419">
        <v>13</v>
      </c>
      <c r="I419">
        <v>21</v>
      </c>
      <c r="J419" t="s">
        <v>28</v>
      </c>
      <c r="K419" t="s">
        <v>20</v>
      </c>
      <c r="L419" t="s">
        <v>21</v>
      </c>
      <c r="M419" s="3">
        <v>38</v>
      </c>
      <c r="N419" s="2">
        <v>3700</v>
      </c>
      <c r="O419" t="str">
        <f t="shared" si="12"/>
        <v>200-300</v>
      </c>
      <c r="P419" t="str">
        <f t="shared" si="13"/>
        <v>&lt;=5000$</v>
      </c>
    </row>
    <row r="420" spans="1:16" hidden="1" x14ac:dyDescent="0.25">
      <c r="A420">
        <v>419</v>
      </c>
      <c r="B420" t="s">
        <v>220</v>
      </c>
      <c r="C420" t="s">
        <v>407</v>
      </c>
      <c r="D420" t="s">
        <v>16</v>
      </c>
      <c r="E420" t="s">
        <v>17</v>
      </c>
      <c r="F420" s="3">
        <v>300</v>
      </c>
      <c r="G420">
        <v>43</v>
      </c>
      <c r="H420">
        <v>12.5</v>
      </c>
      <c r="I420">
        <v>21</v>
      </c>
      <c r="J420" t="s">
        <v>19</v>
      </c>
      <c r="K420" t="s">
        <v>20</v>
      </c>
      <c r="L420" t="s">
        <v>21</v>
      </c>
      <c r="M420" s="3">
        <v>38</v>
      </c>
      <c r="N420" s="2">
        <v>3100</v>
      </c>
      <c r="O420" t="str">
        <f t="shared" si="12"/>
        <v>200-300</v>
      </c>
      <c r="P420" t="str">
        <f t="shared" si="13"/>
        <v>&lt;=5000$</v>
      </c>
    </row>
    <row r="421" spans="1:16" hidden="1" x14ac:dyDescent="0.25">
      <c r="A421">
        <v>420</v>
      </c>
      <c r="B421" t="s">
        <v>30</v>
      </c>
      <c r="C421" t="s">
        <v>408</v>
      </c>
      <c r="D421" t="s">
        <v>16</v>
      </c>
      <c r="E421" t="s">
        <v>17</v>
      </c>
      <c r="F421" s="3">
        <v>300</v>
      </c>
      <c r="G421">
        <v>41</v>
      </c>
      <c r="H421">
        <v>12</v>
      </c>
      <c r="I421">
        <v>20</v>
      </c>
      <c r="J421" t="s">
        <v>28</v>
      </c>
      <c r="K421" t="s">
        <v>20</v>
      </c>
      <c r="L421" t="s">
        <v>21</v>
      </c>
      <c r="M421" s="3">
        <v>38</v>
      </c>
      <c r="N421" s="2">
        <v>2800</v>
      </c>
      <c r="O421" t="str">
        <f t="shared" si="12"/>
        <v>200-300</v>
      </c>
      <c r="P421" t="str">
        <f t="shared" si="13"/>
        <v>&lt;=5000$</v>
      </c>
    </row>
    <row r="422" spans="1:16" hidden="1" x14ac:dyDescent="0.25">
      <c r="A422">
        <v>421</v>
      </c>
      <c r="B422" t="s">
        <v>30</v>
      </c>
      <c r="C422" t="s">
        <v>408</v>
      </c>
      <c r="D422" t="s">
        <v>16</v>
      </c>
      <c r="E422" t="s">
        <v>17</v>
      </c>
      <c r="F422" s="3">
        <v>300</v>
      </c>
      <c r="G422">
        <v>41</v>
      </c>
      <c r="H422">
        <v>12.5</v>
      </c>
      <c r="I422">
        <v>20</v>
      </c>
      <c r="J422" t="s">
        <v>19</v>
      </c>
      <c r="K422" t="s">
        <v>20</v>
      </c>
      <c r="L422" t="s">
        <v>21</v>
      </c>
      <c r="M422" s="3">
        <v>38</v>
      </c>
      <c r="N422" s="2">
        <v>2700</v>
      </c>
      <c r="O422" t="str">
        <f t="shared" si="12"/>
        <v>200-300</v>
      </c>
      <c r="P422" t="str">
        <f t="shared" si="13"/>
        <v>&lt;=5000$</v>
      </c>
    </row>
    <row r="423" spans="1:16" x14ac:dyDescent="0.25">
      <c r="A423">
        <v>154</v>
      </c>
      <c r="B423" t="s">
        <v>126</v>
      </c>
      <c r="C423" t="s">
        <v>307</v>
      </c>
      <c r="D423" t="s">
        <v>32</v>
      </c>
      <c r="E423" t="s">
        <v>43</v>
      </c>
      <c r="F423" s="3">
        <v>30</v>
      </c>
      <c r="G423">
        <v>30</v>
      </c>
      <c r="H423">
        <v>10.5</v>
      </c>
      <c r="I423">
        <v>17</v>
      </c>
      <c r="J423" t="s">
        <v>34</v>
      </c>
      <c r="K423" t="s">
        <v>20</v>
      </c>
      <c r="L423" t="s">
        <v>45</v>
      </c>
      <c r="M423" s="3" t="s">
        <v>46</v>
      </c>
      <c r="N423" s="2">
        <v>5000</v>
      </c>
      <c r="O423" t="str">
        <f t="shared" si="12"/>
        <v>&lt;=100</v>
      </c>
      <c r="P423" t="str">
        <f t="shared" si="13"/>
        <v>&lt;=5000$</v>
      </c>
    </row>
    <row r="424" spans="1:16" x14ac:dyDescent="0.25">
      <c r="A424">
        <v>134</v>
      </c>
      <c r="B424" t="s">
        <v>41</v>
      </c>
      <c r="C424" t="s">
        <v>300</v>
      </c>
      <c r="D424" t="s">
        <v>32</v>
      </c>
      <c r="E424" t="s">
        <v>43</v>
      </c>
      <c r="F424" s="3">
        <v>30</v>
      </c>
      <c r="G424">
        <v>43.5</v>
      </c>
      <c r="H424">
        <v>7.3</v>
      </c>
      <c r="I424">
        <v>23</v>
      </c>
      <c r="J424" t="s">
        <v>44</v>
      </c>
      <c r="K424" t="s">
        <v>20</v>
      </c>
      <c r="L424" t="s">
        <v>45</v>
      </c>
      <c r="M424" s="3" t="s">
        <v>46</v>
      </c>
      <c r="N424" s="2">
        <v>5300</v>
      </c>
      <c r="O424" t="str">
        <f t="shared" si="12"/>
        <v>&lt;=100</v>
      </c>
      <c r="P424" t="str">
        <f t="shared" si="13"/>
        <v>&lt;= 10000$</v>
      </c>
    </row>
    <row r="425" spans="1:16" x14ac:dyDescent="0.25">
      <c r="A425">
        <v>151</v>
      </c>
      <c r="B425" t="s">
        <v>126</v>
      </c>
      <c r="C425" t="s">
        <v>307</v>
      </c>
      <c r="D425" t="s">
        <v>16</v>
      </c>
      <c r="E425" t="s">
        <v>43</v>
      </c>
      <c r="F425" s="3">
        <v>30</v>
      </c>
      <c r="G425">
        <v>30</v>
      </c>
      <c r="H425">
        <v>7.2</v>
      </c>
      <c r="I425">
        <v>15</v>
      </c>
      <c r="J425" t="s">
        <v>44</v>
      </c>
      <c r="K425" t="s">
        <v>20</v>
      </c>
      <c r="L425" t="s">
        <v>21</v>
      </c>
      <c r="M425" s="3" t="s">
        <v>46</v>
      </c>
      <c r="N425" s="2">
        <v>5800</v>
      </c>
      <c r="O425" t="str">
        <f t="shared" si="12"/>
        <v>&lt;=100</v>
      </c>
      <c r="P425" t="str">
        <f t="shared" si="13"/>
        <v>&lt;= 10000$</v>
      </c>
    </row>
    <row r="426" spans="1:16" hidden="1" x14ac:dyDescent="0.25">
      <c r="A426">
        <v>425</v>
      </c>
      <c r="B426" t="s">
        <v>56</v>
      </c>
      <c r="C426" t="s">
        <v>410</v>
      </c>
      <c r="D426" t="s">
        <v>32</v>
      </c>
      <c r="E426" t="s">
        <v>17</v>
      </c>
      <c r="F426" s="3">
        <v>30</v>
      </c>
      <c r="G426">
        <v>39.299999999999997</v>
      </c>
      <c r="H426">
        <v>9.75</v>
      </c>
      <c r="I426">
        <v>19</v>
      </c>
      <c r="J426" t="s">
        <v>34</v>
      </c>
      <c r="K426" t="s">
        <v>20</v>
      </c>
      <c r="L426" t="s">
        <v>21</v>
      </c>
      <c r="M426" s="3">
        <v>38</v>
      </c>
      <c r="N426" s="2">
        <v>650</v>
      </c>
      <c r="O426" t="str">
        <f t="shared" ref="O426:O450" si="14">IF($F426&lt;=100, "&lt;=100", IF($F426&lt;=200, "100-200", IF($F426&lt;=300, "200-300", IF($F426&lt;=500, "300-500", IF($F426&lt;1000, "500-1000", "1000+")))))</f>
        <v>&lt;=100</v>
      </c>
      <c r="P426" t="str">
        <f t="shared" ref="P426:P450" si="15">IF(N426&lt;=1000, "&lt;= 1000$", IF(N426&lt;=2000, " &lt;=2000$", IF(N426&lt;=5000, "&lt;=5000$", IF(N426&lt;=10000, "&lt;= 10000$", IF(N426&lt;=20000, "&lt;= 20000$", IF(N426&lt;40000, "&lt;= 40000$", "40000$ +"))))))</f>
        <v>&lt;= 1000$</v>
      </c>
    </row>
    <row r="427" spans="1:16" hidden="1" x14ac:dyDescent="0.25">
      <c r="A427">
        <v>426</v>
      </c>
      <c r="B427" t="s">
        <v>56</v>
      </c>
      <c r="C427" t="s">
        <v>410</v>
      </c>
      <c r="D427" t="s">
        <v>32</v>
      </c>
      <c r="E427" t="s">
        <v>17</v>
      </c>
      <c r="F427" s="3">
        <v>30</v>
      </c>
      <c r="G427">
        <v>39.299999999999997</v>
      </c>
      <c r="H427">
        <v>9.75</v>
      </c>
      <c r="I427">
        <v>20</v>
      </c>
      <c r="J427" t="s">
        <v>44</v>
      </c>
      <c r="K427" t="s">
        <v>20</v>
      </c>
      <c r="L427" t="s">
        <v>21</v>
      </c>
      <c r="M427" s="3">
        <v>38</v>
      </c>
      <c r="N427" s="2">
        <v>650</v>
      </c>
      <c r="O427" t="str">
        <f t="shared" si="14"/>
        <v>&lt;=100</v>
      </c>
      <c r="P427" t="str">
        <f t="shared" si="15"/>
        <v>&lt;= 1000$</v>
      </c>
    </row>
    <row r="428" spans="1:16" hidden="1" x14ac:dyDescent="0.25">
      <c r="A428">
        <v>427</v>
      </c>
      <c r="B428" t="s">
        <v>89</v>
      </c>
      <c r="C428" t="s">
        <v>411</v>
      </c>
      <c r="D428" t="s">
        <v>140</v>
      </c>
      <c r="E428" t="s">
        <v>17</v>
      </c>
      <c r="F428" s="3">
        <v>200</v>
      </c>
      <c r="G428">
        <v>41</v>
      </c>
      <c r="H428">
        <v>12.7</v>
      </c>
      <c r="I428">
        <v>22</v>
      </c>
      <c r="J428" t="s">
        <v>19</v>
      </c>
      <c r="K428" t="s">
        <v>20</v>
      </c>
      <c r="L428" t="s">
        <v>45</v>
      </c>
      <c r="M428" s="3">
        <v>70</v>
      </c>
      <c r="N428" s="2">
        <v>4500</v>
      </c>
      <c r="O428" t="str">
        <f t="shared" si="14"/>
        <v>100-200</v>
      </c>
      <c r="P428" t="str">
        <f t="shared" si="15"/>
        <v>&lt;=5000$</v>
      </c>
    </row>
    <row r="429" spans="1:16" hidden="1" x14ac:dyDescent="0.25">
      <c r="A429">
        <v>428</v>
      </c>
      <c r="B429" t="s">
        <v>89</v>
      </c>
      <c r="C429" t="s">
        <v>412</v>
      </c>
      <c r="D429" t="s">
        <v>16</v>
      </c>
      <c r="E429" t="s">
        <v>17</v>
      </c>
      <c r="F429" s="3">
        <v>200</v>
      </c>
      <c r="G429">
        <v>41</v>
      </c>
      <c r="H429">
        <v>14.5</v>
      </c>
      <c r="I429">
        <v>22</v>
      </c>
      <c r="J429" t="s">
        <v>19</v>
      </c>
      <c r="K429" t="s">
        <v>20</v>
      </c>
      <c r="L429" t="s">
        <v>92</v>
      </c>
      <c r="M429" s="3">
        <v>70</v>
      </c>
      <c r="N429" s="2">
        <v>4500</v>
      </c>
      <c r="O429" t="str">
        <f t="shared" si="14"/>
        <v>100-200</v>
      </c>
      <c r="P429" t="str">
        <f t="shared" si="15"/>
        <v>&lt;=5000$</v>
      </c>
    </row>
    <row r="430" spans="1:16" hidden="1" x14ac:dyDescent="0.25">
      <c r="A430">
        <v>429</v>
      </c>
      <c r="B430" t="s">
        <v>89</v>
      </c>
      <c r="C430" t="s">
        <v>411</v>
      </c>
      <c r="D430" t="s">
        <v>140</v>
      </c>
      <c r="E430" t="s">
        <v>17</v>
      </c>
      <c r="F430" s="3">
        <v>200</v>
      </c>
      <c r="G430">
        <v>41</v>
      </c>
      <c r="H430">
        <v>11.9</v>
      </c>
      <c r="I430">
        <v>22</v>
      </c>
      <c r="J430" t="s">
        <v>19</v>
      </c>
      <c r="K430" t="s">
        <v>20</v>
      </c>
      <c r="L430" t="s">
        <v>21</v>
      </c>
      <c r="M430" s="3">
        <v>70</v>
      </c>
      <c r="N430" s="2">
        <v>4100</v>
      </c>
      <c r="O430" t="str">
        <f t="shared" si="14"/>
        <v>100-200</v>
      </c>
      <c r="P430" t="str">
        <f t="shared" si="15"/>
        <v>&lt;=5000$</v>
      </c>
    </row>
    <row r="431" spans="1:16" hidden="1" x14ac:dyDescent="0.25">
      <c r="A431">
        <v>430</v>
      </c>
      <c r="B431" t="s">
        <v>89</v>
      </c>
      <c r="C431" t="s">
        <v>412</v>
      </c>
      <c r="D431" t="s">
        <v>16</v>
      </c>
      <c r="E431" t="s">
        <v>17</v>
      </c>
      <c r="F431" s="3">
        <v>200</v>
      </c>
      <c r="G431">
        <v>41</v>
      </c>
      <c r="H431">
        <v>14.5</v>
      </c>
      <c r="I431">
        <v>22</v>
      </c>
      <c r="J431" t="s">
        <v>19</v>
      </c>
      <c r="K431" t="s">
        <v>20</v>
      </c>
      <c r="L431" t="s">
        <v>92</v>
      </c>
      <c r="M431" s="3">
        <v>70</v>
      </c>
      <c r="N431" s="2">
        <v>4000</v>
      </c>
      <c r="O431" t="str">
        <f t="shared" si="14"/>
        <v>100-200</v>
      </c>
      <c r="P431" t="str">
        <f t="shared" si="15"/>
        <v>&lt;=5000$</v>
      </c>
    </row>
    <row r="432" spans="1:16" hidden="1" x14ac:dyDescent="0.25">
      <c r="A432">
        <v>431</v>
      </c>
      <c r="B432" t="s">
        <v>89</v>
      </c>
      <c r="C432" t="s">
        <v>411</v>
      </c>
      <c r="D432" t="s">
        <v>32</v>
      </c>
      <c r="E432" t="s">
        <v>17</v>
      </c>
      <c r="F432" s="3">
        <v>200</v>
      </c>
      <c r="G432">
        <v>41</v>
      </c>
      <c r="H432">
        <v>12.7</v>
      </c>
      <c r="I432">
        <v>22</v>
      </c>
      <c r="J432" t="s">
        <v>19</v>
      </c>
      <c r="K432" t="s">
        <v>20</v>
      </c>
      <c r="L432" t="s">
        <v>21</v>
      </c>
      <c r="M432" s="3">
        <v>70</v>
      </c>
      <c r="N432" s="2">
        <v>3900</v>
      </c>
      <c r="O432" t="str">
        <f t="shared" si="14"/>
        <v>100-200</v>
      </c>
      <c r="P432" t="str">
        <f t="shared" si="15"/>
        <v>&lt;=5000$</v>
      </c>
    </row>
    <row r="433" spans="1:16" hidden="1" x14ac:dyDescent="0.25">
      <c r="A433">
        <v>432</v>
      </c>
      <c r="B433" t="s">
        <v>89</v>
      </c>
      <c r="C433" t="s">
        <v>411</v>
      </c>
      <c r="D433" t="s">
        <v>32</v>
      </c>
      <c r="E433" t="s">
        <v>17</v>
      </c>
      <c r="F433" s="3">
        <v>200</v>
      </c>
      <c r="G433">
        <v>41</v>
      </c>
      <c r="H433">
        <v>12.7</v>
      </c>
      <c r="I433">
        <v>22</v>
      </c>
      <c r="J433" t="s">
        <v>19</v>
      </c>
      <c r="K433" t="s">
        <v>20</v>
      </c>
      <c r="L433" t="s">
        <v>21</v>
      </c>
      <c r="M433" s="3">
        <v>70</v>
      </c>
      <c r="N433" s="2">
        <v>3800</v>
      </c>
      <c r="O433" t="str">
        <f t="shared" si="14"/>
        <v>100-200</v>
      </c>
      <c r="P433" t="str">
        <f t="shared" si="15"/>
        <v>&lt;=5000$</v>
      </c>
    </row>
    <row r="434" spans="1:16" hidden="1" x14ac:dyDescent="0.25">
      <c r="A434">
        <v>433</v>
      </c>
      <c r="B434" t="s">
        <v>89</v>
      </c>
      <c r="C434" t="s">
        <v>411</v>
      </c>
      <c r="D434" t="s">
        <v>32</v>
      </c>
      <c r="E434" t="s">
        <v>17</v>
      </c>
      <c r="F434" s="3">
        <v>200</v>
      </c>
      <c r="G434">
        <v>41</v>
      </c>
      <c r="H434">
        <v>14.75</v>
      </c>
      <c r="I434">
        <v>22</v>
      </c>
      <c r="J434" t="s">
        <v>19</v>
      </c>
      <c r="K434" t="s">
        <v>20</v>
      </c>
      <c r="L434" t="s">
        <v>45</v>
      </c>
      <c r="M434" s="3">
        <v>70</v>
      </c>
      <c r="N434" s="2">
        <v>3800</v>
      </c>
      <c r="O434" t="str">
        <f t="shared" si="14"/>
        <v>100-200</v>
      </c>
      <c r="P434" t="str">
        <f t="shared" si="15"/>
        <v>&lt;=5000$</v>
      </c>
    </row>
    <row r="435" spans="1:16" hidden="1" x14ac:dyDescent="0.25">
      <c r="A435">
        <v>434</v>
      </c>
      <c r="B435" t="s">
        <v>89</v>
      </c>
      <c r="C435" t="s">
        <v>411</v>
      </c>
      <c r="D435" t="s">
        <v>32</v>
      </c>
      <c r="E435" t="s">
        <v>17</v>
      </c>
      <c r="F435" s="3">
        <v>200</v>
      </c>
      <c r="G435">
        <v>41</v>
      </c>
      <c r="H435">
        <v>12.7</v>
      </c>
      <c r="I435">
        <v>22</v>
      </c>
      <c r="J435" t="s">
        <v>19</v>
      </c>
      <c r="K435" t="s">
        <v>20</v>
      </c>
      <c r="L435" t="s">
        <v>21</v>
      </c>
      <c r="M435" s="3">
        <v>70</v>
      </c>
      <c r="N435" s="2">
        <v>3800</v>
      </c>
      <c r="O435" t="str">
        <f t="shared" si="14"/>
        <v>100-200</v>
      </c>
      <c r="P435" t="str">
        <f t="shared" si="15"/>
        <v>&lt;=5000$</v>
      </c>
    </row>
    <row r="436" spans="1:16" hidden="1" x14ac:dyDescent="0.25">
      <c r="A436">
        <v>435</v>
      </c>
      <c r="B436" t="s">
        <v>89</v>
      </c>
      <c r="C436" t="s">
        <v>411</v>
      </c>
      <c r="D436" t="s">
        <v>32</v>
      </c>
      <c r="E436" t="s">
        <v>17</v>
      </c>
      <c r="F436" s="3">
        <v>200</v>
      </c>
      <c r="G436">
        <v>41</v>
      </c>
      <c r="H436">
        <v>14.75</v>
      </c>
      <c r="I436">
        <v>22</v>
      </c>
      <c r="J436" t="s">
        <v>19</v>
      </c>
      <c r="K436" t="s">
        <v>20</v>
      </c>
      <c r="L436" t="s">
        <v>45</v>
      </c>
      <c r="M436" s="3">
        <v>70</v>
      </c>
      <c r="N436" s="2">
        <v>3800</v>
      </c>
      <c r="O436" t="str">
        <f t="shared" si="14"/>
        <v>100-200</v>
      </c>
      <c r="P436" t="str">
        <f t="shared" si="15"/>
        <v>&lt;=5000$</v>
      </c>
    </row>
    <row r="437" spans="1:16" hidden="1" x14ac:dyDescent="0.25">
      <c r="A437">
        <v>436</v>
      </c>
      <c r="B437" t="s">
        <v>89</v>
      </c>
      <c r="C437" t="s">
        <v>411</v>
      </c>
      <c r="D437" t="s">
        <v>32</v>
      </c>
      <c r="E437" t="s">
        <v>17</v>
      </c>
      <c r="F437" s="3">
        <v>200</v>
      </c>
      <c r="G437">
        <v>41</v>
      </c>
      <c r="H437">
        <v>12.7</v>
      </c>
      <c r="I437">
        <v>22</v>
      </c>
      <c r="J437" t="s">
        <v>19</v>
      </c>
      <c r="K437" t="s">
        <v>20</v>
      </c>
      <c r="L437" t="s">
        <v>21</v>
      </c>
      <c r="M437" s="3">
        <v>70</v>
      </c>
      <c r="N437" s="2">
        <v>3600</v>
      </c>
      <c r="O437" t="str">
        <f t="shared" si="14"/>
        <v>100-200</v>
      </c>
      <c r="P437" t="str">
        <f t="shared" si="15"/>
        <v>&lt;=5000$</v>
      </c>
    </row>
    <row r="438" spans="1:16" hidden="1" x14ac:dyDescent="0.25">
      <c r="A438">
        <v>437</v>
      </c>
      <c r="B438" t="s">
        <v>89</v>
      </c>
      <c r="C438" t="s">
        <v>411</v>
      </c>
      <c r="D438" t="s">
        <v>32</v>
      </c>
      <c r="E438" t="s">
        <v>17</v>
      </c>
      <c r="F438" s="3">
        <v>200</v>
      </c>
      <c r="G438">
        <v>41</v>
      </c>
      <c r="H438">
        <v>11.9</v>
      </c>
      <c r="I438">
        <v>22</v>
      </c>
      <c r="J438" t="s">
        <v>19</v>
      </c>
      <c r="K438" t="s">
        <v>20</v>
      </c>
      <c r="L438" t="s">
        <v>45</v>
      </c>
      <c r="M438" s="3">
        <v>70</v>
      </c>
      <c r="N438" s="2">
        <v>3500</v>
      </c>
      <c r="O438" t="str">
        <f t="shared" si="14"/>
        <v>100-200</v>
      </c>
      <c r="P438" t="str">
        <f t="shared" si="15"/>
        <v>&lt;=5000$</v>
      </c>
    </row>
    <row r="439" spans="1:16" hidden="1" x14ac:dyDescent="0.25">
      <c r="A439">
        <v>438</v>
      </c>
      <c r="B439" t="s">
        <v>89</v>
      </c>
      <c r="C439" t="s">
        <v>411</v>
      </c>
      <c r="D439" t="s">
        <v>32</v>
      </c>
      <c r="E439" t="s">
        <v>17</v>
      </c>
      <c r="F439" s="3">
        <v>200</v>
      </c>
      <c r="G439">
        <v>41</v>
      </c>
      <c r="H439">
        <v>12.75</v>
      </c>
      <c r="I439">
        <v>22</v>
      </c>
      <c r="J439" t="s">
        <v>19</v>
      </c>
      <c r="K439" t="s">
        <v>20</v>
      </c>
      <c r="L439" t="s">
        <v>21</v>
      </c>
      <c r="M439" s="3">
        <v>70</v>
      </c>
      <c r="N439" s="2">
        <v>3500</v>
      </c>
      <c r="O439" t="str">
        <f t="shared" si="14"/>
        <v>100-200</v>
      </c>
      <c r="P439" t="str">
        <f t="shared" si="15"/>
        <v>&lt;=5000$</v>
      </c>
    </row>
    <row r="440" spans="1:16" hidden="1" x14ac:dyDescent="0.25">
      <c r="A440">
        <v>439</v>
      </c>
      <c r="B440" t="s">
        <v>89</v>
      </c>
      <c r="C440" t="s">
        <v>411</v>
      </c>
      <c r="D440" t="s">
        <v>32</v>
      </c>
      <c r="E440" t="s">
        <v>17</v>
      </c>
      <c r="F440" s="3">
        <v>200</v>
      </c>
      <c r="G440">
        <v>41</v>
      </c>
      <c r="H440">
        <v>12.7</v>
      </c>
      <c r="I440">
        <v>22</v>
      </c>
      <c r="J440" t="s">
        <v>19</v>
      </c>
      <c r="K440" t="s">
        <v>20</v>
      </c>
      <c r="L440" t="s">
        <v>45</v>
      </c>
      <c r="M440" s="3">
        <v>70</v>
      </c>
      <c r="N440" s="2">
        <v>3500</v>
      </c>
      <c r="O440" t="str">
        <f t="shared" si="14"/>
        <v>100-200</v>
      </c>
      <c r="P440" t="str">
        <f t="shared" si="15"/>
        <v>&lt;=5000$</v>
      </c>
    </row>
    <row r="441" spans="1:16" hidden="1" x14ac:dyDescent="0.25">
      <c r="A441">
        <v>440</v>
      </c>
      <c r="B441" t="s">
        <v>89</v>
      </c>
      <c r="C441" t="s">
        <v>411</v>
      </c>
      <c r="D441" t="s">
        <v>205</v>
      </c>
      <c r="E441" t="s">
        <v>17</v>
      </c>
      <c r="F441" s="3">
        <v>200</v>
      </c>
      <c r="G441">
        <v>41</v>
      </c>
      <c r="H441">
        <v>11.9</v>
      </c>
      <c r="I441">
        <v>22</v>
      </c>
      <c r="J441" t="s">
        <v>19</v>
      </c>
      <c r="K441" t="s">
        <v>20</v>
      </c>
      <c r="L441" t="s">
        <v>45</v>
      </c>
      <c r="M441" s="3">
        <v>70</v>
      </c>
      <c r="N441" s="2">
        <v>3500</v>
      </c>
      <c r="O441" t="str">
        <f t="shared" si="14"/>
        <v>100-200</v>
      </c>
      <c r="P441" t="str">
        <f t="shared" si="15"/>
        <v>&lt;=5000$</v>
      </c>
    </row>
    <row r="442" spans="1:16" hidden="1" x14ac:dyDescent="0.25">
      <c r="A442">
        <v>441</v>
      </c>
      <c r="B442" t="s">
        <v>118</v>
      </c>
      <c r="C442" t="s">
        <v>413</v>
      </c>
      <c r="D442" t="s">
        <v>26</v>
      </c>
      <c r="E442" t="s">
        <v>17</v>
      </c>
      <c r="F442" s="3">
        <v>100</v>
      </c>
      <c r="G442">
        <v>44</v>
      </c>
      <c r="H442">
        <v>12.5</v>
      </c>
      <c r="I442">
        <v>22</v>
      </c>
      <c r="J442" t="s">
        <v>28</v>
      </c>
      <c r="K442" t="s">
        <v>20</v>
      </c>
      <c r="L442" t="s">
        <v>21</v>
      </c>
      <c r="M442" s="3">
        <v>60</v>
      </c>
      <c r="N442" s="2">
        <v>9500</v>
      </c>
      <c r="O442" t="str">
        <f t="shared" si="14"/>
        <v>&lt;=100</v>
      </c>
      <c r="P442" t="str">
        <f t="shared" si="15"/>
        <v>&lt;= 10000$</v>
      </c>
    </row>
    <row r="443" spans="1:16" hidden="1" x14ac:dyDescent="0.25">
      <c r="A443">
        <v>442</v>
      </c>
      <c r="B443" t="s">
        <v>118</v>
      </c>
      <c r="C443" t="s">
        <v>413</v>
      </c>
      <c r="D443" t="s">
        <v>26</v>
      </c>
      <c r="E443" t="s">
        <v>17</v>
      </c>
      <c r="F443" s="3">
        <v>300</v>
      </c>
      <c r="G443">
        <v>44</v>
      </c>
      <c r="H443">
        <v>12.5</v>
      </c>
      <c r="I443">
        <v>22</v>
      </c>
      <c r="J443" t="s">
        <v>19</v>
      </c>
      <c r="K443" t="s">
        <v>20</v>
      </c>
      <c r="L443" t="s">
        <v>21</v>
      </c>
      <c r="M443" s="3">
        <v>60</v>
      </c>
      <c r="N443" s="2">
        <v>9500</v>
      </c>
      <c r="O443" t="str">
        <f t="shared" si="14"/>
        <v>200-300</v>
      </c>
      <c r="P443" t="str">
        <f t="shared" si="15"/>
        <v>&lt;= 10000$</v>
      </c>
    </row>
    <row r="444" spans="1:16" hidden="1" x14ac:dyDescent="0.25">
      <c r="A444">
        <v>443</v>
      </c>
      <c r="B444" t="s">
        <v>118</v>
      </c>
      <c r="C444" t="s">
        <v>414</v>
      </c>
      <c r="D444" t="s">
        <v>26</v>
      </c>
      <c r="E444" t="s">
        <v>17</v>
      </c>
      <c r="F444" s="3">
        <v>300</v>
      </c>
      <c r="G444">
        <v>44</v>
      </c>
      <c r="H444">
        <v>14.5</v>
      </c>
      <c r="I444">
        <v>22</v>
      </c>
      <c r="J444" t="s">
        <v>28</v>
      </c>
      <c r="K444" t="s">
        <v>20</v>
      </c>
      <c r="L444" t="s">
        <v>21</v>
      </c>
      <c r="M444" s="3">
        <v>60</v>
      </c>
      <c r="N444" s="2">
        <v>9500</v>
      </c>
      <c r="O444" t="str">
        <f t="shared" si="14"/>
        <v>200-300</v>
      </c>
      <c r="P444" t="str">
        <f t="shared" si="15"/>
        <v>&lt;= 10000$</v>
      </c>
    </row>
    <row r="445" spans="1:16" hidden="1" x14ac:dyDescent="0.25">
      <c r="A445">
        <v>444</v>
      </c>
      <c r="B445" t="s">
        <v>118</v>
      </c>
      <c r="C445" t="s">
        <v>415</v>
      </c>
      <c r="D445" t="s">
        <v>26</v>
      </c>
      <c r="E445" t="s">
        <v>17</v>
      </c>
      <c r="F445" s="3">
        <v>100</v>
      </c>
      <c r="G445">
        <v>42.2</v>
      </c>
      <c r="H445">
        <v>12.6</v>
      </c>
      <c r="I445">
        <v>22</v>
      </c>
      <c r="J445" t="s">
        <v>28</v>
      </c>
      <c r="K445" t="s">
        <v>20</v>
      </c>
      <c r="L445" t="s">
        <v>21</v>
      </c>
      <c r="M445" s="3">
        <v>60</v>
      </c>
      <c r="N445" s="2">
        <v>8900</v>
      </c>
      <c r="O445" t="str">
        <f t="shared" si="14"/>
        <v>&lt;=100</v>
      </c>
      <c r="P445" t="str">
        <f t="shared" si="15"/>
        <v>&lt;= 10000$</v>
      </c>
    </row>
    <row r="446" spans="1:16" hidden="1" x14ac:dyDescent="0.25">
      <c r="A446">
        <v>445</v>
      </c>
      <c r="B446" t="s">
        <v>118</v>
      </c>
      <c r="C446" t="s">
        <v>416</v>
      </c>
      <c r="D446" t="s">
        <v>26</v>
      </c>
      <c r="E446" t="s">
        <v>17</v>
      </c>
      <c r="F446" s="3">
        <v>100</v>
      </c>
      <c r="G446">
        <v>42</v>
      </c>
      <c r="H446">
        <v>12.8</v>
      </c>
      <c r="I446">
        <v>22</v>
      </c>
      <c r="J446" t="s">
        <v>28</v>
      </c>
      <c r="K446" t="s">
        <v>20</v>
      </c>
      <c r="L446" t="s">
        <v>21</v>
      </c>
      <c r="M446" s="3">
        <v>60</v>
      </c>
      <c r="N446" s="2">
        <v>8500</v>
      </c>
      <c r="O446" t="str">
        <f t="shared" si="14"/>
        <v>&lt;=100</v>
      </c>
      <c r="P446" t="str">
        <f t="shared" si="15"/>
        <v>&lt;= 10000$</v>
      </c>
    </row>
    <row r="447" spans="1:16" hidden="1" x14ac:dyDescent="0.25">
      <c r="A447">
        <v>446</v>
      </c>
      <c r="B447" t="s">
        <v>118</v>
      </c>
      <c r="C447" t="s">
        <v>415</v>
      </c>
      <c r="D447" t="s">
        <v>32</v>
      </c>
      <c r="E447" t="s">
        <v>17</v>
      </c>
      <c r="F447" s="3">
        <v>100</v>
      </c>
      <c r="G447">
        <v>42.2</v>
      </c>
      <c r="H447">
        <v>14.2</v>
      </c>
      <c r="I447">
        <v>22</v>
      </c>
      <c r="J447" t="s">
        <v>28</v>
      </c>
      <c r="K447" t="s">
        <v>20</v>
      </c>
      <c r="L447" t="s">
        <v>21</v>
      </c>
      <c r="M447" s="3">
        <v>60</v>
      </c>
      <c r="N447" s="2">
        <v>8400</v>
      </c>
      <c r="O447" t="str">
        <f t="shared" si="14"/>
        <v>&lt;=100</v>
      </c>
      <c r="P447" t="str">
        <f t="shared" si="15"/>
        <v>&lt;= 10000$</v>
      </c>
    </row>
    <row r="448" spans="1:16" hidden="1" x14ac:dyDescent="0.25">
      <c r="A448">
        <v>447</v>
      </c>
      <c r="B448" t="s">
        <v>118</v>
      </c>
      <c r="C448" t="s">
        <v>417</v>
      </c>
      <c r="D448" t="s">
        <v>32</v>
      </c>
      <c r="E448" t="s">
        <v>17</v>
      </c>
      <c r="F448" s="3">
        <v>50</v>
      </c>
      <c r="G448">
        <v>42</v>
      </c>
      <c r="H448">
        <v>11.15</v>
      </c>
      <c r="I448">
        <v>20</v>
      </c>
      <c r="J448" t="s">
        <v>28</v>
      </c>
      <c r="K448" t="s">
        <v>20</v>
      </c>
      <c r="L448" t="s">
        <v>21</v>
      </c>
      <c r="M448" s="3">
        <v>60</v>
      </c>
      <c r="N448" s="2">
        <v>7900</v>
      </c>
      <c r="O448" t="str">
        <f t="shared" si="14"/>
        <v>&lt;=100</v>
      </c>
      <c r="P448" t="str">
        <f t="shared" si="15"/>
        <v>&lt;= 10000$</v>
      </c>
    </row>
    <row r="449" spans="1:16" hidden="1" x14ac:dyDescent="0.25">
      <c r="A449">
        <v>448</v>
      </c>
      <c r="B449" t="s">
        <v>118</v>
      </c>
      <c r="C449" t="s">
        <v>413</v>
      </c>
      <c r="D449" t="s">
        <v>26</v>
      </c>
      <c r="E449" t="s">
        <v>17</v>
      </c>
      <c r="F449" s="3">
        <v>100</v>
      </c>
      <c r="G449">
        <v>44</v>
      </c>
      <c r="H449">
        <v>14.4</v>
      </c>
      <c r="I449">
        <v>22</v>
      </c>
      <c r="J449" t="s">
        <v>28</v>
      </c>
      <c r="K449" t="s">
        <v>20</v>
      </c>
      <c r="L449" t="s">
        <v>169</v>
      </c>
      <c r="M449" s="3">
        <v>60</v>
      </c>
      <c r="N449" s="2">
        <v>7500</v>
      </c>
      <c r="O449" t="str">
        <f t="shared" si="14"/>
        <v>&lt;=100</v>
      </c>
      <c r="P449" t="str">
        <f t="shared" si="15"/>
        <v>&lt;= 10000$</v>
      </c>
    </row>
    <row r="450" spans="1:16" hidden="1" x14ac:dyDescent="0.25">
      <c r="A450">
        <v>449</v>
      </c>
      <c r="B450" t="s">
        <v>118</v>
      </c>
      <c r="C450" t="s">
        <v>415</v>
      </c>
      <c r="D450" t="s">
        <v>32</v>
      </c>
      <c r="E450" t="s">
        <v>17</v>
      </c>
      <c r="F450" s="3">
        <v>100</v>
      </c>
      <c r="G450">
        <v>42.2</v>
      </c>
      <c r="H450">
        <v>12.6</v>
      </c>
      <c r="I450">
        <v>20</v>
      </c>
      <c r="J450" t="s">
        <v>28</v>
      </c>
      <c r="K450" t="s">
        <v>20</v>
      </c>
      <c r="L450" t="s">
        <v>21</v>
      </c>
      <c r="M450" s="3">
        <v>60</v>
      </c>
      <c r="N450" s="2">
        <v>7500</v>
      </c>
      <c r="O450" t="str">
        <f t="shared" si="14"/>
        <v>&lt;=100</v>
      </c>
      <c r="P450" t="str">
        <f t="shared" si="15"/>
        <v>&lt;= 10000$</v>
      </c>
    </row>
    <row r="451" spans="1:16" hidden="1" x14ac:dyDescent="0.25">
      <c r="A451">
        <v>450</v>
      </c>
      <c r="B451" t="s">
        <v>118</v>
      </c>
      <c r="C451" t="s">
        <v>418</v>
      </c>
      <c r="D451" t="s">
        <v>26</v>
      </c>
      <c r="E451" t="s">
        <v>17</v>
      </c>
      <c r="F451" s="3">
        <v>100</v>
      </c>
      <c r="G451">
        <v>43</v>
      </c>
      <c r="H451">
        <v>12.6</v>
      </c>
      <c r="I451">
        <v>22</v>
      </c>
      <c r="J451" t="s">
        <v>28</v>
      </c>
      <c r="K451" t="s">
        <v>20</v>
      </c>
      <c r="L451" t="s">
        <v>21</v>
      </c>
      <c r="M451" s="3">
        <v>60</v>
      </c>
      <c r="N451" s="2">
        <v>7000</v>
      </c>
      <c r="O451" t="str">
        <f t="shared" ref="O451:O506" si="16">IF($F451&lt;=100, "&lt;=100", IF($F451&lt;=200, "100-200", IF($F451&lt;=300, "200-300", IF($F451&lt;=500, "300-500", IF($F451&lt;1000, "500-1000", "1000+")))))</f>
        <v>&lt;=100</v>
      </c>
      <c r="P451" t="str">
        <f t="shared" ref="P451:P506" si="17">IF(N451&lt;=1000, "&lt;= 1000$", IF(N451&lt;=2000, " &lt;=2000$", IF(N451&lt;=5000, "&lt;=5000$", IF(N451&lt;=10000, "&lt;= 10000$", IF(N451&lt;=20000, "&lt;= 20000$", IF(N451&lt;40000, "&lt;= 40000$", "40000$ +"))))))</f>
        <v>&lt;= 10000$</v>
      </c>
    </row>
    <row r="452" spans="1:16" hidden="1" x14ac:dyDescent="0.25">
      <c r="A452">
        <v>451</v>
      </c>
      <c r="B452" t="s">
        <v>79</v>
      </c>
      <c r="C452" t="s">
        <v>419</v>
      </c>
      <c r="D452" t="s">
        <v>32</v>
      </c>
      <c r="E452" t="s">
        <v>49</v>
      </c>
      <c r="F452" s="3">
        <v>30</v>
      </c>
      <c r="G452">
        <v>40</v>
      </c>
      <c r="H452">
        <v>6.79</v>
      </c>
      <c r="I452">
        <v>20</v>
      </c>
      <c r="J452" t="s">
        <v>44</v>
      </c>
      <c r="K452" t="s">
        <v>20</v>
      </c>
      <c r="L452" t="s">
        <v>45</v>
      </c>
      <c r="M452" s="3">
        <v>65</v>
      </c>
      <c r="N452" s="2">
        <v>28000</v>
      </c>
      <c r="O452" t="str">
        <f t="shared" si="16"/>
        <v>&lt;=100</v>
      </c>
      <c r="P452" t="str">
        <f t="shared" si="17"/>
        <v>&lt;= 40000$</v>
      </c>
    </row>
    <row r="453" spans="1:16" hidden="1" x14ac:dyDescent="0.25">
      <c r="A453">
        <v>452</v>
      </c>
      <c r="B453" t="s">
        <v>79</v>
      </c>
      <c r="C453" t="s">
        <v>420</v>
      </c>
      <c r="D453" t="s">
        <v>16</v>
      </c>
      <c r="E453" t="s">
        <v>17</v>
      </c>
      <c r="F453" s="3">
        <v>150</v>
      </c>
      <c r="G453">
        <v>41</v>
      </c>
      <c r="H453">
        <v>11</v>
      </c>
      <c r="I453">
        <v>22</v>
      </c>
      <c r="J453" t="s">
        <v>28</v>
      </c>
      <c r="K453" t="s">
        <v>20</v>
      </c>
      <c r="L453" t="s">
        <v>240</v>
      </c>
      <c r="M453" s="3">
        <v>60</v>
      </c>
      <c r="N453" s="2">
        <v>23000</v>
      </c>
      <c r="O453" t="str">
        <f t="shared" si="16"/>
        <v>100-200</v>
      </c>
      <c r="P453" t="str">
        <f t="shared" si="17"/>
        <v>&lt;= 40000$</v>
      </c>
    </row>
    <row r="454" spans="1:16" hidden="1" x14ac:dyDescent="0.25">
      <c r="A454">
        <v>453</v>
      </c>
      <c r="B454" t="s">
        <v>79</v>
      </c>
      <c r="C454" t="s">
        <v>421</v>
      </c>
      <c r="D454" t="s">
        <v>32</v>
      </c>
      <c r="E454" t="s">
        <v>49</v>
      </c>
      <c r="F454" s="3">
        <v>30</v>
      </c>
      <c r="G454">
        <v>42</v>
      </c>
      <c r="H454">
        <v>7.65</v>
      </c>
      <c r="I454">
        <v>20</v>
      </c>
      <c r="J454" t="s">
        <v>44</v>
      </c>
      <c r="K454" t="s">
        <v>20</v>
      </c>
      <c r="L454" t="s">
        <v>45</v>
      </c>
      <c r="M454" s="3">
        <v>65</v>
      </c>
      <c r="N454" s="2">
        <v>22500</v>
      </c>
      <c r="O454" t="str">
        <f t="shared" si="16"/>
        <v>&lt;=100</v>
      </c>
      <c r="P454" t="str">
        <f t="shared" si="17"/>
        <v>&lt;= 40000$</v>
      </c>
    </row>
    <row r="455" spans="1:16" hidden="1" x14ac:dyDescent="0.25">
      <c r="A455">
        <v>454</v>
      </c>
      <c r="B455" t="s">
        <v>79</v>
      </c>
      <c r="C455" t="s">
        <v>420</v>
      </c>
      <c r="D455" t="s">
        <v>26</v>
      </c>
      <c r="E455" t="s">
        <v>17</v>
      </c>
      <c r="F455" s="3">
        <v>150</v>
      </c>
      <c r="G455">
        <v>41</v>
      </c>
      <c r="H455">
        <v>11</v>
      </c>
      <c r="I455">
        <v>21</v>
      </c>
      <c r="J455" t="s">
        <v>28</v>
      </c>
      <c r="K455" t="s">
        <v>20</v>
      </c>
      <c r="L455" t="s">
        <v>21</v>
      </c>
      <c r="M455" s="3">
        <v>60</v>
      </c>
      <c r="N455" s="2">
        <v>22000</v>
      </c>
      <c r="O455" t="str">
        <f t="shared" si="16"/>
        <v>100-200</v>
      </c>
      <c r="P455" t="str">
        <f t="shared" si="17"/>
        <v>&lt;= 40000$</v>
      </c>
    </row>
    <row r="456" spans="1:16" hidden="1" x14ac:dyDescent="0.25">
      <c r="A456">
        <v>455</v>
      </c>
      <c r="B456" t="s">
        <v>79</v>
      </c>
      <c r="C456" t="s">
        <v>420</v>
      </c>
      <c r="D456" t="s">
        <v>16</v>
      </c>
      <c r="E456" t="s">
        <v>17</v>
      </c>
      <c r="F456" s="3">
        <v>150</v>
      </c>
      <c r="G456">
        <v>41</v>
      </c>
      <c r="H456">
        <v>11</v>
      </c>
      <c r="I456">
        <v>20</v>
      </c>
      <c r="J456" t="s">
        <v>44</v>
      </c>
      <c r="K456" t="s">
        <v>20</v>
      </c>
      <c r="L456" t="s">
        <v>21</v>
      </c>
      <c r="M456" s="3">
        <v>60</v>
      </c>
      <c r="N456" s="2">
        <v>21500</v>
      </c>
      <c r="O456" t="str">
        <f t="shared" si="16"/>
        <v>100-200</v>
      </c>
      <c r="P456" t="str">
        <f t="shared" si="17"/>
        <v>&lt;= 40000$</v>
      </c>
    </row>
    <row r="457" spans="1:16" hidden="1" x14ac:dyDescent="0.25">
      <c r="A457">
        <v>456</v>
      </c>
      <c r="B457" t="s">
        <v>79</v>
      </c>
      <c r="C457" t="s">
        <v>420</v>
      </c>
      <c r="D457" t="s">
        <v>16</v>
      </c>
      <c r="E457" t="s">
        <v>17</v>
      </c>
      <c r="F457" s="3">
        <v>150</v>
      </c>
      <c r="G457">
        <v>41</v>
      </c>
      <c r="H457">
        <v>11</v>
      </c>
      <c r="I457">
        <v>22</v>
      </c>
      <c r="J457" t="s">
        <v>44</v>
      </c>
      <c r="K457" t="s">
        <v>20</v>
      </c>
      <c r="L457" t="s">
        <v>21</v>
      </c>
      <c r="M457" s="3">
        <v>60</v>
      </c>
      <c r="N457" s="2">
        <v>21500</v>
      </c>
      <c r="O457" t="str">
        <f t="shared" si="16"/>
        <v>100-200</v>
      </c>
      <c r="P457" t="str">
        <f t="shared" si="17"/>
        <v>&lt;= 40000$</v>
      </c>
    </row>
    <row r="458" spans="1:16" hidden="1" x14ac:dyDescent="0.25">
      <c r="A458">
        <v>457</v>
      </c>
      <c r="B458" t="s">
        <v>79</v>
      </c>
      <c r="C458" t="s">
        <v>420</v>
      </c>
      <c r="D458" t="s">
        <v>16</v>
      </c>
      <c r="E458" t="s">
        <v>17</v>
      </c>
      <c r="F458" s="3">
        <v>150</v>
      </c>
      <c r="G458">
        <v>41</v>
      </c>
      <c r="H458">
        <v>11</v>
      </c>
      <c r="I458">
        <v>22</v>
      </c>
      <c r="J458" t="s">
        <v>28</v>
      </c>
      <c r="K458" t="s">
        <v>20</v>
      </c>
      <c r="L458" t="s">
        <v>169</v>
      </c>
      <c r="M458" s="3">
        <v>40</v>
      </c>
      <c r="N458" s="2">
        <v>21000</v>
      </c>
      <c r="O458" t="str">
        <f t="shared" si="16"/>
        <v>100-200</v>
      </c>
      <c r="P458" t="str">
        <f t="shared" si="17"/>
        <v>&lt;= 40000$</v>
      </c>
    </row>
    <row r="459" spans="1:16" hidden="1" x14ac:dyDescent="0.25">
      <c r="A459">
        <v>458</v>
      </c>
      <c r="B459" t="s">
        <v>79</v>
      </c>
      <c r="C459" t="s">
        <v>422</v>
      </c>
      <c r="D459" t="s">
        <v>16</v>
      </c>
      <c r="E459" t="s">
        <v>17</v>
      </c>
      <c r="F459" s="3">
        <v>150</v>
      </c>
      <c r="G459">
        <v>41.5</v>
      </c>
      <c r="H459">
        <v>11</v>
      </c>
      <c r="I459">
        <v>22</v>
      </c>
      <c r="J459" t="s">
        <v>28</v>
      </c>
      <c r="K459" t="s">
        <v>20</v>
      </c>
      <c r="L459" t="s">
        <v>21</v>
      </c>
      <c r="M459" s="3">
        <v>60</v>
      </c>
      <c r="N459" s="2">
        <v>21000</v>
      </c>
      <c r="O459" t="str">
        <f t="shared" si="16"/>
        <v>100-200</v>
      </c>
      <c r="P459" t="str">
        <f t="shared" si="17"/>
        <v>&lt;= 40000$</v>
      </c>
    </row>
    <row r="460" spans="1:16" hidden="1" x14ac:dyDescent="0.25">
      <c r="A460">
        <v>459</v>
      </c>
      <c r="B460" t="s">
        <v>79</v>
      </c>
      <c r="C460" t="s">
        <v>420</v>
      </c>
      <c r="D460" t="s">
        <v>16</v>
      </c>
      <c r="E460" t="s">
        <v>17</v>
      </c>
      <c r="F460" s="3">
        <v>150</v>
      </c>
      <c r="G460">
        <v>41</v>
      </c>
      <c r="H460">
        <v>11</v>
      </c>
      <c r="I460">
        <v>20</v>
      </c>
      <c r="J460" t="s">
        <v>19</v>
      </c>
      <c r="K460" t="s">
        <v>20</v>
      </c>
      <c r="L460" t="s">
        <v>240</v>
      </c>
      <c r="M460" s="3">
        <v>60</v>
      </c>
      <c r="N460" s="2">
        <v>20200</v>
      </c>
      <c r="O460" t="str">
        <f t="shared" si="16"/>
        <v>100-200</v>
      </c>
      <c r="P460" t="str">
        <f t="shared" si="17"/>
        <v>&lt;= 40000$</v>
      </c>
    </row>
    <row r="461" spans="1:16" hidden="1" x14ac:dyDescent="0.25">
      <c r="A461">
        <v>460</v>
      </c>
      <c r="B461" t="s">
        <v>79</v>
      </c>
      <c r="C461" t="s">
        <v>422</v>
      </c>
      <c r="D461" t="s">
        <v>16</v>
      </c>
      <c r="E461" t="s">
        <v>17</v>
      </c>
      <c r="F461" s="3">
        <v>150</v>
      </c>
      <c r="G461">
        <v>41.5</v>
      </c>
      <c r="H461">
        <v>11</v>
      </c>
      <c r="I461">
        <v>22</v>
      </c>
      <c r="J461" t="s">
        <v>44</v>
      </c>
      <c r="K461" t="s">
        <v>20</v>
      </c>
      <c r="L461" t="s">
        <v>21</v>
      </c>
      <c r="M461" s="3">
        <v>60</v>
      </c>
      <c r="N461" s="2">
        <v>20000</v>
      </c>
      <c r="O461" t="str">
        <f t="shared" si="16"/>
        <v>100-200</v>
      </c>
      <c r="P461" t="str">
        <f t="shared" si="17"/>
        <v>&lt;= 20000$</v>
      </c>
    </row>
    <row r="462" spans="1:16" hidden="1" x14ac:dyDescent="0.25">
      <c r="A462">
        <v>461</v>
      </c>
      <c r="B462" t="s">
        <v>79</v>
      </c>
      <c r="C462" t="s">
        <v>423</v>
      </c>
      <c r="D462" t="s">
        <v>26</v>
      </c>
      <c r="E462" t="s">
        <v>17</v>
      </c>
      <c r="F462" s="3">
        <v>150</v>
      </c>
      <c r="G462">
        <v>42.5</v>
      </c>
      <c r="H462">
        <v>13.7</v>
      </c>
      <c r="I462">
        <v>22</v>
      </c>
      <c r="J462" t="s">
        <v>28</v>
      </c>
      <c r="K462" t="s">
        <v>20</v>
      </c>
      <c r="L462" t="s">
        <v>21</v>
      </c>
      <c r="M462" s="3">
        <v>40</v>
      </c>
      <c r="N462" s="2">
        <v>20000</v>
      </c>
      <c r="O462" t="str">
        <f t="shared" si="16"/>
        <v>100-200</v>
      </c>
      <c r="P462" t="str">
        <f t="shared" si="17"/>
        <v>&lt;= 20000$</v>
      </c>
    </row>
    <row r="463" spans="1:16" hidden="1" x14ac:dyDescent="0.25">
      <c r="A463">
        <v>462</v>
      </c>
      <c r="B463" t="s">
        <v>79</v>
      </c>
      <c r="C463" t="s">
        <v>420</v>
      </c>
      <c r="D463" t="s">
        <v>26</v>
      </c>
      <c r="E463" t="s">
        <v>17</v>
      </c>
      <c r="F463" s="3">
        <v>150</v>
      </c>
      <c r="G463">
        <v>41</v>
      </c>
      <c r="H463">
        <v>11</v>
      </c>
      <c r="I463">
        <v>22</v>
      </c>
      <c r="J463" t="s">
        <v>28</v>
      </c>
      <c r="K463" t="s">
        <v>20</v>
      </c>
      <c r="L463" t="s">
        <v>21</v>
      </c>
      <c r="M463" s="3">
        <v>40</v>
      </c>
      <c r="N463" s="2">
        <v>19800</v>
      </c>
      <c r="O463" t="str">
        <f t="shared" si="16"/>
        <v>100-200</v>
      </c>
      <c r="P463" t="str">
        <f t="shared" si="17"/>
        <v>&lt;= 20000$</v>
      </c>
    </row>
    <row r="464" spans="1:16" hidden="1" x14ac:dyDescent="0.25">
      <c r="A464">
        <v>463</v>
      </c>
      <c r="B464" t="s">
        <v>79</v>
      </c>
      <c r="C464" t="s">
        <v>422</v>
      </c>
      <c r="D464" t="s">
        <v>26</v>
      </c>
      <c r="E464" t="s">
        <v>17</v>
      </c>
      <c r="F464" s="3">
        <v>150</v>
      </c>
      <c r="G464">
        <v>41.5</v>
      </c>
      <c r="H464">
        <v>11</v>
      </c>
      <c r="I464">
        <v>21</v>
      </c>
      <c r="J464" t="s">
        <v>44</v>
      </c>
      <c r="K464" t="s">
        <v>20</v>
      </c>
      <c r="L464" t="s">
        <v>21</v>
      </c>
      <c r="M464" s="3">
        <v>40</v>
      </c>
      <c r="N464" s="2">
        <v>19500</v>
      </c>
      <c r="O464" t="str">
        <f t="shared" si="16"/>
        <v>100-200</v>
      </c>
      <c r="P464" t="str">
        <f t="shared" si="17"/>
        <v>&lt;= 20000$</v>
      </c>
    </row>
    <row r="465" spans="1:16" hidden="1" x14ac:dyDescent="0.25">
      <c r="A465">
        <v>464</v>
      </c>
      <c r="B465" t="s">
        <v>79</v>
      </c>
      <c r="C465" t="s">
        <v>420</v>
      </c>
      <c r="D465" t="s">
        <v>16</v>
      </c>
      <c r="E465" t="s">
        <v>17</v>
      </c>
      <c r="F465" s="3">
        <v>150</v>
      </c>
      <c r="G465">
        <v>41</v>
      </c>
      <c r="H465">
        <v>11</v>
      </c>
      <c r="I465">
        <v>20</v>
      </c>
      <c r="J465" t="s">
        <v>19</v>
      </c>
      <c r="K465" t="s">
        <v>20</v>
      </c>
      <c r="L465" t="s">
        <v>21</v>
      </c>
      <c r="M465" s="3">
        <v>60</v>
      </c>
      <c r="N465" s="2">
        <v>19200</v>
      </c>
      <c r="O465" t="str">
        <f t="shared" si="16"/>
        <v>100-200</v>
      </c>
      <c r="P465" t="str">
        <f t="shared" si="17"/>
        <v>&lt;= 20000$</v>
      </c>
    </row>
    <row r="466" spans="1:16" hidden="1" x14ac:dyDescent="0.25">
      <c r="A466">
        <v>465</v>
      </c>
      <c r="B466" t="s">
        <v>79</v>
      </c>
      <c r="C466" t="s">
        <v>420</v>
      </c>
      <c r="D466" t="s">
        <v>26</v>
      </c>
      <c r="E466" t="s">
        <v>17</v>
      </c>
      <c r="F466" s="3">
        <v>150</v>
      </c>
      <c r="G466">
        <v>41</v>
      </c>
      <c r="H466">
        <v>11</v>
      </c>
      <c r="I466">
        <v>22</v>
      </c>
      <c r="J466" t="s">
        <v>28</v>
      </c>
      <c r="K466" t="s">
        <v>20</v>
      </c>
      <c r="L466" t="s">
        <v>21</v>
      </c>
      <c r="M466" s="3">
        <v>40</v>
      </c>
      <c r="N466" s="2">
        <v>19000</v>
      </c>
      <c r="O466" t="str">
        <f t="shared" si="16"/>
        <v>100-200</v>
      </c>
      <c r="P466" t="str">
        <f t="shared" si="17"/>
        <v>&lt;= 20000$</v>
      </c>
    </row>
    <row r="467" spans="1:16" hidden="1" x14ac:dyDescent="0.25">
      <c r="A467">
        <v>466</v>
      </c>
      <c r="B467" t="s">
        <v>79</v>
      </c>
      <c r="C467" t="s">
        <v>422</v>
      </c>
      <c r="D467" t="s">
        <v>16</v>
      </c>
      <c r="E467" t="s">
        <v>17</v>
      </c>
      <c r="F467" s="3">
        <v>150</v>
      </c>
      <c r="G467">
        <v>41.5</v>
      </c>
      <c r="H467">
        <v>11</v>
      </c>
      <c r="I467">
        <v>22</v>
      </c>
      <c r="J467" t="s">
        <v>28</v>
      </c>
      <c r="K467" t="s">
        <v>20</v>
      </c>
      <c r="L467" t="s">
        <v>21</v>
      </c>
      <c r="M467" s="3">
        <v>40</v>
      </c>
      <c r="N467" s="2">
        <v>19000</v>
      </c>
      <c r="O467" t="str">
        <f t="shared" si="16"/>
        <v>100-200</v>
      </c>
      <c r="P467" t="str">
        <f t="shared" si="17"/>
        <v>&lt;= 20000$</v>
      </c>
    </row>
    <row r="468" spans="1:16" hidden="1" x14ac:dyDescent="0.25">
      <c r="A468">
        <v>467</v>
      </c>
      <c r="B468" t="s">
        <v>79</v>
      </c>
      <c r="C468" t="s">
        <v>422</v>
      </c>
      <c r="D468" t="s">
        <v>26</v>
      </c>
      <c r="E468" t="s">
        <v>17</v>
      </c>
      <c r="F468" s="3">
        <v>150</v>
      </c>
      <c r="G468">
        <v>41.5</v>
      </c>
      <c r="H468">
        <v>11</v>
      </c>
      <c r="I468">
        <v>22</v>
      </c>
      <c r="J468" t="s">
        <v>28</v>
      </c>
      <c r="K468" t="s">
        <v>20</v>
      </c>
      <c r="L468" t="s">
        <v>21</v>
      </c>
      <c r="M468" s="3">
        <v>40</v>
      </c>
      <c r="N468" s="2">
        <v>18900</v>
      </c>
      <c r="O468" t="str">
        <f t="shared" si="16"/>
        <v>100-200</v>
      </c>
      <c r="P468" t="str">
        <f t="shared" si="17"/>
        <v>&lt;= 20000$</v>
      </c>
    </row>
    <row r="469" spans="1:16" hidden="1" x14ac:dyDescent="0.25">
      <c r="A469">
        <v>468</v>
      </c>
      <c r="B469" t="s">
        <v>79</v>
      </c>
      <c r="C469" t="s">
        <v>424</v>
      </c>
      <c r="D469" t="s">
        <v>32</v>
      </c>
      <c r="E469" t="s">
        <v>49</v>
      </c>
      <c r="F469" s="3">
        <v>30</v>
      </c>
      <c r="G469">
        <v>40</v>
      </c>
      <c r="H469">
        <v>6.79</v>
      </c>
      <c r="I469">
        <v>20</v>
      </c>
      <c r="J469" t="s">
        <v>44</v>
      </c>
      <c r="K469" t="s">
        <v>20</v>
      </c>
      <c r="L469" t="s">
        <v>45</v>
      </c>
      <c r="M469" s="3">
        <v>65</v>
      </c>
      <c r="N469" s="2">
        <v>18500</v>
      </c>
      <c r="O469" t="str">
        <f t="shared" si="16"/>
        <v>&lt;=100</v>
      </c>
      <c r="P469" t="str">
        <f t="shared" si="17"/>
        <v>&lt;= 20000$</v>
      </c>
    </row>
    <row r="470" spans="1:16" hidden="1" x14ac:dyDescent="0.25">
      <c r="A470">
        <v>469</v>
      </c>
      <c r="B470" t="s">
        <v>79</v>
      </c>
      <c r="C470" t="s">
        <v>420</v>
      </c>
      <c r="D470" t="s">
        <v>16</v>
      </c>
      <c r="E470" t="s">
        <v>17</v>
      </c>
      <c r="F470" s="3">
        <v>50</v>
      </c>
      <c r="G470">
        <v>41</v>
      </c>
      <c r="H470">
        <v>11</v>
      </c>
      <c r="I470">
        <v>22</v>
      </c>
      <c r="J470" t="s">
        <v>28</v>
      </c>
      <c r="K470" t="s">
        <v>20</v>
      </c>
      <c r="L470" t="s">
        <v>21</v>
      </c>
      <c r="M470" s="3">
        <v>40</v>
      </c>
      <c r="N470" s="2">
        <v>18000</v>
      </c>
      <c r="O470" t="str">
        <f t="shared" si="16"/>
        <v>&lt;=100</v>
      </c>
      <c r="P470" t="str">
        <f t="shared" si="17"/>
        <v>&lt;= 20000$</v>
      </c>
    </row>
    <row r="471" spans="1:16" hidden="1" x14ac:dyDescent="0.25">
      <c r="A471">
        <v>470</v>
      </c>
      <c r="B471" t="s">
        <v>79</v>
      </c>
      <c r="C471" t="s">
        <v>420</v>
      </c>
      <c r="D471" t="s">
        <v>26</v>
      </c>
      <c r="E471" t="s">
        <v>17</v>
      </c>
      <c r="F471" s="3">
        <v>150</v>
      </c>
      <c r="G471">
        <v>41</v>
      </c>
      <c r="H471">
        <v>11</v>
      </c>
      <c r="I471">
        <v>21</v>
      </c>
      <c r="J471" t="s">
        <v>28</v>
      </c>
      <c r="K471" t="s">
        <v>20</v>
      </c>
      <c r="L471" t="s">
        <v>21</v>
      </c>
      <c r="M471" s="3">
        <v>60</v>
      </c>
      <c r="N471" s="2">
        <v>17500</v>
      </c>
      <c r="O471" t="str">
        <f t="shared" si="16"/>
        <v>100-200</v>
      </c>
      <c r="P471" t="str">
        <f t="shared" si="17"/>
        <v>&lt;= 20000$</v>
      </c>
    </row>
    <row r="472" spans="1:16" hidden="1" x14ac:dyDescent="0.25">
      <c r="A472">
        <v>471</v>
      </c>
      <c r="B472" t="s">
        <v>79</v>
      </c>
      <c r="C472" t="s">
        <v>420</v>
      </c>
      <c r="D472" t="s">
        <v>16</v>
      </c>
      <c r="E472" t="s">
        <v>17</v>
      </c>
      <c r="F472" s="3">
        <v>150</v>
      </c>
      <c r="G472">
        <v>41</v>
      </c>
      <c r="H472">
        <v>11</v>
      </c>
      <c r="I472">
        <v>22</v>
      </c>
      <c r="J472" t="s">
        <v>28</v>
      </c>
      <c r="K472" t="s">
        <v>20</v>
      </c>
      <c r="L472" t="s">
        <v>21</v>
      </c>
      <c r="M472" s="3">
        <v>60</v>
      </c>
      <c r="N472" s="2">
        <v>16300</v>
      </c>
      <c r="O472" t="str">
        <f t="shared" si="16"/>
        <v>100-200</v>
      </c>
      <c r="P472" t="str">
        <f t="shared" si="17"/>
        <v>&lt;= 20000$</v>
      </c>
    </row>
    <row r="473" spans="1:16" hidden="1" x14ac:dyDescent="0.25">
      <c r="A473">
        <v>472</v>
      </c>
      <c r="B473" t="s">
        <v>79</v>
      </c>
      <c r="C473" t="s">
        <v>420</v>
      </c>
      <c r="D473" t="s">
        <v>16</v>
      </c>
      <c r="E473" t="s">
        <v>17</v>
      </c>
      <c r="F473" s="3">
        <v>50</v>
      </c>
      <c r="G473">
        <v>41</v>
      </c>
      <c r="H473">
        <v>11</v>
      </c>
      <c r="I473">
        <v>20</v>
      </c>
      <c r="J473" t="s">
        <v>28</v>
      </c>
      <c r="K473" t="s">
        <v>20</v>
      </c>
      <c r="L473" t="s">
        <v>144</v>
      </c>
      <c r="M473" s="3">
        <v>60</v>
      </c>
      <c r="N473" s="2">
        <v>15500</v>
      </c>
      <c r="O473" t="str">
        <f t="shared" si="16"/>
        <v>&lt;=100</v>
      </c>
      <c r="P473" t="str">
        <f t="shared" si="17"/>
        <v>&lt;= 20000$</v>
      </c>
    </row>
    <row r="474" spans="1:16" hidden="1" x14ac:dyDescent="0.25">
      <c r="A474">
        <v>473</v>
      </c>
      <c r="B474" t="s">
        <v>79</v>
      </c>
      <c r="C474" t="s">
        <v>420</v>
      </c>
      <c r="D474" t="s">
        <v>16</v>
      </c>
      <c r="E474" t="s">
        <v>17</v>
      </c>
      <c r="F474" s="3">
        <v>150</v>
      </c>
      <c r="G474">
        <v>41</v>
      </c>
      <c r="H474">
        <v>11</v>
      </c>
      <c r="I474">
        <v>22</v>
      </c>
      <c r="J474" t="s">
        <v>28</v>
      </c>
      <c r="K474" t="s">
        <v>20</v>
      </c>
      <c r="L474" t="s">
        <v>21</v>
      </c>
      <c r="M474" s="3">
        <v>60</v>
      </c>
      <c r="N474" s="2">
        <v>15000</v>
      </c>
      <c r="O474" t="str">
        <f t="shared" si="16"/>
        <v>100-200</v>
      </c>
      <c r="P474" t="str">
        <f t="shared" si="17"/>
        <v>&lt;= 20000$</v>
      </c>
    </row>
    <row r="475" spans="1:16" hidden="1" x14ac:dyDescent="0.25">
      <c r="A475">
        <v>474</v>
      </c>
      <c r="B475" t="s">
        <v>79</v>
      </c>
      <c r="C475" t="s">
        <v>425</v>
      </c>
      <c r="D475" t="s">
        <v>32</v>
      </c>
      <c r="E475" t="s">
        <v>17</v>
      </c>
      <c r="F475" s="3">
        <v>30</v>
      </c>
      <c r="G475">
        <v>40</v>
      </c>
      <c r="H475">
        <v>6.79</v>
      </c>
      <c r="I475">
        <v>20</v>
      </c>
      <c r="J475" t="s">
        <v>34</v>
      </c>
      <c r="K475" t="s">
        <v>20</v>
      </c>
      <c r="L475" t="s">
        <v>45</v>
      </c>
      <c r="M475" s="3">
        <v>40</v>
      </c>
      <c r="N475" s="2">
        <v>15000</v>
      </c>
      <c r="O475" t="str">
        <f t="shared" si="16"/>
        <v>&lt;=100</v>
      </c>
      <c r="P475" t="str">
        <f t="shared" si="17"/>
        <v>&lt;= 20000$</v>
      </c>
    </row>
    <row r="476" spans="1:16" hidden="1" x14ac:dyDescent="0.25">
      <c r="A476">
        <v>475</v>
      </c>
      <c r="B476" t="s">
        <v>79</v>
      </c>
      <c r="C476" t="s">
        <v>420</v>
      </c>
      <c r="D476" t="s">
        <v>26</v>
      </c>
      <c r="E476" t="s">
        <v>17</v>
      </c>
      <c r="F476" s="3">
        <v>150</v>
      </c>
      <c r="G476">
        <v>41</v>
      </c>
      <c r="H476">
        <v>11</v>
      </c>
      <c r="I476">
        <v>22</v>
      </c>
      <c r="J476" t="s">
        <v>28</v>
      </c>
      <c r="K476" t="s">
        <v>20</v>
      </c>
      <c r="L476" t="s">
        <v>21</v>
      </c>
      <c r="M476" s="3">
        <v>40</v>
      </c>
      <c r="N476" s="2">
        <v>12000</v>
      </c>
      <c r="O476" t="str">
        <f t="shared" si="16"/>
        <v>100-200</v>
      </c>
      <c r="P476" t="str">
        <f t="shared" si="17"/>
        <v>&lt;= 20000$</v>
      </c>
    </row>
    <row r="477" spans="1:16" hidden="1" x14ac:dyDescent="0.25">
      <c r="A477">
        <v>476</v>
      </c>
      <c r="B477" t="s">
        <v>113</v>
      </c>
      <c r="C477" t="s">
        <v>426</v>
      </c>
      <c r="D477" t="s">
        <v>26</v>
      </c>
      <c r="E477" t="s">
        <v>17</v>
      </c>
      <c r="F477" s="3">
        <v>100</v>
      </c>
      <c r="G477">
        <v>41</v>
      </c>
      <c r="H477">
        <v>10.75</v>
      </c>
      <c r="I477">
        <v>22</v>
      </c>
      <c r="J477" t="s">
        <v>28</v>
      </c>
      <c r="K477" t="s">
        <v>20</v>
      </c>
      <c r="L477" t="s">
        <v>35</v>
      </c>
      <c r="M477" s="3">
        <v>50</v>
      </c>
      <c r="N477" s="2">
        <v>9500</v>
      </c>
      <c r="O477" t="str">
        <f t="shared" si="16"/>
        <v>&lt;=100</v>
      </c>
      <c r="P477" t="str">
        <f t="shared" si="17"/>
        <v>&lt;= 10000$</v>
      </c>
    </row>
    <row r="478" spans="1:16" hidden="1" x14ac:dyDescent="0.25">
      <c r="A478">
        <v>477</v>
      </c>
      <c r="B478" t="s">
        <v>113</v>
      </c>
      <c r="C478" t="s">
        <v>427</v>
      </c>
      <c r="D478" t="s">
        <v>32</v>
      </c>
      <c r="E478" t="s">
        <v>17</v>
      </c>
      <c r="F478" s="3">
        <v>100</v>
      </c>
      <c r="G478">
        <v>42</v>
      </c>
      <c r="H478">
        <v>13.1</v>
      </c>
      <c r="I478">
        <v>22</v>
      </c>
      <c r="J478" t="s">
        <v>44</v>
      </c>
      <c r="K478" t="s">
        <v>20</v>
      </c>
      <c r="L478" t="s">
        <v>35</v>
      </c>
      <c r="M478" s="3">
        <v>50</v>
      </c>
      <c r="N478" s="2">
        <v>9400</v>
      </c>
      <c r="O478" t="str">
        <f t="shared" si="16"/>
        <v>&lt;=100</v>
      </c>
      <c r="P478" t="str">
        <f t="shared" si="17"/>
        <v>&lt;= 10000$</v>
      </c>
    </row>
    <row r="479" spans="1:16" hidden="1" x14ac:dyDescent="0.25">
      <c r="A479">
        <v>478</v>
      </c>
      <c r="B479" t="s">
        <v>113</v>
      </c>
      <c r="C479" t="s">
        <v>428</v>
      </c>
      <c r="D479" t="s">
        <v>32</v>
      </c>
      <c r="E479" t="s">
        <v>17</v>
      </c>
      <c r="F479" s="3">
        <v>100</v>
      </c>
      <c r="G479">
        <v>42</v>
      </c>
      <c r="H479">
        <v>12.75</v>
      </c>
      <c r="I479">
        <v>20</v>
      </c>
      <c r="J479" t="s">
        <v>34</v>
      </c>
      <c r="K479" t="s">
        <v>20</v>
      </c>
      <c r="L479" t="s">
        <v>141</v>
      </c>
      <c r="M479" s="3">
        <v>50</v>
      </c>
      <c r="N479" s="2">
        <v>7900</v>
      </c>
      <c r="O479" t="str">
        <f t="shared" si="16"/>
        <v>&lt;=100</v>
      </c>
      <c r="P479" t="str">
        <f t="shared" si="17"/>
        <v>&lt;= 10000$</v>
      </c>
    </row>
    <row r="480" spans="1:16" hidden="1" x14ac:dyDescent="0.25">
      <c r="A480">
        <v>479</v>
      </c>
      <c r="B480" t="s">
        <v>113</v>
      </c>
      <c r="C480" t="s">
        <v>429</v>
      </c>
      <c r="D480" t="s">
        <v>32</v>
      </c>
      <c r="E480" t="s">
        <v>17</v>
      </c>
      <c r="F480" s="3">
        <v>100</v>
      </c>
      <c r="G480">
        <v>38</v>
      </c>
      <c r="H480">
        <v>12.15</v>
      </c>
      <c r="I480">
        <v>19</v>
      </c>
      <c r="J480" t="s">
        <v>44</v>
      </c>
      <c r="K480" t="s">
        <v>20</v>
      </c>
      <c r="L480" t="s">
        <v>35</v>
      </c>
      <c r="M480" s="3">
        <v>50</v>
      </c>
      <c r="N480" s="2">
        <v>7500</v>
      </c>
      <c r="O480" t="str">
        <f t="shared" si="16"/>
        <v>&lt;=100</v>
      </c>
      <c r="P480" t="str">
        <f t="shared" si="17"/>
        <v>&lt;= 10000$</v>
      </c>
    </row>
    <row r="481" spans="1:16" hidden="1" x14ac:dyDescent="0.25">
      <c r="A481">
        <v>480</v>
      </c>
      <c r="B481" t="s">
        <v>113</v>
      </c>
      <c r="C481" t="s">
        <v>430</v>
      </c>
      <c r="D481" t="s">
        <v>32</v>
      </c>
      <c r="E481" t="s">
        <v>17</v>
      </c>
      <c r="F481" s="3">
        <v>50</v>
      </c>
      <c r="G481">
        <v>38</v>
      </c>
      <c r="H481">
        <v>12.6</v>
      </c>
      <c r="I481">
        <v>20</v>
      </c>
      <c r="J481" t="s">
        <v>44</v>
      </c>
      <c r="K481" t="s">
        <v>20</v>
      </c>
      <c r="L481" t="s">
        <v>35</v>
      </c>
      <c r="M481" s="3">
        <v>50</v>
      </c>
      <c r="N481" s="2">
        <v>7500</v>
      </c>
      <c r="O481" t="str">
        <f t="shared" si="16"/>
        <v>&lt;=100</v>
      </c>
      <c r="P481" t="str">
        <f t="shared" si="17"/>
        <v>&lt;= 10000$</v>
      </c>
    </row>
    <row r="482" spans="1:16" hidden="1" x14ac:dyDescent="0.25">
      <c r="A482">
        <v>481</v>
      </c>
      <c r="B482" t="s">
        <v>113</v>
      </c>
      <c r="C482" t="s">
        <v>428</v>
      </c>
      <c r="D482" t="s">
        <v>32</v>
      </c>
      <c r="E482" t="s">
        <v>17</v>
      </c>
      <c r="F482" s="3">
        <v>100</v>
      </c>
      <c r="G482">
        <v>42</v>
      </c>
      <c r="H482">
        <v>12.75</v>
      </c>
      <c r="I482">
        <v>20</v>
      </c>
      <c r="J482" t="s">
        <v>19</v>
      </c>
      <c r="K482" t="s">
        <v>20</v>
      </c>
      <c r="L482" t="s">
        <v>35</v>
      </c>
      <c r="M482" s="3">
        <v>50</v>
      </c>
      <c r="N482" s="2">
        <v>7500</v>
      </c>
      <c r="O482" t="str">
        <f t="shared" si="16"/>
        <v>&lt;=100</v>
      </c>
      <c r="P482" t="str">
        <f t="shared" si="17"/>
        <v>&lt;= 10000$</v>
      </c>
    </row>
    <row r="483" spans="1:16" hidden="1" x14ac:dyDescent="0.25">
      <c r="A483">
        <v>482</v>
      </c>
      <c r="B483" t="s">
        <v>113</v>
      </c>
      <c r="C483" t="s">
        <v>428</v>
      </c>
      <c r="D483" t="s">
        <v>32</v>
      </c>
      <c r="E483" t="s">
        <v>17</v>
      </c>
      <c r="F483" s="3">
        <v>100</v>
      </c>
      <c r="G483">
        <v>42</v>
      </c>
      <c r="H483">
        <v>12.75</v>
      </c>
      <c r="I483">
        <v>20</v>
      </c>
      <c r="J483" t="s">
        <v>34</v>
      </c>
      <c r="K483" t="s">
        <v>20</v>
      </c>
      <c r="L483" t="s">
        <v>239</v>
      </c>
      <c r="M483" s="3">
        <v>50</v>
      </c>
      <c r="N483" s="2">
        <v>7500</v>
      </c>
      <c r="O483" t="str">
        <f t="shared" si="16"/>
        <v>&lt;=100</v>
      </c>
      <c r="P483" t="str">
        <f t="shared" si="17"/>
        <v>&lt;= 10000$</v>
      </c>
    </row>
    <row r="484" spans="1:16" hidden="1" x14ac:dyDescent="0.25">
      <c r="A484">
        <v>483</v>
      </c>
      <c r="B484" t="s">
        <v>113</v>
      </c>
      <c r="C484" t="s">
        <v>428</v>
      </c>
      <c r="D484" t="s">
        <v>32</v>
      </c>
      <c r="E484" t="s">
        <v>17</v>
      </c>
      <c r="F484" s="3">
        <v>100</v>
      </c>
      <c r="G484">
        <v>42</v>
      </c>
      <c r="H484">
        <v>12.75</v>
      </c>
      <c r="I484">
        <v>22</v>
      </c>
      <c r="J484" t="s">
        <v>44</v>
      </c>
      <c r="K484" t="s">
        <v>20</v>
      </c>
      <c r="L484" t="s">
        <v>35</v>
      </c>
      <c r="M484" s="3">
        <v>50</v>
      </c>
      <c r="N484" s="2">
        <v>7500</v>
      </c>
      <c r="O484" t="str">
        <f t="shared" si="16"/>
        <v>&lt;=100</v>
      </c>
      <c r="P484" t="str">
        <f t="shared" si="17"/>
        <v>&lt;= 10000$</v>
      </c>
    </row>
    <row r="485" spans="1:16" hidden="1" x14ac:dyDescent="0.25">
      <c r="A485">
        <v>484</v>
      </c>
      <c r="B485" t="s">
        <v>113</v>
      </c>
      <c r="C485" t="s">
        <v>427</v>
      </c>
      <c r="D485" t="s">
        <v>32</v>
      </c>
      <c r="E485" t="s">
        <v>17</v>
      </c>
      <c r="F485" s="3">
        <v>50</v>
      </c>
      <c r="G485">
        <v>42</v>
      </c>
      <c r="H485">
        <v>14.05</v>
      </c>
      <c r="I485">
        <v>22</v>
      </c>
      <c r="J485" t="s">
        <v>44</v>
      </c>
      <c r="K485" t="s">
        <v>20</v>
      </c>
      <c r="L485" t="s">
        <v>35</v>
      </c>
      <c r="M485" s="3">
        <v>50</v>
      </c>
      <c r="N485" s="2">
        <v>7400</v>
      </c>
      <c r="O485" t="str">
        <f t="shared" si="16"/>
        <v>&lt;=100</v>
      </c>
      <c r="P485" t="str">
        <f t="shared" si="17"/>
        <v>&lt;= 10000$</v>
      </c>
    </row>
    <row r="486" spans="1:16" hidden="1" x14ac:dyDescent="0.25">
      <c r="A486">
        <v>485</v>
      </c>
      <c r="B486" t="s">
        <v>113</v>
      </c>
      <c r="C486" t="s">
        <v>428</v>
      </c>
      <c r="D486" t="s">
        <v>16</v>
      </c>
      <c r="E486" t="s">
        <v>17</v>
      </c>
      <c r="F486" s="3">
        <v>100</v>
      </c>
      <c r="G486">
        <v>42</v>
      </c>
      <c r="H486">
        <v>12.75</v>
      </c>
      <c r="I486">
        <v>20</v>
      </c>
      <c r="J486" t="s">
        <v>28</v>
      </c>
      <c r="K486" t="s">
        <v>20</v>
      </c>
      <c r="L486" t="s">
        <v>35</v>
      </c>
      <c r="M486" s="3">
        <v>50</v>
      </c>
      <c r="N486" s="2">
        <v>7000</v>
      </c>
      <c r="O486" t="str">
        <f t="shared" si="16"/>
        <v>&lt;=100</v>
      </c>
      <c r="P486" t="str">
        <f t="shared" si="17"/>
        <v>&lt;= 10000$</v>
      </c>
    </row>
    <row r="487" spans="1:16" hidden="1" x14ac:dyDescent="0.25">
      <c r="A487">
        <v>486</v>
      </c>
      <c r="B487" t="s">
        <v>113</v>
      </c>
      <c r="C487" t="s">
        <v>429</v>
      </c>
      <c r="D487" t="s">
        <v>32</v>
      </c>
      <c r="E487" t="s">
        <v>17</v>
      </c>
      <c r="F487" s="3">
        <v>100</v>
      </c>
      <c r="G487">
        <v>38</v>
      </c>
      <c r="H487">
        <v>12.5</v>
      </c>
      <c r="I487">
        <v>20</v>
      </c>
      <c r="J487" t="s">
        <v>44</v>
      </c>
      <c r="K487" t="s">
        <v>20</v>
      </c>
      <c r="L487" t="s">
        <v>35</v>
      </c>
      <c r="M487" s="3">
        <v>50</v>
      </c>
      <c r="N487" s="2">
        <v>7000</v>
      </c>
      <c r="O487" t="str">
        <f t="shared" si="16"/>
        <v>&lt;=100</v>
      </c>
      <c r="P487" t="str">
        <f t="shared" si="17"/>
        <v>&lt;= 10000$</v>
      </c>
    </row>
    <row r="488" spans="1:16" hidden="1" x14ac:dyDescent="0.25">
      <c r="A488">
        <v>487</v>
      </c>
      <c r="B488" t="s">
        <v>113</v>
      </c>
      <c r="C488" t="s">
        <v>427</v>
      </c>
      <c r="D488" t="s">
        <v>32</v>
      </c>
      <c r="E488" t="s">
        <v>17</v>
      </c>
      <c r="F488" s="3">
        <v>50</v>
      </c>
      <c r="G488">
        <v>42</v>
      </c>
      <c r="H488">
        <v>14.05</v>
      </c>
      <c r="I488">
        <v>22</v>
      </c>
      <c r="J488" t="s">
        <v>44</v>
      </c>
      <c r="K488" t="s">
        <v>20</v>
      </c>
      <c r="L488" t="s">
        <v>141</v>
      </c>
      <c r="M488" s="3">
        <v>50</v>
      </c>
      <c r="N488" s="2">
        <v>6900</v>
      </c>
      <c r="O488" t="str">
        <f t="shared" si="16"/>
        <v>&lt;=100</v>
      </c>
      <c r="P488" t="str">
        <f t="shared" si="17"/>
        <v>&lt;= 10000$</v>
      </c>
    </row>
    <row r="489" spans="1:16" hidden="1" x14ac:dyDescent="0.25">
      <c r="A489">
        <v>488</v>
      </c>
      <c r="B489" t="s">
        <v>113</v>
      </c>
      <c r="C489" t="s">
        <v>429</v>
      </c>
      <c r="D489" t="s">
        <v>32</v>
      </c>
      <c r="E489" t="s">
        <v>17</v>
      </c>
      <c r="F489" s="3">
        <v>100</v>
      </c>
      <c r="G489">
        <v>38</v>
      </c>
      <c r="H489">
        <v>12.45</v>
      </c>
      <c r="I489">
        <v>19</v>
      </c>
      <c r="J489" t="s">
        <v>34</v>
      </c>
      <c r="K489" t="s">
        <v>20</v>
      </c>
      <c r="L489" t="s">
        <v>35</v>
      </c>
      <c r="M489" s="3">
        <v>50</v>
      </c>
      <c r="N489" s="2">
        <v>6900</v>
      </c>
      <c r="O489" t="str">
        <f t="shared" si="16"/>
        <v>&lt;=100</v>
      </c>
      <c r="P489" t="str">
        <f t="shared" si="17"/>
        <v>&lt;= 10000$</v>
      </c>
    </row>
    <row r="490" spans="1:16" hidden="1" x14ac:dyDescent="0.25">
      <c r="A490">
        <v>489</v>
      </c>
      <c r="B490" t="s">
        <v>113</v>
      </c>
      <c r="C490" t="s">
        <v>428</v>
      </c>
      <c r="D490" t="s">
        <v>16</v>
      </c>
      <c r="E490" t="s">
        <v>17</v>
      </c>
      <c r="F490" s="3">
        <v>100</v>
      </c>
      <c r="G490">
        <v>42</v>
      </c>
      <c r="H490">
        <v>12.75</v>
      </c>
      <c r="I490">
        <v>20</v>
      </c>
      <c r="J490" t="s">
        <v>28</v>
      </c>
      <c r="K490" t="s">
        <v>20</v>
      </c>
      <c r="L490" t="s">
        <v>35</v>
      </c>
      <c r="M490" s="3">
        <v>50</v>
      </c>
      <c r="N490" s="2">
        <v>6900</v>
      </c>
      <c r="O490" t="str">
        <f t="shared" si="16"/>
        <v>&lt;=100</v>
      </c>
      <c r="P490" t="str">
        <f t="shared" si="17"/>
        <v>&lt;= 10000$</v>
      </c>
    </row>
    <row r="491" spans="1:16" hidden="1" x14ac:dyDescent="0.25">
      <c r="A491">
        <v>490</v>
      </c>
      <c r="B491" t="s">
        <v>113</v>
      </c>
      <c r="C491" t="s">
        <v>428</v>
      </c>
      <c r="D491" t="s">
        <v>108</v>
      </c>
      <c r="E491" t="s">
        <v>17</v>
      </c>
      <c r="F491" s="3">
        <v>100</v>
      </c>
      <c r="G491">
        <v>42</v>
      </c>
      <c r="H491">
        <v>12.75</v>
      </c>
      <c r="I491">
        <v>20</v>
      </c>
      <c r="J491" t="s">
        <v>44</v>
      </c>
      <c r="K491" t="s">
        <v>20</v>
      </c>
      <c r="L491" t="s">
        <v>35</v>
      </c>
      <c r="M491" s="3">
        <v>50</v>
      </c>
      <c r="N491" s="2">
        <v>6500</v>
      </c>
      <c r="O491" t="str">
        <f t="shared" si="16"/>
        <v>&lt;=100</v>
      </c>
      <c r="P491" t="str">
        <f t="shared" si="17"/>
        <v>&lt;= 10000$</v>
      </c>
    </row>
    <row r="492" spans="1:16" hidden="1" x14ac:dyDescent="0.25">
      <c r="A492">
        <v>491</v>
      </c>
      <c r="B492" t="s">
        <v>113</v>
      </c>
      <c r="C492" t="s">
        <v>428</v>
      </c>
      <c r="D492" t="s">
        <v>32</v>
      </c>
      <c r="E492" t="s">
        <v>17</v>
      </c>
      <c r="F492" s="3">
        <v>100</v>
      </c>
      <c r="G492">
        <v>42</v>
      </c>
      <c r="H492">
        <v>12.75</v>
      </c>
      <c r="I492">
        <v>22</v>
      </c>
      <c r="J492" t="s">
        <v>19</v>
      </c>
      <c r="K492" t="s">
        <v>20</v>
      </c>
      <c r="L492" t="s">
        <v>35</v>
      </c>
      <c r="M492" s="3">
        <v>50</v>
      </c>
      <c r="N492" s="2">
        <v>6500</v>
      </c>
      <c r="O492" t="str">
        <f t="shared" si="16"/>
        <v>&lt;=100</v>
      </c>
      <c r="P492" t="str">
        <f t="shared" si="17"/>
        <v>&lt;= 10000$</v>
      </c>
    </row>
    <row r="493" spans="1:16" hidden="1" x14ac:dyDescent="0.25">
      <c r="A493">
        <v>492</v>
      </c>
      <c r="B493" t="s">
        <v>113</v>
      </c>
      <c r="C493" t="s">
        <v>428</v>
      </c>
      <c r="D493" t="s">
        <v>32</v>
      </c>
      <c r="E493" t="s">
        <v>17</v>
      </c>
      <c r="F493" s="3">
        <v>100</v>
      </c>
      <c r="G493">
        <v>42</v>
      </c>
      <c r="H493">
        <v>12.75</v>
      </c>
      <c r="I493">
        <v>20</v>
      </c>
      <c r="J493" t="s">
        <v>19</v>
      </c>
      <c r="K493" t="s">
        <v>20</v>
      </c>
      <c r="L493" t="s">
        <v>35</v>
      </c>
      <c r="M493" s="3">
        <v>50</v>
      </c>
      <c r="N493" s="2">
        <v>6500</v>
      </c>
      <c r="O493" t="str">
        <f t="shared" si="16"/>
        <v>&lt;=100</v>
      </c>
      <c r="P493" t="str">
        <f t="shared" si="17"/>
        <v>&lt;= 10000$</v>
      </c>
    </row>
    <row r="494" spans="1:16" hidden="1" x14ac:dyDescent="0.25">
      <c r="A494">
        <v>493</v>
      </c>
      <c r="B494" t="s">
        <v>113</v>
      </c>
      <c r="C494" t="s">
        <v>428</v>
      </c>
      <c r="D494" t="s">
        <v>32</v>
      </c>
      <c r="E494" t="s">
        <v>17</v>
      </c>
      <c r="F494" s="3">
        <v>100</v>
      </c>
      <c r="G494">
        <v>42</v>
      </c>
      <c r="H494">
        <v>12.75</v>
      </c>
      <c r="I494">
        <v>20</v>
      </c>
      <c r="J494" t="s">
        <v>19</v>
      </c>
      <c r="K494" t="s">
        <v>20</v>
      </c>
      <c r="L494" t="s">
        <v>35</v>
      </c>
      <c r="M494" s="3">
        <v>50</v>
      </c>
      <c r="N494" s="2">
        <v>6500</v>
      </c>
      <c r="O494" t="str">
        <f t="shared" si="16"/>
        <v>&lt;=100</v>
      </c>
      <c r="P494" t="str">
        <f t="shared" si="17"/>
        <v>&lt;= 10000$</v>
      </c>
    </row>
    <row r="495" spans="1:16" hidden="1" x14ac:dyDescent="0.25">
      <c r="A495">
        <v>494</v>
      </c>
      <c r="B495" t="s">
        <v>113</v>
      </c>
      <c r="C495" t="s">
        <v>427</v>
      </c>
      <c r="D495" t="s">
        <v>32</v>
      </c>
      <c r="E495" t="s">
        <v>17</v>
      </c>
      <c r="F495" s="3">
        <v>50</v>
      </c>
      <c r="G495">
        <v>42</v>
      </c>
      <c r="H495">
        <v>13.5</v>
      </c>
      <c r="I495">
        <v>22</v>
      </c>
      <c r="J495" t="s">
        <v>28</v>
      </c>
      <c r="K495" t="s">
        <v>20</v>
      </c>
      <c r="L495" t="s">
        <v>35</v>
      </c>
      <c r="M495" s="3">
        <v>50</v>
      </c>
      <c r="N495" s="2">
        <v>6500</v>
      </c>
      <c r="O495" t="str">
        <f t="shared" si="16"/>
        <v>&lt;=100</v>
      </c>
      <c r="P495" t="str">
        <f t="shared" si="17"/>
        <v>&lt;= 10000$</v>
      </c>
    </row>
    <row r="496" spans="1:16" hidden="1" x14ac:dyDescent="0.25">
      <c r="A496">
        <v>495</v>
      </c>
      <c r="B496" t="s">
        <v>113</v>
      </c>
      <c r="C496" t="s">
        <v>429</v>
      </c>
      <c r="D496" t="s">
        <v>32</v>
      </c>
      <c r="E496" t="s">
        <v>17</v>
      </c>
      <c r="F496" s="3">
        <v>100</v>
      </c>
      <c r="G496">
        <v>38</v>
      </c>
      <c r="H496">
        <v>12.45</v>
      </c>
      <c r="I496">
        <v>20</v>
      </c>
      <c r="J496" t="s">
        <v>44</v>
      </c>
      <c r="K496" t="s">
        <v>20</v>
      </c>
      <c r="L496" t="s">
        <v>35</v>
      </c>
      <c r="M496" s="3">
        <v>50</v>
      </c>
      <c r="N496" s="2">
        <v>6200</v>
      </c>
      <c r="O496" t="str">
        <f t="shared" si="16"/>
        <v>&lt;=100</v>
      </c>
      <c r="P496" t="str">
        <f t="shared" si="17"/>
        <v>&lt;= 10000$</v>
      </c>
    </row>
    <row r="497" spans="1:16" hidden="1" x14ac:dyDescent="0.25">
      <c r="A497">
        <v>496</v>
      </c>
      <c r="B497" t="s">
        <v>113</v>
      </c>
      <c r="C497" t="s">
        <v>428</v>
      </c>
      <c r="D497" t="s">
        <v>32</v>
      </c>
      <c r="E497" t="s">
        <v>17</v>
      </c>
      <c r="F497" s="3">
        <v>100</v>
      </c>
      <c r="G497">
        <v>42</v>
      </c>
      <c r="H497">
        <v>12.75</v>
      </c>
      <c r="I497">
        <v>20</v>
      </c>
      <c r="J497" t="s">
        <v>44</v>
      </c>
      <c r="K497" t="s">
        <v>20</v>
      </c>
      <c r="L497" t="s">
        <v>35</v>
      </c>
      <c r="M497" s="3">
        <v>50</v>
      </c>
      <c r="N497" s="2">
        <v>6000</v>
      </c>
      <c r="O497" t="str">
        <f t="shared" si="16"/>
        <v>&lt;=100</v>
      </c>
      <c r="P497" t="str">
        <f t="shared" si="17"/>
        <v>&lt;= 10000$</v>
      </c>
    </row>
    <row r="498" spans="1:16" hidden="1" x14ac:dyDescent="0.25">
      <c r="A498">
        <v>497</v>
      </c>
      <c r="B498" t="s">
        <v>113</v>
      </c>
      <c r="C498" t="s">
        <v>429</v>
      </c>
      <c r="D498" t="s">
        <v>32</v>
      </c>
      <c r="E498" t="s">
        <v>17</v>
      </c>
      <c r="F498" s="3">
        <v>100</v>
      </c>
      <c r="G498">
        <v>38</v>
      </c>
      <c r="H498">
        <v>12.4</v>
      </c>
      <c r="I498">
        <v>19</v>
      </c>
      <c r="J498" t="s">
        <v>34</v>
      </c>
      <c r="K498" t="s">
        <v>20</v>
      </c>
      <c r="L498" t="s">
        <v>35</v>
      </c>
      <c r="M498" s="3">
        <v>50</v>
      </c>
      <c r="N498" s="2">
        <v>6000</v>
      </c>
      <c r="O498" t="str">
        <f t="shared" si="16"/>
        <v>&lt;=100</v>
      </c>
      <c r="P498" t="str">
        <f t="shared" si="17"/>
        <v>&lt;= 10000$</v>
      </c>
    </row>
    <row r="499" spans="1:16" hidden="1" x14ac:dyDescent="0.25">
      <c r="A499">
        <v>498</v>
      </c>
      <c r="B499" t="s">
        <v>113</v>
      </c>
      <c r="C499" t="s">
        <v>427</v>
      </c>
      <c r="D499" t="s">
        <v>32</v>
      </c>
      <c r="E499" t="s">
        <v>17</v>
      </c>
      <c r="F499" s="3">
        <v>100</v>
      </c>
      <c r="G499">
        <v>42</v>
      </c>
      <c r="H499">
        <v>14.05</v>
      </c>
      <c r="I499">
        <v>20</v>
      </c>
      <c r="J499" t="s">
        <v>44</v>
      </c>
      <c r="K499" t="s">
        <v>20</v>
      </c>
      <c r="L499" t="s">
        <v>148</v>
      </c>
      <c r="M499" s="3">
        <v>50</v>
      </c>
      <c r="N499" s="2">
        <v>6000</v>
      </c>
      <c r="O499" t="str">
        <f t="shared" si="16"/>
        <v>&lt;=100</v>
      </c>
      <c r="P499" t="str">
        <f t="shared" si="17"/>
        <v>&lt;= 10000$</v>
      </c>
    </row>
    <row r="500" spans="1:16" hidden="1" x14ac:dyDescent="0.25">
      <c r="A500">
        <v>499</v>
      </c>
      <c r="B500" t="s">
        <v>113</v>
      </c>
      <c r="C500" t="s">
        <v>431</v>
      </c>
      <c r="D500" t="s">
        <v>32</v>
      </c>
      <c r="E500" t="s">
        <v>17</v>
      </c>
      <c r="F500" s="3">
        <v>100</v>
      </c>
      <c r="G500">
        <v>38</v>
      </c>
      <c r="H500">
        <v>12.45</v>
      </c>
      <c r="I500">
        <v>20</v>
      </c>
      <c r="J500" t="s">
        <v>44</v>
      </c>
      <c r="K500" t="s">
        <v>20</v>
      </c>
      <c r="L500" t="s">
        <v>35</v>
      </c>
      <c r="M500" s="3">
        <v>50</v>
      </c>
      <c r="N500" s="2">
        <v>6000</v>
      </c>
      <c r="O500" t="str">
        <f t="shared" si="16"/>
        <v>&lt;=100</v>
      </c>
      <c r="P500" t="str">
        <f t="shared" si="17"/>
        <v>&lt;= 10000$</v>
      </c>
    </row>
    <row r="501" spans="1:16" hidden="1" x14ac:dyDescent="0.25">
      <c r="A501">
        <v>500</v>
      </c>
      <c r="B501" t="s">
        <v>113</v>
      </c>
      <c r="C501" t="s">
        <v>429</v>
      </c>
      <c r="D501" t="s">
        <v>32</v>
      </c>
      <c r="E501" t="s">
        <v>17</v>
      </c>
      <c r="F501" s="3">
        <v>100</v>
      </c>
      <c r="G501">
        <v>38</v>
      </c>
      <c r="H501">
        <v>12.45</v>
      </c>
      <c r="I501">
        <v>20</v>
      </c>
      <c r="J501" t="s">
        <v>34</v>
      </c>
      <c r="K501" t="s">
        <v>20</v>
      </c>
      <c r="L501" t="s">
        <v>148</v>
      </c>
      <c r="M501" s="3">
        <v>50</v>
      </c>
      <c r="N501" s="2">
        <v>5600</v>
      </c>
      <c r="O501" t="str">
        <f t="shared" si="16"/>
        <v>&lt;=100</v>
      </c>
      <c r="P501" t="str">
        <f t="shared" si="17"/>
        <v>&lt;= 10000$</v>
      </c>
    </row>
    <row r="502" spans="1:16" hidden="1" x14ac:dyDescent="0.25">
      <c r="A502">
        <v>501</v>
      </c>
      <c r="B502" t="s">
        <v>113</v>
      </c>
      <c r="C502" t="s">
        <v>429</v>
      </c>
      <c r="D502" t="s">
        <v>32</v>
      </c>
      <c r="E502" t="s">
        <v>17</v>
      </c>
      <c r="F502" s="3">
        <v>100</v>
      </c>
      <c r="G502">
        <v>38</v>
      </c>
      <c r="H502">
        <v>12.75</v>
      </c>
      <c r="I502">
        <v>20</v>
      </c>
      <c r="J502" t="s">
        <v>34</v>
      </c>
      <c r="K502" t="s">
        <v>20</v>
      </c>
      <c r="L502" t="s">
        <v>35</v>
      </c>
      <c r="M502" s="3">
        <v>50</v>
      </c>
      <c r="N502" s="2">
        <v>5500</v>
      </c>
      <c r="O502" t="str">
        <f t="shared" si="16"/>
        <v>&lt;=100</v>
      </c>
      <c r="P502" t="str">
        <f t="shared" si="17"/>
        <v>&lt;= 10000$</v>
      </c>
    </row>
    <row r="503" spans="1:16" hidden="1" x14ac:dyDescent="0.25">
      <c r="A503">
        <v>502</v>
      </c>
      <c r="B503" t="s">
        <v>113</v>
      </c>
      <c r="C503" t="s">
        <v>432</v>
      </c>
      <c r="D503" t="s">
        <v>32</v>
      </c>
      <c r="E503" t="s">
        <v>17</v>
      </c>
      <c r="F503" s="3">
        <v>50</v>
      </c>
      <c r="G503">
        <v>40.5</v>
      </c>
      <c r="H503">
        <v>8.15</v>
      </c>
      <c r="I503">
        <v>22</v>
      </c>
      <c r="J503" t="s">
        <v>34</v>
      </c>
      <c r="K503" t="s">
        <v>20</v>
      </c>
      <c r="L503" t="s">
        <v>21</v>
      </c>
      <c r="M503" s="3">
        <v>50</v>
      </c>
      <c r="N503" s="2">
        <v>5500</v>
      </c>
      <c r="O503" t="str">
        <f t="shared" si="16"/>
        <v>&lt;=100</v>
      </c>
      <c r="P503" t="str">
        <f t="shared" si="17"/>
        <v>&lt;= 10000$</v>
      </c>
    </row>
    <row r="504" spans="1:16" hidden="1" x14ac:dyDescent="0.25">
      <c r="A504">
        <v>503</v>
      </c>
      <c r="B504" t="s">
        <v>113</v>
      </c>
      <c r="C504" t="s">
        <v>428</v>
      </c>
      <c r="D504" t="s">
        <v>32</v>
      </c>
      <c r="E504" t="s">
        <v>17</v>
      </c>
      <c r="F504" s="3">
        <v>100</v>
      </c>
      <c r="G504">
        <v>42</v>
      </c>
      <c r="H504">
        <v>12.75</v>
      </c>
      <c r="I504">
        <v>22</v>
      </c>
      <c r="J504" t="s">
        <v>19</v>
      </c>
      <c r="K504" t="s">
        <v>20</v>
      </c>
      <c r="L504" t="s">
        <v>35</v>
      </c>
      <c r="M504" s="3">
        <v>50</v>
      </c>
      <c r="N504" s="2">
        <v>5500</v>
      </c>
      <c r="O504" t="str">
        <f t="shared" si="16"/>
        <v>&lt;=100</v>
      </c>
      <c r="P504" t="str">
        <f t="shared" si="17"/>
        <v>&lt;= 10000$</v>
      </c>
    </row>
    <row r="505" spans="1:16" hidden="1" x14ac:dyDescent="0.25">
      <c r="A505">
        <v>504</v>
      </c>
      <c r="B505" t="s">
        <v>113</v>
      </c>
      <c r="C505" t="s">
        <v>433</v>
      </c>
      <c r="D505" t="s">
        <v>32</v>
      </c>
      <c r="E505" t="s">
        <v>17</v>
      </c>
      <c r="F505" s="3">
        <v>50</v>
      </c>
      <c r="G505">
        <v>39</v>
      </c>
      <c r="H505">
        <v>8.15</v>
      </c>
      <c r="I505">
        <v>20</v>
      </c>
      <c r="J505" t="s">
        <v>44</v>
      </c>
      <c r="K505" t="s">
        <v>20</v>
      </c>
      <c r="L505" t="s">
        <v>21</v>
      </c>
      <c r="M505" s="3">
        <v>50</v>
      </c>
      <c r="N505" s="2">
        <v>4900</v>
      </c>
      <c r="O505" t="str">
        <f t="shared" si="16"/>
        <v>&lt;=100</v>
      </c>
      <c r="P505" t="str">
        <f t="shared" si="17"/>
        <v>&lt;=5000$</v>
      </c>
    </row>
    <row r="506" spans="1:16" hidden="1" x14ac:dyDescent="0.25">
      <c r="A506">
        <v>505</v>
      </c>
      <c r="B506" t="s">
        <v>113</v>
      </c>
      <c r="C506" t="s">
        <v>432</v>
      </c>
      <c r="D506" t="s">
        <v>32</v>
      </c>
      <c r="E506" t="s">
        <v>17</v>
      </c>
      <c r="F506" s="3">
        <v>50</v>
      </c>
      <c r="G506">
        <v>40.5</v>
      </c>
      <c r="H506">
        <v>9.15</v>
      </c>
      <c r="I506">
        <v>20</v>
      </c>
      <c r="J506" t="s">
        <v>44</v>
      </c>
      <c r="K506" t="s">
        <v>20</v>
      </c>
      <c r="L506" t="s">
        <v>45</v>
      </c>
      <c r="M506" s="3">
        <v>50</v>
      </c>
      <c r="N506" s="2">
        <v>4500</v>
      </c>
      <c r="O506" t="str">
        <f t="shared" si="16"/>
        <v>&lt;=100</v>
      </c>
      <c r="P506" t="str">
        <f t="shared" si="17"/>
        <v>&lt;=5000$</v>
      </c>
    </row>
    <row r="536" spans="3:3" x14ac:dyDescent="0.25">
      <c r="C536" s="55"/>
    </row>
    <row r="537" spans="3:3" x14ac:dyDescent="0.25">
      <c r="C537" s="55">
        <f t="shared" ref="C537:C572" si="18">COUNTIF(Brand, B537)</f>
        <v>0</v>
      </c>
    </row>
    <row r="538" spans="3:3" x14ac:dyDescent="0.25">
      <c r="C538" s="55">
        <f t="shared" si="18"/>
        <v>0</v>
      </c>
    </row>
    <row r="539" spans="3:3" x14ac:dyDescent="0.25">
      <c r="C539" s="55">
        <f t="shared" si="18"/>
        <v>0</v>
      </c>
    </row>
    <row r="540" spans="3:3" x14ac:dyDescent="0.25">
      <c r="C540" s="55">
        <f t="shared" si="18"/>
        <v>0</v>
      </c>
    </row>
    <row r="541" spans="3:3" x14ac:dyDescent="0.25">
      <c r="C541" s="55">
        <f t="shared" si="18"/>
        <v>0</v>
      </c>
    </row>
    <row r="542" spans="3:3" x14ac:dyDescent="0.25">
      <c r="C542" s="55">
        <f t="shared" si="18"/>
        <v>0</v>
      </c>
    </row>
    <row r="543" spans="3:3" x14ac:dyDescent="0.25">
      <c r="C543" s="55">
        <f t="shared" si="18"/>
        <v>0</v>
      </c>
    </row>
    <row r="544" spans="3:3" x14ac:dyDescent="0.25">
      <c r="C544" s="55">
        <f t="shared" si="18"/>
        <v>0</v>
      </c>
    </row>
    <row r="545" spans="3:3" x14ac:dyDescent="0.25">
      <c r="C545" s="55">
        <f t="shared" si="18"/>
        <v>0</v>
      </c>
    </row>
    <row r="546" spans="3:3" x14ac:dyDescent="0.25">
      <c r="C546" s="55">
        <f t="shared" si="18"/>
        <v>0</v>
      </c>
    </row>
    <row r="547" spans="3:3" x14ac:dyDescent="0.25">
      <c r="C547" s="55">
        <f t="shared" si="18"/>
        <v>0</v>
      </c>
    </row>
    <row r="548" spans="3:3" x14ac:dyDescent="0.25">
      <c r="C548" s="55">
        <f t="shared" si="18"/>
        <v>0</v>
      </c>
    </row>
    <row r="549" spans="3:3" x14ac:dyDescent="0.25">
      <c r="C549" s="55">
        <f t="shared" si="18"/>
        <v>0</v>
      </c>
    </row>
    <row r="550" spans="3:3" x14ac:dyDescent="0.25">
      <c r="C550" s="55">
        <f t="shared" si="18"/>
        <v>0</v>
      </c>
    </row>
    <row r="551" spans="3:3" x14ac:dyDescent="0.25">
      <c r="C551" s="55">
        <f t="shared" si="18"/>
        <v>0</v>
      </c>
    </row>
    <row r="552" spans="3:3" x14ac:dyDescent="0.25">
      <c r="C552" s="55">
        <f t="shared" si="18"/>
        <v>0</v>
      </c>
    </row>
    <row r="553" spans="3:3" x14ac:dyDescent="0.25">
      <c r="C553" s="55">
        <f t="shared" si="18"/>
        <v>0</v>
      </c>
    </row>
    <row r="554" spans="3:3" x14ac:dyDescent="0.25">
      <c r="C554" s="55">
        <f t="shared" si="18"/>
        <v>0</v>
      </c>
    </row>
    <row r="555" spans="3:3" x14ac:dyDescent="0.25">
      <c r="C555" s="55">
        <f t="shared" si="18"/>
        <v>0</v>
      </c>
    </row>
    <row r="556" spans="3:3" x14ac:dyDescent="0.25">
      <c r="C556" s="55">
        <f t="shared" si="18"/>
        <v>0</v>
      </c>
    </row>
    <row r="557" spans="3:3" x14ac:dyDescent="0.25">
      <c r="C557" s="55">
        <f t="shared" si="18"/>
        <v>0</v>
      </c>
    </row>
    <row r="558" spans="3:3" x14ac:dyDescent="0.25">
      <c r="C558" s="55">
        <f t="shared" si="18"/>
        <v>0</v>
      </c>
    </row>
    <row r="559" spans="3:3" x14ac:dyDescent="0.25">
      <c r="C559" s="55">
        <f t="shared" si="18"/>
        <v>0</v>
      </c>
    </row>
    <row r="560" spans="3:3" x14ac:dyDescent="0.25">
      <c r="C560" s="55">
        <f t="shared" si="18"/>
        <v>0</v>
      </c>
    </row>
    <row r="561" spans="3:3" x14ac:dyDescent="0.25">
      <c r="C561" s="55">
        <f t="shared" si="18"/>
        <v>0</v>
      </c>
    </row>
    <row r="562" spans="3:3" x14ac:dyDescent="0.25">
      <c r="C562" s="55">
        <f t="shared" si="18"/>
        <v>0</v>
      </c>
    </row>
    <row r="563" spans="3:3" x14ac:dyDescent="0.25">
      <c r="C563" s="55">
        <f t="shared" si="18"/>
        <v>0</v>
      </c>
    </row>
    <row r="564" spans="3:3" x14ac:dyDescent="0.25">
      <c r="C564" s="55">
        <f t="shared" si="18"/>
        <v>0</v>
      </c>
    </row>
    <row r="565" spans="3:3" x14ac:dyDescent="0.25">
      <c r="C565" s="55">
        <f t="shared" si="18"/>
        <v>0</v>
      </c>
    </row>
    <row r="566" spans="3:3" x14ac:dyDescent="0.25">
      <c r="C566" s="55">
        <f t="shared" si="18"/>
        <v>0</v>
      </c>
    </row>
    <row r="567" spans="3:3" x14ac:dyDescent="0.25">
      <c r="C567" s="55">
        <f t="shared" si="18"/>
        <v>0</v>
      </c>
    </row>
    <row r="568" spans="3:3" x14ac:dyDescent="0.25">
      <c r="C568" s="55">
        <f t="shared" si="18"/>
        <v>0</v>
      </c>
    </row>
    <row r="569" spans="3:3" x14ac:dyDescent="0.25">
      <c r="C569" s="55">
        <f t="shared" si="18"/>
        <v>0</v>
      </c>
    </row>
    <row r="570" spans="3:3" x14ac:dyDescent="0.25">
      <c r="C570" s="55">
        <f t="shared" si="18"/>
        <v>0</v>
      </c>
    </row>
    <row r="571" spans="3:3" x14ac:dyDescent="0.25">
      <c r="C571" s="55">
        <f t="shared" si="18"/>
        <v>0</v>
      </c>
    </row>
    <row r="572" spans="3:3" x14ac:dyDescent="0.25">
      <c r="C572" s="55">
        <f t="shared" si="18"/>
        <v>0</v>
      </c>
    </row>
  </sheetData>
  <autoFilter ref="A1:P506" xr:uid="{2D306082-5701-4425-B0C7-9A4AC8CBDD99}">
    <filterColumn colId="4">
      <filters>
        <filter val="Quartz"/>
      </filters>
    </filterColumn>
    <sortState xmlns:xlrd2="http://schemas.microsoft.com/office/spreadsheetml/2017/richdata2" ref="A122:P425">
      <sortCondition ref="N1:N506"/>
    </sortState>
  </autoFilter>
  <conditionalFormatting sqref="C1:C535 C573:C1048576">
    <cfRule type="expression" dxfId="2" priority="3">
      <formula>$M1="N/A"</formula>
    </cfRule>
  </conditionalFormatting>
  <conditionalFormatting sqref="N1:N1048576">
    <cfRule type="dataBar" priority="2">
      <dataBar>
        <cfvo type="min"/>
        <cfvo type="max"/>
        <color rgb="FF63C384"/>
      </dataBar>
      <extLst>
        <ext xmlns:x14="http://schemas.microsoft.com/office/spreadsheetml/2009/9/main" uri="{B025F937-C7B1-47D3-B67F-A62EFF666E3E}">
          <x14:id>{16EF559C-AB7A-47B4-9E13-6020E2AA8FA0}</x14:id>
        </ext>
      </extLst>
    </cfRule>
  </conditionalFormatting>
  <conditionalFormatting sqref="F1:F1048576">
    <cfRule type="dataBar" priority="1">
      <dataBar>
        <cfvo type="min"/>
        <cfvo type="max"/>
        <color rgb="FF638EC6"/>
      </dataBar>
      <extLst>
        <ext xmlns:x14="http://schemas.microsoft.com/office/spreadsheetml/2009/9/main" uri="{B025F937-C7B1-47D3-B67F-A62EFF666E3E}">
          <x14:id>{036D3347-F0F3-4F4F-924D-79DFB1AAACFC}</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16EF559C-AB7A-47B4-9E13-6020E2AA8FA0}">
            <x14:dataBar minLength="0" maxLength="100" border="1" negativeBarBorderColorSameAsPositive="0">
              <x14:cfvo type="autoMin"/>
              <x14:cfvo type="autoMax"/>
              <x14:borderColor rgb="FF63C384"/>
              <x14:negativeFillColor rgb="FFFF0000"/>
              <x14:negativeBorderColor rgb="FFFF0000"/>
              <x14:axisColor rgb="FF000000"/>
            </x14:dataBar>
          </x14:cfRule>
          <xm:sqref>N1:N1048576</xm:sqref>
        </x14:conditionalFormatting>
        <x14:conditionalFormatting xmlns:xm="http://schemas.microsoft.com/office/excel/2006/main">
          <x14:cfRule type="dataBar" id="{036D3347-F0F3-4F4F-924D-79DFB1AAACFC}">
            <x14:dataBar minLength="0" maxLength="100" border="1" negativeBarBorderColorSameAsPositive="0">
              <x14:cfvo type="autoMin"/>
              <x14:cfvo type="autoMax"/>
              <x14:borderColor rgb="FF638EC6"/>
              <x14:negativeFillColor rgb="FFFF0000"/>
              <x14:negativeBorderColor rgb="FFFF0000"/>
              <x14:axisColor rgb="FF000000"/>
            </x14:dataBar>
          </x14:cfRule>
          <xm:sqref>F1:F1048576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A5824-BB96-4BFB-BBCC-CC604C11B29C}">
  <sheetPr codeName="Sheet9">
    <tabColor theme="1"/>
  </sheetPr>
  <dimension ref="A1:P506"/>
  <sheetViews>
    <sheetView topLeftCell="E1" zoomScaleNormal="100" workbookViewId="0">
      <selection activeCell="AA31" sqref="AA31"/>
    </sheetView>
  </sheetViews>
  <sheetFormatPr defaultRowHeight="15" x14ac:dyDescent="0.25"/>
  <cols>
    <col min="1" max="1" width="0" hidden="1" customWidth="1"/>
    <col min="2" max="2" width="19.7109375" hidden="1" customWidth="1"/>
    <col min="3" max="3" width="37.7109375" hidden="1" customWidth="1"/>
    <col min="4" max="4" width="15.28515625" hidden="1" customWidth="1"/>
    <col min="5" max="5" width="15.5703125" bestFit="1" customWidth="1"/>
    <col min="6" max="6" width="16.42578125" style="3" bestFit="1" customWidth="1"/>
    <col min="7" max="7" width="19.42578125" hidden="1" customWidth="1"/>
    <col min="8" max="8" width="19.7109375" bestFit="1" customWidth="1"/>
    <col min="9" max="9" width="16.7109375" hidden="1" customWidth="1"/>
    <col min="10" max="10" width="11.42578125" hidden="1" customWidth="1"/>
    <col min="11" max="11" width="15" hidden="1" customWidth="1"/>
    <col min="12" max="12" width="32" hidden="1" customWidth="1"/>
    <col min="13" max="13" width="14.42578125" style="3" bestFit="1" customWidth="1"/>
    <col min="14" max="14" width="10.85546875" bestFit="1" customWidth="1"/>
    <col min="15" max="15" width="18.28515625" hidden="1" customWidth="1"/>
    <col min="16" max="16" width="12.5703125" hidden="1" customWidth="1"/>
  </cols>
  <sheetData>
    <row r="1" spans="1:16" x14ac:dyDescent="0.25">
      <c r="A1" t="s">
        <v>434</v>
      </c>
      <c r="B1" t="s">
        <v>0</v>
      </c>
      <c r="C1" t="s">
        <v>1</v>
      </c>
      <c r="D1" t="s">
        <v>3</v>
      </c>
      <c r="E1" t="s">
        <v>4</v>
      </c>
      <c r="F1" s="3" t="s">
        <v>5</v>
      </c>
      <c r="G1" t="s">
        <v>6</v>
      </c>
      <c r="H1" t="s">
        <v>7</v>
      </c>
      <c r="I1" t="s">
        <v>8</v>
      </c>
      <c r="J1" t="s">
        <v>9</v>
      </c>
      <c r="K1" t="s">
        <v>10</v>
      </c>
      <c r="L1" t="s">
        <v>11</v>
      </c>
      <c r="M1" s="3" t="s">
        <v>12</v>
      </c>
      <c r="N1" s="2" t="s">
        <v>13</v>
      </c>
      <c r="O1" t="s">
        <v>438</v>
      </c>
      <c r="P1" t="s">
        <v>443</v>
      </c>
    </row>
    <row r="2" spans="1:16" x14ac:dyDescent="0.25">
      <c r="A2">
        <v>4</v>
      </c>
      <c r="B2" t="s">
        <v>76</v>
      </c>
      <c r="C2" t="s">
        <v>253</v>
      </c>
      <c r="D2" t="s">
        <v>168</v>
      </c>
      <c r="E2" t="s">
        <v>17</v>
      </c>
      <c r="F2" s="3">
        <v>50</v>
      </c>
      <c r="G2">
        <v>41</v>
      </c>
      <c r="H2">
        <v>9.8000000000000007</v>
      </c>
      <c r="I2">
        <v>20</v>
      </c>
      <c r="J2" t="s">
        <v>28</v>
      </c>
      <c r="K2" t="s">
        <v>20</v>
      </c>
      <c r="L2" t="s">
        <v>21</v>
      </c>
      <c r="M2" s="3">
        <v>60</v>
      </c>
      <c r="N2" s="2">
        <v>55000</v>
      </c>
      <c r="O2" t="str">
        <f t="shared" ref="O2:O65" si="0">IF($F2&lt;=100, "&lt;=100", IF($F2&lt;=200, "100-200", IF($F2&lt;=300, "200-300", IF($F2&lt;=500, "300-500", IF($F2&lt;1000, "500-1000", "1000+")))))</f>
        <v>&lt;=100</v>
      </c>
      <c r="P2" t="str">
        <f t="shared" ref="P2:P65" si="1">IF(N2&lt;=1000, "&lt;= 1000$", IF(N2&lt;=2000, " &lt;=2000$", IF(N2&lt;=5000, "&lt;=5000$", IF(N2&lt;=10000, "&lt;= 10000$", IF(N2&lt;=20000, "&lt;= 20000$", IF(N2&lt;40000, "&lt;= 40000$", "40000$ +"))))))</f>
        <v>40000$ +</v>
      </c>
    </row>
    <row r="3" spans="1:16" x14ac:dyDescent="0.25">
      <c r="A3">
        <v>5</v>
      </c>
      <c r="B3" t="s">
        <v>76</v>
      </c>
      <c r="C3" t="s">
        <v>254</v>
      </c>
      <c r="D3" t="s">
        <v>32</v>
      </c>
      <c r="E3" t="s">
        <v>17</v>
      </c>
      <c r="F3" s="3">
        <v>50</v>
      </c>
      <c r="G3">
        <v>37</v>
      </c>
      <c r="H3">
        <v>9.8000000000000007</v>
      </c>
      <c r="I3">
        <v>20</v>
      </c>
      <c r="J3" t="s">
        <v>19</v>
      </c>
      <c r="K3" t="s">
        <v>20</v>
      </c>
      <c r="L3" t="s">
        <v>21</v>
      </c>
      <c r="M3" s="3">
        <v>60</v>
      </c>
      <c r="N3" s="2">
        <v>38500</v>
      </c>
      <c r="O3" t="str">
        <f t="shared" si="0"/>
        <v>&lt;=100</v>
      </c>
      <c r="P3" t="str">
        <f t="shared" si="1"/>
        <v>&lt;= 40000$</v>
      </c>
    </row>
    <row r="4" spans="1:16" x14ac:dyDescent="0.25">
      <c r="A4">
        <v>6</v>
      </c>
      <c r="B4" t="s">
        <v>76</v>
      </c>
      <c r="C4" t="s">
        <v>254</v>
      </c>
      <c r="D4" t="s">
        <v>168</v>
      </c>
      <c r="E4" t="s">
        <v>17</v>
      </c>
      <c r="F4" s="3">
        <v>50</v>
      </c>
      <c r="G4">
        <v>37</v>
      </c>
      <c r="H4">
        <v>9.8000000000000007</v>
      </c>
      <c r="I4">
        <v>18</v>
      </c>
      <c r="J4" t="s">
        <v>28</v>
      </c>
      <c r="K4" t="s">
        <v>20</v>
      </c>
      <c r="L4" t="s">
        <v>45</v>
      </c>
      <c r="M4" s="3">
        <v>60</v>
      </c>
      <c r="N4" s="2">
        <v>36500</v>
      </c>
      <c r="O4" t="str">
        <f t="shared" si="0"/>
        <v>&lt;=100</v>
      </c>
      <c r="P4" t="str">
        <f t="shared" si="1"/>
        <v>&lt;= 40000$</v>
      </c>
    </row>
    <row r="5" spans="1:16" x14ac:dyDescent="0.25">
      <c r="A5">
        <v>7</v>
      </c>
      <c r="B5" t="s">
        <v>76</v>
      </c>
      <c r="C5" t="s">
        <v>255</v>
      </c>
      <c r="D5" t="s">
        <v>16</v>
      </c>
      <c r="E5" t="s">
        <v>17</v>
      </c>
      <c r="F5" s="3">
        <v>50</v>
      </c>
      <c r="G5">
        <v>41</v>
      </c>
      <c r="H5">
        <v>10.4</v>
      </c>
      <c r="I5">
        <v>20</v>
      </c>
      <c r="J5" t="s">
        <v>28</v>
      </c>
      <c r="K5" t="s">
        <v>20</v>
      </c>
      <c r="L5" t="s">
        <v>21</v>
      </c>
      <c r="M5" s="3">
        <v>60</v>
      </c>
      <c r="N5" s="2">
        <v>28500</v>
      </c>
      <c r="O5" t="str">
        <f t="shared" si="0"/>
        <v>&lt;=100</v>
      </c>
      <c r="P5" t="str">
        <f t="shared" si="1"/>
        <v>&lt;= 40000$</v>
      </c>
    </row>
    <row r="6" spans="1:16" x14ac:dyDescent="0.25">
      <c r="A6">
        <v>8</v>
      </c>
      <c r="B6" t="s">
        <v>76</v>
      </c>
      <c r="C6" t="s">
        <v>255</v>
      </c>
      <c r="D6" t="s">
        <v>16</v>
      </c>
      <c r="E6" t="s">
        <v>17</v>
      </c>
      <c r="F6" s="3">
        <v>50</v>
      </c>
      <c r="G6">
        <v>41</v>
      </c>
      <c r="H6">
        <v>10.4</v>
      </c>
      <c r="I6">
        <v>20</v>
      </c>
      <c r="J6" t="s">
        <v>28</v>
      </c>
      <c r="K6" t="s">
        <v>20</v>
      </c>
      <c r="L6" t="s">
        <v>21</v>
      </c>
      <c r="M6" s="3">
        <v>60</v>
      </c>
      <c r="N6" s="2">
        <v>28500</v>
      </c>
      <c r="O6" t="str">
        <f t="shared" si="0"/>
        <v>&lt;=100</v>
      </c>
      <c r="P6" t="str">
        <f t="shared" si="1"/>
        <v>&lt;= 40000$</v>
      </c>
    </row>
    <row r="7" spans="1:16" x14ac:dyDescent="0.25">
      <c r="A7">
        <v>9</v>
      </c>
      <c r="B7" t="s">
        <v>76</v>
      </c>
      <c r="C7" t="s">
        <v>255</v>
      </c>
      <c r="D7" t="s">
        <v>16</v>
      </c>
      <c r="E7" t="s">
        <v>17</v>
      </c>
      <c r="F7" s="3">
        <v>50</v>
      </c>
      <c r="G7">
        <v>41</v>
      </c>
      <c r="H7">
        <v>10.4</v>
      </c>
      <c r="I7">
        <v>20</v>
      </c>
      <c r="J7" t="s">
        <v>28</v>
      </c>
      <c r="K7" t="s">
        <v>20</v>
      </c>
      <c r="L7" t="s">
        <v>21</v>
      </c>
      <c r="M7" s="3">
        <v>60</v>
      </c>
      <c r="N7" s="2">
        <v>27000</v>
      </c>
      <c r="O7" t="str">
        <f t="shared" si="0"/>
        <v>&lt;=100</v>
      </c>
      <c r="P7" t="str">
        <f t="shared" si="1"/>
        <v>&lt;= 40000$</v>
      </c>
    </row>
    <row r="8" spans="1:16" x14ac:dyDescent="0.25">
      <c r="A8">
        <v>10</v>
      </c>
      <c r="B8" t="s">
        <v>76</v>
      </c>
      <c r="C8" t="s">
        <v>255</v>
      </c>
      <c r="D8" t="s">
        <v>16</v>
      </c>
      <c r="E8" t="s">
        <v>17</v>
      </c>
      <c r="F8" s="3">
        <v>50</v>
      </c>
      <c r="G8">
        <v>41</v>
      </c>
      <c r="H8">
        <v>10.4</v>
      </c>
      <c r="I8">
        <v>20</v>
      </c>
      <c r="J8" t="s">
        <v>28</v>
      </c>
      <c r="K8" t="s">
        <v>20</v>
      </c>
      <c r="L8" t="s">
        <v>21</v>
      </c>
      <c r="M8" s="3">
        <v>60</v>
      </c>
      <c r="N8" s="2">
        <v>26000</v>
      </c>
      <c r="O8" t="str">
        <f t="shared" si="0"/>
        <v>&lt;=100</v>
      </c>
      <c r="P8" t="str">
        <f t="shared" si="1"/>
        <v>&lt;= 40000$</v>
      </c>
    </row>
    <row r="9" spans="1:16" x14ac:dyDescent="0.25">
      <c r="A9">
        <v>11</v>
      </c>
      <c r="B9" t="s">
        <v>76</v>
      </c>
      <c r="C9" t="s">
        <v>255</v>
      </c>
      <c r="D9" t="s">
        <v>16</v>
      </c>
      <c r="E9" t="s">
        <v>17</v>
      </c>
      <c r="F9" s="3">
        <v>50</v>
      </c>
      <c r="G9">
        <v>41</v>
      </c>
      <c r="H9">
        <v>9.8000000000000007</v>
      </c>
      <c r="I9">
        <v>20</v>
      </c>
      <c r="J9" t="s">
        <v>28</v>
      </c>
      <c r="K9" t="s">
        <v>20</v>
      </c>
      <c r="L9" t="s">
        <v>21</v>
      </c>
      <c r="M9" s="3">
        <v>60</v>
      </c>
      <c r="N9" s="2">
        <v>25000</v>
      </c>
      <c r="O9" t="str">
        <f t="shared" si="0"/>
        <v>&lt;=100</v>
      </c>
      <c r="P9" t="str">
        <f t="shared" si="1"/>
        <v>&lt;= 40000$</v>
      </c>
    </row>
    <row r="10" spans="1:16" x14ac:dyDescent="0.25">
      <c r="A10">
        <v>12</v>
      </c>
      <c r="B10" t="s">
        <v>76</v>
      </c>
      <c r="C10" t="s">
        <v>255</v>
      </c>
      <c r="D10" t="s">
        <v>16</v>
      </c>
      <c r="E10" t="s">
        <v>17</v>
      </c>
      <c r="F10" s="3">
        <v>50</v>
      </c>
      <c r="G10">
        <v>41</v>
      </c>
      <c r="H10">
        <v>10.4</v>
      </c>
      <c r="I10">
        <v>20</v>
      </c>
      <c r="J10" t="s">
        <v>28</v>
      </c>
      <c r="K10" t="s">
        <v>20</v>
      </c>
      <c r="L10" t="s">
        <v>222</v>
      </c>
      <c r="M10" s="3">
        <v>60</v>
      </c>
      <c r="N10" s="2">
        <v>25000</v>
      </c>
      <c r="O10" t="str">
        <f t="shared" si="0"/>
        <v>&lt;=100</v>
      </c>
      <c r="P10" t="str">
        <f t="shared" si="1"/>
        <v>&lt;= 40000$</v>
      </c>
    </row>
    <row r="11" spans="1:16" x14ac:dyDescent="0.25">
      <c r="A11">
        <v>13</v>
      </c>
      <c r="B11" t="s">
        <v>76</v>
      </c>
      <c r="C11" t="s">
        <v>255</v>
      </c>
      <c r="D11" t="s">
        <v>16</v>
      </c>
      <c r="E11" t="s">
        <v>17</v>
      </c>
      <c r="F11" s="3">
        <v>50</v>
      </c>
      <c r="G11">
        <v>41</v>
      </c>
      <c r="H11">
        <v>9.8000000000000007</v>
      </c>
      <c r="I11">
        <v>20</v>
      </c>
      <c r="J11" t="s">
        <v>28</v>
      </c>
      <c r="K11" t="s">
        <v>20</v>
      </c>
      <c r="L11" t="s">
        <v>169</v>
      </c>
      <c r="M11" s="3">
        <v>60</v>
      </c>
      <c r="N11" s="2">
        <v>25000</v>
      </c>
      <c r="O11" t="str">
        <f t="shared" si="0"/>
        <v>&lt;=100</v>
      </c>
      <c r="P11" t="str">
        <f t="shared" si="1"/>
        <v>&lt;= 40000$</v>
      </c>
    </row>
    <row r="12" spans="1:16" x14ac:dyDescent="0.25">
      <c r="A12">
        <v>14</v>
      </c>
      <c r="B12" t="s">
        <v>76</v>
      </c>
      <c r="C12" t="s">
        <v>255</v>
      </c>
      <c r="D12" t="s">
        <v>16</v>
      </c>
      <c r="E12" t="s">
        <v>17</v>
      </c>
      <c r="F12" s="3">
        <v>50</v>
      </c>
      <c r="G12">
        <v>41</v>
      </c>
      <c r="H12">
        <v>10.4</v>
      </c>
      <c r="I12">
        <v>20</v>
      </c>
      <c r="J12" t="s">
        <v>28</v>
      </c>
      <c r="K12" t="s">
        <v>20</v>
      </c>
      <c r="L12" t="s">
        <v>21</v>
      </c>
      <c r="M12" s="3">
        <v>60</v>
      </c>
      <c r="N12" s="2">
        <v>24800</v>
      </c>
      <c r="O12" t="str">
        <f t="shared" si="0"/>
        <v>&lt;=100</v>
      </c>
      <c r="P12" t="str">
        <f t="shared" si="1"/>
        <v>&lt;= 40000$</v>
      </c>
    </row>
    <row r="13" spans="1:16" x14ac:dyDescent="0.25">
      <c r="A13">
        <v>15</v>
      </c>
      <c r="B13" t="s">
        <v>76</v>
      </c>
      <c r="C13" t="s">
        <v>255</v>
      </c>
      <c r="D13" t="s">
        <v>16</v>
      </c>
      <c r="E13" t="s">
        <v>17</v>
      </c>
      <c r="F13" s="3">
        <v>50</v>
      </c>
      <c r="G13">
        <v>41</v>
      </c>
      <c r="H13">
        <v>9.8000000000000007</v>
      </c>
      <c r="I13">
        <v>20</v>
      </c>
      <c r="J13" t="s">
        <v>28</v>
      </c>
      <c r="K13" t="s">
        <v>20</v>
      </c>
      <c r="L13" t="s">
        <v>21</v>
      </c>
      <c r="M13" s="3">
        <v>60</v>
      </c>
      <c r="N13" s="2">
        <v>24500</v>
      </c>
      <c r="O13" t="str">
        <f t="shared" si="0"/>
        <v>&lt;=100</v>
      </c>
      <c r="P13" t="str">
        <f t="shared" si="1"/>
        <v>&lt;= 40000$</v>
      </c>
    </row>
    <row r="14" spans="1:16" x14ac:dyDescent="0.25">
      <c r="A14">
        <v>16</v>
      </c>
      <c r="B14" t="s">
        <v>76</v>
      </c>
      <c r="C14" t="s">
        <v>255</v>
      </c>
      <c r="D14" t="s">
        <v>16</v>
      </c>
      <c r="E14" t="s">
        <v>17</v>
      </c>
      <c r="F14" s="3">
        <v>50</v>
      </c>
      <c r="G14">
        <v>41</v>
      </c>
      <c r="H14">
        <v>9.8000000000000007</v>
      </c>
      <c r="I14">
        <v>20</v>
      </c>
      <c r="J14" t="s">
        <v>28</v>
      </c>
      <c r="K14" t="s">
        <v>20</v>
      </c>
      <c r="L14" t="s">
        <v>21</v>
      </c>
      <c r="M14" s="3">
        <v>60</v>
      </c>
      <c r="N14" s="2">
        <v>24500</v>
      </c>
      <c r="O14" t="str">
        <f t="shared" si="0"/>
        <v>&lt;=100</v>
      </c>
      <c r="P14" t="str">
        <f t="shared" si="1"/>
        <v>&lt;= 40000$</v>
      </c>
    </row>
    <row r="15" spans="1:16" x14ac:dyDescent="0.25">
      <c r="A15">
        <v>17</v>
      </c>
      <c r="B15" t="s">
        <v>76</v>
      </c>
      <c r="C15" t="s">
        <v>255</v>
      </c>
      <c r="D15" t="s">
        <v>16</v>
      </c>
      <c r="E15" t="s">
        <v>17</v>
      </c>
      <c r="F15" s="3">
        <v>50</v>
      </c>
      <c r="G15">
        <v>41</v>
      </c>
      <c r="H15">
        <v>10.4</v>
      </c>
      <c r="I15">
        <v>20</v>
      </c>
      <c r="J15" t="s">
        <v>19</v>
      </c>
      <c r="K15" t="s">
        <v>20</v>
      </c>
      <c r="L15" t="s">
        <v>21</v>
      </c>
      <c r="M15" s="3">
        <v>60</v>
      </c>
      <c r="N15" s="2">
        <v>24000</v>
      </c>
      <c r="O15" t="str">
        <f t="shared" si="0"/>
        <v>&lt;=100</v>
      </c>
      <c r="P15" t="str">
        <f t="shared" si="1"/>
        <v>&lt;= 40000$</v>
      </c>
    </row>
    <row r="16" spans="1:16" x14ac:dyDescent="0.25">
      <c r="A16">
        <v>18</v>
      </c>
      <c r="B16" t="s">
        <v>76</v>
      </c>
      <c r="C16" t="s">
        <v>255</v>
      </c>
      <c r="D16" t="s">
        <v>16</v>
      </c>
      <c r="E16" t="s">
        <v>17</v>
      </c>
      <c r="F16" s="3">
        <v>50</v>
      </c>
      <c r="G16">
        <v>41</v>
      </c>
      <c r="H16">
        <v>9.8000000000000007</v>
      </c>
      <c r="I16">
        <v>20</v>
      </c>
      <c r="J16" t="s">
        <v>19</v>
      </c>
      <c r="K16" t="s">
        <v>20</v>
      </c>
      <c r="L16" t="s">
        <v>21</v>
      </c>
      <c r="M16" s="3">
        <v>60</v>
      </c>
      <c r="N16" s="2">
        <v>23100</v>
      </c>
      <c r="O16" t="str">
        <f t="shared" si="0"/>
        <v>&lt;=100</v>
      </c>
      <c r="P16" t="str">
        <f t="shared" si="1"/>
        <v>&lt;= 40000$</v>
      </c>
    </row>
    <row r="17" spans="1:16" x14ac:dyDescent="0.25">
      <c r="A17">
        <v>19</v>
      </c>
      <c r="B17" t="s">
        <v>76</v>
      </c>
      <c r="C17" t="s">
        <v>255</v>
      </c>
      <c r="D17" t="s">
        <v>16</v>
      </c>
      <c r="E17" t="s">
        <v>17</v>
      </c>
      <c r="F17" s="3">
        <v>50</v>
      </c>
      <c r="G17">
        <v>41</v>
      </c>
      <c r="H17">
        <v>9.8000000000000007</v>
      </c>
      <c r="I17">
        <v>20</v>
      </c>
      <c r="J17" t="s">
        <v>19</v>
      </c>
      <c r="K17" t="s">
        <v>20</v>
      </c>
      <c r="L17" t="s">
        <v>21</v>
      </c>
      <c r="M17" s="3">
        <v>60</v>
      </c>
      <c r="N17" s="2">
        <v>22500</v>
      </c>
      <c r="O17" t="str">
        <f t="shared" si="0"/>
        <v>&lt;=100</v>
      </c>
      <c r="P17" t="str">
        <f t="shared" si="1"/>
        <v>&lt;= 40000$</v>
      </c>
    </row>
    <row r="18" spans="1:16" x14ac:dyDescent="0.25">
      <c r="A18">
        <v>20</v>
      </c>
      <c r="B18" t="s">
        <v>76</v>
      </c>
      <c r="C18" t="s">
        <v>255</v>
      </c>
      <c r="D18" t="s">
        <v>16</v>
      </c>
      <c r="E18" t="s">
        <v>17</v>
      </c>
      <c r="F18" s="3">
        <v>50</v>
      </c>
      <c r="G18">
        <v>41</v>
      </c>
      <c r="H18">
        <v>9.8000000000000007</v>
      </c>
      <c r="I18">
        <v>20</v>
      </c>
      <c r="J18" t="s">
        <v>28</v>
      </c>
      <c r="K18" t="s">
        <v>20</v>
      </c>
      <c r="L18" t="s">
        <v>148</v>
      </c>
      <c r="M18" s="3">
        <v>50</v>
      </c>
      <c r="N18" s="2">
        <v>22300</v>
      </c>
      <c r="O18" t="str">
        <f t="shared" si="0"/>
        <v>&lt;=100</v>
      </c>
      <c r="P18" t="str">
        <f t="shared" si="1"/>
        <v>&lt;= 40000$</v>
      </c>
    </row>
    <row r="19" spans="1:16" x14ac:dyDescent="0.25">
      <c r="A19">
        <v>21</v>
      </c>
      <c r="B19" t="s">
        <v>76</v>
      </c>
      <c r="C19" t="s">
        <v>255</v>
      </c>
      <c r="D19" t="s">
        <v>16</v>
      </c>
      <c r="E19" t="s">
        <v>17</v>
      </c>
      <c r="F19" s="3">
        <v>50</v>
      </c>
      <c r="G19">
        <v>41</v>
      </c>
      <c r="H19">
        <v>9.8000000000000007</v>
      </c>
      <c r="I19">
        <v>20</v>
      </c>
      <c r="J19" t="s">
        <v>44</v>
      </c>
      <c r="K19" t="s">
        <v>20</v>
      </c>
      <c r="L19" t="s">
        <v>21</v>
      </c>
      <c r="M19" s="3">
        <v>60</v>
      </c>
      <c r="N19" s="2">
        <v>22000</v>
      </c>
      <c r="O19" t="str">
        <f t="shared" si="0"/>
        <v>&lt;=100</v>
      </c>
      <c r="P19" t="str">
        <f t="shared" si="1"/>
        <v>&lt;= 40000$</v>
      </c>
    </row>
    <row r="20" spans="1:16" x14ac:dyDescent="0.25">
      <c r="A20">
        <v>22</v>
      </c>
      <c r="B20" t="s">
        <v>76</v>
      </c>
      <c r="C20" t="s">
        <v>255</v>
      </c>
      <c r="D20" t="s">
        <v>16</v>
      </c>
      <c r="E20" t="s">
        <v>17</v>
      </c>
      <c r="F20" s="3">
        <v>50</v>
      </c>
      <c r="G20">
        <v>41</v>
      </c>
      <c r="H20">
        <v>9.8000000000000007</v>
      </c>
      <c r="I20">
        <v>20</v>
      </c>
      <c r="J20" t="s">
        <v>28</v>
      </c>
      <c r="K20" t="s">
        <v>20</v>
      </c>
      <c r="L20" t="s">
        <v>21</v>
      </c>
      <c r="M20" s="3">
        <v>60</v>
      </c>
      <c r="N20" s="2">
        <v>22000</v>
      </c>
      <c r="O20" t="str">
        <f t="shared" si="0"/>
        <v>&lt;=100</v>
      </c>
      <c r="P20" t="str">
        <f t="shared" si="1"/>
        <v>&lt;= 40000$</v>
      </c>
    </row>
    <row r="21" spans="1:16" x14ac:dyDescent="0.25">
      <c r="A21">
        <v>23</v>
      </c>
      <c r="B21" t="s">
        <v>76</v>
      </c>
      <c r="C21" t="s">
        <v>255</v>
      </c>
      <c r="D21" t="s">
        <v>16</v>
      </c>
      <c r="E21" t="s">
        <v>17</v>
      </c>
      <c r="F21" s="3">
        <v>50</v>
      </c>
      <c r="G21">
        <v>41</v>
      </c>
      <c r="H21">
        <v>9.8000000000000007</v>
      </c>
      <c r="I21">
        <v>20</v>
      </c>
      <c r="J21" t="s">
        <v>19</v>
      </c>
      <c r="K21" t="s">
        <v>20</v>
      </c>
      <c r="L21" t="s">
        <v>21</v>
      </c>
      <c r="M21" s="3">
        <v>60</v>
      </c>
      <c r="N21" s="2">
        <v>22000</v>
      </c>
      <c r="O21" t="str">
        <f t="shared" si="0"/>
        <v>&lt;=100</v>
      </c>
      <c r="P21" t="str">
        <f t="shared" si="1"/>
        <v>&lt;= 40000$</v>
      </c>
    </row>
    <row r="22" spans="1:16" x14ac:dyDescent="0.25">
      <c r="A22">
        <v>24</v>
      </c>
      <c r="B22" t="s">
        <v>76</v>
      </c>
      <c r="C22" t="s">
        <v>255</v>
      </c>
      <c r="D22" t="s">
        <v>16</v>
      </c>
      <c r="E22" t="s">
        <v>17</v>
      </c>
      <c r="F22" s="3">
        <v>50</v>
      </c>
      <c r="G22">
        <v>41</v>
      </c>
      <c r="H22">
        <v>9.8000000000000007</v>
      </c>
      <c r="I22">
        <v>20</v>
      </c>
      <c r="J22" t="s">
        <v>28</v>
      </c>
      <c r="K22" t="s">
        <v>20</v>
      </c>
      <c r="L22" t="s">
        <v>21</v>
      </c>
      <c r="M22" s="3">
        <v>60</v>
      </c>
      <c r="N22" s="2">
        <v>22000</v>
      </c>
      <c r="O22" t="str">
        <f t="shared" si="0"/>
        <v>&lt;=100</v>
      </c>
      <c r="P22" t="str">
        <f t="shared" si="1"/>
        <v>&lt;= 40000$</v>
      </c>
    </row>
    <row r="23" spans="1:16" x14ac:dyDescent="0.25">
      <c r="A23">
        <v>25</v>
      </c>
      <c r="B23" t="s">
        <v>76</v>
      </c>
      <c r="C23" t="s">
        <v>255</v>
      </c>
      <c r="D23" t="s">
        <v>16</v>
      </c>
      <c r="E23" t="s">
        <v>17</v>
      </c>
      <c r="F23" s="3">
        <v>50</v>
      </c>
      <c r="G23">
        <v>41</v>
      </c>
      <c r="H23">
        <v>10.4</v>
      </c>
      <c r="I23">
        <v>20</v>
      </c>
      <c r="J23" t="s">
        <v>19</v>
      </c>
      <c r="K23" t="s">
        <v>20</v>
      </c>
      <c r="L23" t="s">
        <v>21</v>
      </c>
      <c r="M23" s="3">
        <v>60</v>
      </c>
      <c r="N23" s="2">
        <v>22000</v>
      </c>
      <c r="O23" t="str">
        <f t="shared" si="0"/>
        <v>&lt;=100</v>
      </c>
      <c r="P23" t="str">
        <f t="shared" si="1"/>
        <v>&lt;= 40000$</v>
      </c>
    </row>
    <row r="24" spans="1:16" x14ac:dyDescent="0.25">
      <c r="A24">
        <v>26</v>
      </c>
      <c r="B24" t="s">
        <v>76</v>
      </c>
      <c r="C24" t="s">
        <v>255</v>
      </c>
      <c r="D24" t="s">
        <v>16</v>
      </c>
      <c r="E24" t="s">
        <v>17</v>
      </c>
      <c r="F24" s="3">
        <v>50</v>
      </c>
      <c r="G24">
        <v>41</v>
      </c>
      <c r="H24">
        <v>9.8000000000000007</v>
      </c>
      <c r="I24">
        <v>20</v>
      </c>
      <c r="J24" t="s">
        <v>19</v>
      </c>
      <c r="K24" t="s">
        <v>20</v>
      </c>
      <c r="L24" t="s">
        <v>21</v>
      </c>
      <c r="M24" s="3">
        <v>60</v>
      </c>
      <c r="N24" s="2">
        <v>22000</v>
      </c>
      <c r="O24" t="str">
        <f t="shared" si="0"/>
        <v>&lt;=100</v>
      </c>
      <c r="P24" t="str">
        <f t="shared" si="1"/>
        <v>&lt;= 40000$</v>
      </c>
    </row>
    <row r="25" spans="1:16" x14ac:dyDescent="0.25">
      <c r="A25">
        <v>27</v>
      </c>
      <c r="B25" t="s">
        <v>76</v>
      </c>
      <c r="C25" t="s">
        <v>255</v>
      </c>
      <c r="D25" t="s">
        <v>16</v>
      </c>
      <c r="E25" t="s">
        <v>17</v>
      </c>
      <c r="F25" s="3">
        <v>50</v>
      </c>
      <c r="G25">
        <v>41</v>
      </c>
      <c r="H25">
        <v>10.4</v>
      </c>
      <c r="I25">
        <v>20</v>
      </c>
      <c r="J25" t="s">
        <v>19</v>
      </c>
      <c r="K25" t="s">
        <v>20</v>
      </c>
      <c r="L25" t="s">
        <v>21</v>
      </c>
      <c r="M25" s="3">
        <v>60</v>
      </c>
      <c r="N25" s="2">
        <v>21000</v>
      </c>
      <c r="O25" t="str">
        <f t="shared" si="0"/>
        <v>&lt;=100</v>
      </c>
      <c r="P25" t="str">
        <f t="shared" si="1"/>
        <v>&lt;= 40000$</v>
      </c>
    </row>
    <row r="26" spans="1:16" x14ac:dyDescent="0.25">
      <c r="A26">
        <v>28</v>
      </c>
      <c r="B26" t="s">
        <v>76</v>
      </c>
      <c r="C26" t="s">
        <v>255</v>
      </c>
      <c r="D26" t="s">
        <v>16</v>
      </c>
      <c r="E26" t="s">
        <v>17</v>
      </c>
      <c r="F26" s="3">
        <v>50</v>
      </c>
      <c r="G26">
        <v>41</v>
      </c>
      <c r="H26">
        <v>10.4</v>
      </c>
      <c r="I26">
        <v>20</v>
      </c>
      <c r="J26" t="s">
        <v>44</v>
      </c>
      <c r="K26" t="s">
        <v>20</v>
      </c>
      <c r="L26" t="s">
        <v>21</v>
      </c>
      <c r="M26" s="3">
        <v>60</v>
      </c>
      <c r="N26" s="2">
        <v>21000</v>
      </c>
      <c r="O26" t="str">
        <f t="shared" si="0"/>
        <v>&lt;=100</v>
      </c>
      <c r="P26" t="str">
        <f t="shared" si="1"/>
        <v>&lt;= 40000$</v>
      </c>
    </row>
    <row r="27" spans="1:16" x14ac:dyDescent="0.25">
      <c r="A27">
        <v>29</v>
      </c>
      <c r="B27" t="s">
        <v>76</v>
      </c>
      <c r="C27" t="s">
        <v>255</v>
      </c>
      <c r="D27" t="s">
        <v>16</v>
      </c>
      <c r="E27" t="s">
        <v>17</v>
      </c>
      <c r="F27" s="3">
        <v>50</v>
      </c>
      <c r="G27">
        <v>41</v>
      </c>
      <c r="H27">
        <v>10.4</v>
      </c>
      <c r="I27">
        <v>20</v>
      </c>
      <c r="J27" t="s">
        <v>28</v>
      </c>
      <c r="K27" t="s">
        <v>20</v>
      </c>
      <c r="L27" t="s">
        <v>21</v>
      </c>
      <c r="M27" s="3">
        <v>60</v>
      </c>
      <c r="N27" s="2">
        <v>20900</v>
      </c>
      <c r="O27" t="str">
        <f t="shared" si="0"/>
        <v>&lt;=100</v>
      </c>
      <c r="P27" t="str">
        <f t="shared" si="1"/>
        <v>&lt;= 40000$</v>
      </c>
    </row>
    <row r="28" spans="1:16" x14ac:dyDescent="0.25">
      <c r="A28">
        <v>30</v>
      </c>
      <c r="B28" t="s">
        <v>76</v>
      </c>
      <c r="C28" t="s">
        <v>255</v>
      </c>
      <c r="D28" t="s">
        <v>16</v>
      </c>
      <c r="E28" t="s">
        <v>17</v>
      </c>
      <c r="F28" s="3">
        <v>50</v>
      </c>
      <c r="G28">
        <v>41</v>
      </c>
      <c r="H28">
        <v>9.8000000000000007</v>
      </c>
      <c r="I28">
        <v>20</v>
      </c>
      <c r="J28" t="s">
        <v>28</v>
      </c>
      <c r="K28" t="s">
        <v>20</v>
      </c>
      <c r="L28" t="s">
        <v>21</v>
      </c>
      <c r="M28" s="3">
        <v>60</v>
      </c>
      <c r="N28" s="2">
        <v>20400</v>
      </c>
      <c r="O28" t="str">
        <f t="shared" si="0"/>
        <v>&lt;=100</v>
      </c>
      <c r="P28" t="str">
        <f t="shared" si="1"/>
        <v>&lt;= 40000$</v>
      </c>
    </row>
    <row r="29" spans="1:16" x14ac:dyDescent="0.25">
      <c r="A29">
        <v>31</v>
      </c>
      <c r="B29" t="s">
        <v>76</v>
      </c>
      <c r="C29" t="s">
        <v>255</v>
      </c>
      <c r="D29" t="s">
        <v>16</v>
      </c>
      <c r="E29" t="s">
        <v>17</v>
      </c>
      <c r="F29" s="3">
        <v>50</v>
      </c>
      <c r="G29">
        <v>41</v>
      </c>
      <c r="H29">
        <v>9.8000000000000007</v>
      </c>
      <c r="I29">
        <v>20</v>
      </c>
      <c r="J29" t="s">
        <v>28</v>
      </c>
      <c r="K29" t="s">
        <v>20</v>
      </c>
      <c r="L29" t="s">
        <v>21</v>
      </c>
      <c r="M29" s="3">
        <v>60</v>
      </c>
      <c r="N29" s="2">
        <v>20000</v>
      </c>
      <c r="O29" t="str">
        <f t="shared" si="0"/>
        <v>&lt;=100</v>
      </c>
      <c r="P29" t="str">
        <f t="shared" si="1"/>
        <v>&lt;= 20000$</v>
      </c>
    </row>
    <row r="30" spans="1:16" x14ac:dyDescent="0.25">
      <c r="A30">
        <v>32</v>
      </c>
      <c r="B30" t="s">
        <v>76</v>
      </c>
      <c r="C30" t="s">
        <v>255</v>
      </c>
      <c r="D30" t="s">
        <v>16</v>
      </c>
      <c r="E30" t="s">
        <v>17</v>
      </c>
      <c r="F30" s="3">
        <v>50</v>
      </c>
      <c r="G30">
        <v>41</v>
      </c>
      <c r="H30">
        <v>10.4</v>
      </c>
      <c r="I30">
        <v>20</v>
      </c>
      <c r="J30" t="s">
        <v>28</v>
      </c>
      <c r="K30" t="s">
        <v>20</v>
      </c>
      <c r="L30" t="s">
        <v>21</v>
      </c>
      <c r="M30" s="3">
        <v>60</v>
      </c>
      <c r="N30" s="2">
        <v>19900</v>
      </c>
      <c r="O30" t="str">
        <f t="shared" si="0"/>
        <v>&lt;=100</v>
      </c>
      <c r="P30" t="str">
        <f t="shared" si="1"/>
        <v>&lt;= 20000$</v>
      </c>
    </row>
    <row r="31" spans="1:16" x14ac:dyDescent="0.25">
      <c r="A31">
        <v>33</v>
      </c>
      <c r="B31" t="s">
        <v>76</v>
      </c>
      <c r="C31" t="s">
        <v>255</v>
      </c>
      <c r="D31" t="s">
        <v>16</v>
      </c>
      <c r="E31" t="s">
        <v>17</v>
      </c>
      <c r="F31" s="3">
        <v>50</v>
      </c>
      <c r="G31">
        <v>41</v>
      </c>
      <c r="H31">
        <v>9.5</v>
      </c>
      <c r="I31">
        <v>20</v>
      </c>
      <c r="J31" t="s">
        <v>19</v>
      </c>
      <c r="K31" t="s">
        <v>20</v>
      </c>
      <c r="L31" t="s">
        <v>21</v>
      </c>
      <c r="M31" s="3">
        <v>60</v>
      </c>
      <c r="N31" s="2">
        <v>19800</v>
      </c>
      <c r="O31" t="str">
        <f t="shared" si="0"/>
        <v>&lt;=100</v>
      </c>
      <c r="P31" t="str">
        <f t="shared" si="1"/>
        <v>&lt;= 20000$</v>
      </c>
    </row>
    <row r="32" spans="1:16" x14ac:dyDescent="0.25">
      <c r="A32">
        <v>34</v>
      </c>
      <c r="B32" t="s">
        <v>76</v>
      </c>
      <c r="C32" t="s">
        <v>256</v>
      </c>
      <c r="D32" t="s">
        <v>16</v>
      </c>
      <c r="E32" t="s">
        <v>17</v>
      </c>
      <c r="F32" s="3">
        <v>50</v>
      </c>
      <c r="G32">
        <v>37</v>
      </c>
      <c r="H32">
        <v>9.8000000000000007</v>
      </c>
      <c r="I32">
        <v>20</v>
      </c>
      <c r="J32" t="s">
        <v>28</v>
      </c>
      <c r="K32" t="s">
        <v>20</v>
      </c>
      <c r="L32" t="s">
        <v>21</v>
      </c>
      <c r="M32" s="3">
        <v>40</v>
      </c>
      <c r="N32" s="2">
        <v>19500</v>
      </c>
      <c r="O32" t="str">
        <f t="shared" si="0"/>
        <v>&lt;=100</v>
      </c>
      <c r="P32" t="str">
        <f t="shared" si="1"/>
        <v>&lt;= 20000$</v>
      </c>
    </row>
    <row r="33" spans="1:16" x14ac:dyDescent="0.25">
      <c r="A33">
        <v>35</v>
      </c>
      <c r="B33" t="s">
        <v>76</v>
      </c>
      <c r="C33" t="s">
        <v>255</v>
      </c>
      <c r="D33" t="s">
        <v>16</v>
      </c>
      <c r="E33" t="s">
        <v>17</v>
      </c>
      <c r="F33" s="3">
        <v>50</v>
      </c>
      <c r="G33">
        <v>41</v>
      </c>
      <c r="H33">
        <v>10.4</v>
      </c>
      <c r="I33">
        <v>20</v>
      </c>
      <c r="J33" t="s">
        <v>28</v>
      </c>
      <c r="K33" t="s">
        <v>20</v>
      </c>
      <c r="L33" t="s">
        <v>21</v>
      </c>
      <c r="M33" s="3">
        <v>60</v>
      </c>
      <c r="N33" s="2">
        <v>19500</v>
      </c>
      <c r="O33" t="str">
        <f t="shared" si="0"/>
        <v>&lt;=100</v>
      </c>
      <c r="P33" t="str">
        <f t="shared" si="1"/>
        <v>&lt;= 20000$</v>
      </c>
    </row>
    <row r="34" spans="1:16" x14ac:dyDescent="0.25">
      <c r="A34">
        <v>36</v>
      </c>
      <c r="B34" t="s">
        <v>76</v>
      </c>
      <c r="C34" t="s">
        <v>257</v>
      </c>
      <c r="D34" t="s">
        <v>16</v>
      </c>
      <c r="E34" t="s">
        <v>17</v>
      </c>
      <c r="F34" s="3">
        <v>50</v>
      </c>
      <c r="G34">
        <v>39</v>
      </c>
      <c r="H34">
        <v>9.4</v>
      </c>
      <c r="I34">
        <v>20</v>
      </c>
      <c r="J34" t="s">
        <v>28</v>
      </c>
      <c r="K34" t="s">
        <v>20</v>
      </c>
      <c r="L34" t="s">
        <v>147</v>
      </c>
      <c r="M34" s="3">
        <v>60</v>
      </c>
      <c r="N34" s="2">
        <v>18900</v>
      </c>
      <c r="O34" t="str">
        <f t="shared" si="0"/>
        <v>&lt;=100</v>
      </c>
      <c r="P34" t="str">
        <f t="shared" si="1"/>
        <v>&lt;= 20000$</v>
      </c>
    </row>
    <row r="35" spans="1:16" x14ac:dyDescent="0.25">
      <c r="A35">
        <v>37</v>
      </c>
      <c r="B35" t="s">
        <v>76</v>
      </c>
      <c r="C35" t="s">
        <v>255</v>
      </c>
      <c r="D35" t="s">
        <v>16</v>
      </c>
      <c r="E35" t="s">
        <v>17</v>
      </c>
      <c r="F35" s="3">
        <v>50</v>
      </c>
      <c r="G35">
        <v>41</v>
      </c>
      <c r="H35">
        <v>9.8000000000000007</v>
      </c>
      <c r="I35">
        <v>20</v>
      </c>
      <c r="J35" t="s">
        <v>28</v>
      </c>
      <c r="K35" t="s">
        <v>20</v>
      </c>
      <c r="L35" t="s">
        <v>21</v>
      </c>
      <c r="M35" s="3">
        <v>60</v>
      </c>
      <c r="N35" s="2">
        <v>18500</v>
      </c>
      <c r="O35" t="str">
        <f t="shared" si="0"/>
        <v>&lt;=100</v>
      </c>
      <c r="P35" t="str">
        <f t="shared" si="1"/>
        <v>&lt;= 20000$</v>
      </c>
    </row>
    <row r="36" spans="1:16" x14ac:dyDescent="0.25">
      <c r="A36">
        <v>38</v>
      </c>
      <c r="B36" t="s">
        <v>76</v>
      </c>
      <c r="C36" t="s">
        <v>256</v>
      </c>
      <c r="D36" t="s">
        <v>16</v>
      </c>
      <c r="E36" t="s">
        <v>17</v>
      </c>
      <c r="F36" s="3">
        <v>50</v>
      </c>
      <c r="G36">
        <v>37</v>
      </c>
      <c r="H36">
        <v>9</v>
      </c>
      <c r="I36">
        <v>16</v>
      </c>
      <c r="J36" t="s">
        <v>28</v>
      </c>
      <c r="K36" t="s">
        <v>20</v>
      </c>
      <c r="L36" t="s">
        <v>21</v>
      </c>
      <c r="M36" s="3">
        <v>60</v>
      </c>
      <c r="N36" s="2">
        <v>18000</v>
      </c>
      <c r="O36" t="str">
        <f t="shared" si="0"/>
        <v>&lt;=100</v>
      </c>
      <c r="P36" t="str">
        <f t="shared" si="1"/>
        <v>&lt;= 20000$</v>
      </c>
    </row>
    <row r="37" spans="1:16" x14ac:dyDescent="0.25">
      <c r="A37">
        <v>39</v>
      </c>
      <c r="B37" t="s">
        <v>76</v>
      </c>
      <c r="C37" t="s">
        <v>255</v>
      </c>
      <c r="D37" t="s">
        <v>16</v>
      </c>
      <c r="E37" t="s">
        <v>17</v>
      </c>
      <c r="F37" s="3">
        <v>50</v>
      </c>
      <c r="G37">
        <v>41</v>
      </c>
      <c r="H37">
        <v>10.4</v>
      </c>
      <c r="I37">
        <v>20</v>
      </c>
      <c r="J37" t="s">
        <v>19</v>
      </c>
      <c r="K37" t="s">
        <v>20</v>
      </c>
      <c r="L37" t="s">
        <v>21</v>
      </c>
      <c r="M37" s="3">
        <v>60</v>
      </c>
      <c r="N37" s="2">
        <v>17800</v>
      </c>
      <c r="O37" t="str">
        <f t="shared" si="0"/>
        <v>&lt;=100</v>
      </c>
      <c r="P37" t="str">
        <f t="shared" si="1"/>
        <v>&lt;= 20000$</v>
      </c>
    </row>
    <row r="38" spans="1:16" x14ac:dyDescent="0.25">
      <c r="A38">
        <v>40</v>
      </c>
      <c r="B38" t="s">
        <v>76</v>
      </c>
      <c r="C38" t="s">
        <v>255</v>
      </c>
      <c r="D38" t="s">
        <v>16</v>
      </c>
      <c r="E38" t="s">
        <v>17</v>
      </c>
      <c r="F38" s="3">
        <v>50</v>
      </c>
      <c r="G38">
        <v>41</v>
      </c>
      <c r="H38">
        <v>10.4</v>
      </c>
      <c r="I38">
        <v>20</v>
      </c>
      <c r="J38" t="s">
        <v>28</v>
      </c>
      <c r="K38" t="s">
        <v>20</v>
      </c>
      <c r="L38" t="s">
        <v>21</v>
      </c>
      <c r="M38" s="3">
        <v>60</v>
      </c>
      <c r="N38" s="2">
        <v>17000</v>
      </c>
      <c r="O38" t="str">
        <f t="shared" si="0"/>
        <v>&lt;=100</v>
      </c>
      <c r="P38" t="str">
        <f t="shared" si="1"/>
        <v>&lt;= 20000$</v>
      </c>
    </row>
    <row r="39" spans="1:16" x14ac:dyDescent="0.25">
      <c r="A39">
        <v>41</v>
      </c>
      <c r="B39" t="s">
        <v>76</v>
      </c>
      <c r="C39" t="s">
        <v>255</v>
      </c>
      <c r="D39" t="s">
        <v>16</v>
      </c>
      <c r="E39" t="s">
        <v>17</v>
      </c>
      <c r="F39" s="3">
        <v>50</v>
      </c>
      <c r="G39">
        <v>41</v>
      </c>
      <c r="H39">
        <v>10.4</v>
      </c>
      <c r="I39">
        <v>20</v>
      </c>
      <c r="J39" t="s">
        <v>248</v>
      </c>
      <c r="K39" t="s">
        <v>20</v>
      </c>
      <c r="L39" t="s">
        <v>21</v>
      </c>
      <c r="M39" s="3">
        <v>60</v>
      </c>
      <c r="N39" s="2">
        <v>17000</v>
      </c>
      <c r="O39" t="str">
        <f t="shared" si="0"/>
        <v>&lt;=100</v>
      </c>
      <c r="P39" t="str">
        <f t="shared" si="1"/>
        <v>&lt;= 20000$</v>
      </c>
    </row>
    <row r="40" spans="1:16" x14ac:dyDescent="0.25">
      <c r="A40">
        <v>42</v>
      </c>
      <c r="B40" t="s">
        <v>233</v>
      </c>
      <c r="C40" t="s">
        <v>258</v>
      </c>
      <c r="D40" t="s">
        <v>32</v>
      </c>
      <c r="E40" t="s">
        <v>17</v>
      </c>
      <c r="F40" s="3">
        <v>50</v>
      </c>
      <c r="G40">
        <v>40</v>
      </c>
      <c r="H40">
        <v>10.3</v>
      </c>
      <c r="I40">
        <v>20</v>
      </c>
      <c r="J40" t="s">
        <v>44</v>
      </c>
      <c r="K40" t="s">
        <v>20</v>
      </c>
      <c r="L40" t="s">
        <v>21</v>
      </c>
      <c r="M40" s="3">
        <v>120</v>
      </c>
      <c r="N40" s="2">
        <v>2750</v>
      </c>
      <c r="O40" t="str">
        <f t="shared" si="0"/>
        <v>&lt;=100</v>
      </c>
      <c r="P40" t="str">
        <f t="shared" si="1"/>
        <v>&lt;=5000$</v>
      </c>
    </row>
    <row r="41" spans="1:16" x14ac:dyDescent="0.25">
      <c r="A41">
        <v>43</v>
      </c>
      <c r="B41" t="s">
        <v>69</v>
      </c>
      <c r="C41" t="s">
        <v>259</v>
      </c>
      <c r="D41" t="s">
        <v>26</v>
      </c>
      <c r="E41" t="s">
        <v>17</v>
      </c>
      <c r="F41" s="3">
        <v>100</v>
      </c>
      <c r="G41">
        <v>42</v>
      </c>
      <c r="H41">
        <v>11.5</v>
      </c>
      <c r="I41">
        <v>24</v>
      </c>
      <c r="J41" t="s">
        <v>19</v>
      </c>
      <c r="K41" t="s">
        <v>20</v>
      </c>
      <c r="L41" t="s">
        <v>35</v>
      </c>
      <c r="M41" s="3">
        <v>42</v>
      </c>
      <c r="N41" s="2">
        <v>4500</v>
      </c>
      <c r="O41" t="str">
        <f t="shared" si="0"/>
        <v>&lt;=100</v>
      </c>
      <c r="P41" t="str">
        <f t="shared" si="1"/>
        <v>&lt;=5000$</v>
      </c>
    </row>
    <row r="42" spans="1:16" x14ac:dyDescent="0.25">
      <c r="A42">
        <v>44</v>
      </c>
      <c r="B42" t="s">
        <v>69</v>
      </c>
      <c r="C42" t="s">
        <v>260</v>
      </c>
      <c r="D42" t="s">
        <v>26</v>
      </c>
      <c r="E42" t="s">
        <v>17</v>
      </c>
      <c r="F42" s="3">
        <v>100</v>
      </c>
      <c r="G42">
        <v>42</v>
      </c>
      <c r="H42">
        <v>9.8000000000000007</v>
      </c>
      <c r="I42">
        <v>24</v>
      </c>
      <c r="J42" t="s">
        <v>19</v>
      </c>
      <c r="K42" t="s">
        <v>20</v>
      </c>
      <c r="L42" t="s">
        <v>45</v>
      </c>
      <c r="M42" s="3">
        <v>40</v>
      </c>
      <c r="N42" s="2">
        <v>3800</v>
      </c>
      <c r="O42" t="str">
        <f t="shared" si="0"/>
        <v>&lt;=100</v>
      </c>
      <c r="P42" t="str">
        <f t="shared" si="1"/>
        <v>&lt;=5000$</v>
      </c>
    </row>
    <row r="43" spans="1:16" x14ac:dyDescent="0.25">
      <c r="A43">
        <v>45</v>
      </c>
      <c r="B43" t="s">
        <v>69</v>
      </c>
      <c r="C43" t="s">
        <v>261</v>
      </c>
      <c r="D43" t="s">
        <v>26</v>
      </c>
      <c r="E43" t="s">
        <v>17</v>
      </c>
      <c r="F43" s="3">
        <v>100</v>
      </c>
      <c r="G43">
        <v>41</v>
      </c>
      <c r="H43">
        <v>9.6999999999999993</v>
      </c>
      <c r="I43">
        <v>22</v>
      </c>
      <c r="J43" t="s">
        <v>19</v>
      </c>
      <c r="K43" t="s">
        <v>20</v>
      </c>
      <c r="L43" t="s">
        <v>21</v>
      </c>
      <c r="M43" s="3">
        <v>40</v>
      </c>
      <c r="N43" s="2">
        <v>2500</v>
      </c>
      <c r="O43" t="str">
        <f t="shared" si="0"/>
        <v>&lt;=100</v>
      </c>
      <c r="P43" t="str">
        <f t="shared" si="1"/>
        <v>&lt;=5000$</v>
      </c>
    </row>
    <row r="44" spans="1:16" x14ac:dyDescent="0.25">
      <c r="A44">
        <v>46</v>
      </c>
      <c r="B44" t="s">
        <v>69</v>
      </c>
      <c r="C44" t="s">
        <v>260</v>
      </c>
      <c r="D44" t="s">
        <v>26</v>
      </c>
      <c r="E44" t="s">
        <v>17</v>
      </c>
      <c r="F44" s="3">
        <v>100</v>
      </c>
      <c r="G44">
        <v>42</v>
      </c>
      <c r="H44">
        <v>9.3000000000000007</v>
      </c>
      <c r="I44">
        <v>22</v>
      </c>
      <c r="J44" t="s">
        <v>19</v>
      </c>
      <c r="K44" t="s">
        <v>20</v>
      </c>
      <c r="L44" t="s">
        <v>45</v>
      </c>
      <c r="M44" s="3">
        <v>42</v>
      </c>
      <c r="N44" s="2">
        <v>2399</v>
      </c>
      <c r="O44" t="str">
        <f t="shared" si="0"/>
        <v>&lt;=100</v>
      </c>
      <c r="P44" t="str">
        <f t="shared" si="1"/>
        <v>&lt;=5000$</v>
      </c>
    </row>
    <row r="45" spans="1:16" x14ac:dyDescent="0.25">
      <c r="A45">
        <v>47</v>
      </c>
      <c r="B45" t="s">
        <v>109</v>
      </c>
      <c r="C45" t="s">
        <v>262</v>
      </c>
      <c r="D45" t="s">
        <v>26</v>
      </c>
      <c r="E45" t="s">
        <v>17</v>
      </c>
      <c r="F45" s="3">
        <v>300</v>
      </c>
      <c r="G45">
        <v>45</v>
      </c>
      <c r="H45">
        <v>15.5</v>
      </c>
      <c r="I45">
        <v>23</v>
      </c>
      <c r="J45" t="s">
        <v>19</v>
      </c>
      <c r="K45" t="s">
        <v>20</v>
      </c>
      <c r="L45" t="s">
        <v>45</v>
      </c>
      <c r="M45" s="3">
        <v>120</v>
      </c>
      <c r="N45" s="2">
        <v>16800</v>
      </c>
      <c r="O45" t="str">
        <f t="shared" si="0"/>
        <v>200-300</v>
      </c>
      <c r="P45" t="str">
        <f t="shared" si="1"/>
        <v>&lt;= 20000$</v>
      </c>
    </row>
    <row r="46" spans="1:16" x14ac:dyDescent="0.25">
      <c r="A46">
        <v>48</v>
      </c>
      <c r="B46" t="s">
        <v>109</v>
      </c>
      <c r="C46" t="s">
        <v>263</v>
      </c>
      <c r="D46" t="s">
        <v>111</v>
      </c>
      <c r="E46" t="s">
        <v>17</v>
      </c>
      <c r="F46" s="3">
        <v>300</v>
      </c>
      <c r="G46">
        <v>45</v>
      </c>
      <c r="H46">
        <v>15.4</v>
      </c>
      <c r="I46">
        <v>23</v>
      </c>
      <c r="J46" t="s">
        <v>19</v>
      </c>
      <c r="K46" t="s">
        <v>20</v>
      </c>
      <c r="L46" t="s">
        <v>21</v>
      </c>
      <c r="M46" s="3">
        <v>120</v>
      </c>
      <c r="N46" s="2">
        <v>15000</v>
      </c>
      <c r="O46" t="str">
        <f t="shared" si="0"/>
        <v>200-300</v>
      </c>
      <c r="P46" t="str">
        <f t="shared" si="1"/>
        <v>&lt;= 20000$</v>
      </c>
    </row>
    <row r="47" spans="1:16" x14ac:dyDescent="0.25">
      <c r="A47">
        <v>49</v>
      </c>
      <c r="B47" t="s">
        <v>109</v>
      </c>
      <c r="C47" t="s">
        <v>263</v>
      </c>
      <c r="D47" t="s">
        <v>111</v>
      </c>
      <c r="E47" t="s">
        <v>17</v>
      </c>
      <c r="F47" s="3">
        <v>300</v>
      </c>
      <c r="G47">
        <v>45</v>
      </c>
      <c r="H47">
        <v>15.5</v>
      </c>
      <c r="I47">
        <v>23</v>
      </c>
      <c r="J47" t="s">
        <v>19</v>
      </c>
      <c r="K47" t="s">
        <v>20</v>
      </c>
      <c r="L47" t="s">
        <v>21</v>
      </c>
      <c r="M47" s="3">
        <v>120</v>
      </c>
      <c r="N47" s="2">
        <v>14900</v>
      </c>
      <c r="O47" t="str">
        <f t="shared" si="0"/>
        <v>200-300</v>
      </c>
      <c r="P47" t="str">
        <f t="shared" si="1"/>
        <v>&lt;= 20000$</v>
      </c>
    </row>
    <row r="48" spans="1:16" x14ac:dyDescent="0.25">
      <c r="A48">
        <v>50</v>
      </c>
      <c r="B48" t="s">
        <v>109</v>
      </c>
      <c r="C48" t="s">
        <v>264</v>
      </c>
      <c r="D48" t="s">
        <v>26</v>
      </c>
      <c r="E48" t="s">
        <v>17</v>
      </c>
      <c r="F48" s="3">
        <v>300</v>
      </c>
      <c r="G48">
        <v>43</v>
      </c>
      <c r="H48">
        <v>13.4</v>
      </c>
      <c r="I48">
        <v>23</v>
      </c>
      <c r="J48" t="s">
        <v>19</v>
      </c>
      <c r="K48" t="s">
        <v>20</v>
      </c>
      <c r="L48" t="s">
        <v>21</v>
      </c>
      <c r="M48" s="3">
        <v>120</v>
      </c>
      <c r="N48" s="2">
        <v>14700</v>
      </c>
      <c r="O48" t="str">
        <f t="shared" si="0"/>
        <v>200-300</v>
      </c>
      <c r="P48" t="str">
        <f t="shared" si="1"/>
        <v>&lt;= 20000$</v>
      </c>
    </row>
    <row r="49" spans="1:16" x14ac:dyDescent="0.25">
      <c r="A49">
        <v>51</v>
      </c>
      <c r="B49" t="s">
        <v>109</v>
      </c>
      <c r="C49" t="s">
        <v>262</v>
      </c>
      <c r="D49" t="s">
        <v>140</v>
      </c>
      <c r="E49" t="s">
        <v>17</v>
      </c>
      <c r="F49" s="3">
        <v>300</v>
      </c>
      <c r="G49">
        <v>45</v>
      </c>
      <c r="H49">
        <v>15.4</v>
      </c>
      <c r="I49">
        <v>23</v>
      </c>
      <c r="J49" t="s">
        <v>19</v>
      </c>
      <c r="K49" t="s">
        <v>20</v>
      </c>
      <c r="L49" t="s">
        <v>21</v>
      </c>
      <c r="M49" s="3">
        <v>120</v>
      </c>
      <c r="N49" s="2">
        <v>14500</v>
      </c>
      <c r="O49" t="str">
        <f t="shared" si="0"/>
        <v>200-300</v>
      </c>
      <c r="P49" t="str">
        <f t="shared" si="1"/>
        <v>&lt;= 20000$</v>
      </c>
    </row>
    <row r="50" spans="1:16" x14ac:dyDescent="0.25">
      <c r="A50">
        <v>52</v>
      </c>
      <c r="B50" t="s">
        <v>109</v>
      </c>
      <c r="C50" t="s">
        <v>263</v>
      </c>
      <c r="D50" t="s">
        <v>111</v>
      </c>
      <c r="E50" t="s">
        <v>17</v>
      </c>
      <c r="F50" s="3">
        <v>300</v>
      </c>
      <c r="G50">
        <v>45</v>
      </c>
      <c r="H50">
        <v>15.5</v>
      </c>
      <c r="I50">
        <v>22</v>
      </c>
      <c r="J50" t="s">
        <v>19</v>
      </c>
      <c r="K50" t="s">
        <v>20</v>
      </c>
      <c r="L50" t="s">
        <v>21</v>
      </c>
      <c r="M50" s="3">
        <v>120</v>
      </c>
      <c r="N50" s="2">
        <v>14400</v>
      </c>
      <c r="O50" t="str">
        <f t="shared" si="0"/>
        <v>200-300</v>
      </c>
      <c r="P50" t="str">
        <f t="shared" si="1"/>
        <v>&lt;= 20000$</v>
      </c>
    </row>
    <row r="51" spans="1:16" x14ac:dyDescent="0.25">
      <c r="A51">
        <v>53</v>
      </c>
      <c r="B51" t="s">
        <v>109</v>
      </c>
      <c r="C51" t="s">
        <v>263</v>
      </c>
      <c r="D51" t="s">
        <v>140</v>
      </c>
      <c r="E51" t="s">
        <v>17</v>
      </c>
      <c r="F51" s="3">
        <v>300</v>
      </c>
      <c r="G51">
        <v>45</v>
      </c>
      <c r="H51">
        <v>15.5</v>
      </c>
      <c r="I51">
        <v>23</v>
      </c>
      <c r="J51" t="s">
        <v>19</v>
      </c>
      <c r="K51" t="s">
        <v>20</v>
      </c>
      <c r="L51" t="s">
        <v>21</v>
      </c>
      <c r="M51" s="3">
        <v>120</v>
      </c>
      <c r="N51" s="2">
        <v>14000</v>
      </c>
      <c r="O51" t="str">
        <f t="shared" si="0"/>
        <v>200-300</v>
      </c>
      <c r="P51" t="str">
        <f t="shared" si="1"/>
        <v>&lt;= 20000$</v>
      </c>
    </row>
    <row r="52" spans="1:16" x14ac:dyDescent="0.25">
      <c r="A52">
        <v>54</v>
      </c>
      <c r="B52" t="s">
        <v>109</v>
      </c>
      <c r="C52" t="s">
        <v>263</v>
      </c>
      <c r="D52" t="s">
        <v>111</v>
      </c>
      <c r="E52" t="s">
        <v>17</v>
      </c>
      <c r="F52" s="3">
        <v>300</v>
      </c>
      <c r="G52">
        <v>45</v>
      </c>
      <c r="H52">
        <v>15.4</v>
      </c>
      <c r="I52">
        <v>23</v>
      </c>
      <c r="J52" t="s">
        <v>19</v>
      </c>
      <c r="K52" t="s">
        <v>20</v>
      </c>
      <c r="L52" t="s">
        <v>21</v>
      </c>
      <c r="M52" s="3">
        <v>120</v>
      </c>
      <c r="N52" s="2">
        <v>14000</v>
      </c>
      <c r="O52" t="str">
        <f t="shared" si="0"/>
        <v>200-300</v>
      </c>
      <c r="P52" t="str">
        <f t="shared" si="1"/>
        <v>&lt;= 20000$</v>
      </c>
    </row>
    <row r="53" spans="1:16" x14ac:dyDescent="0.25">
      <c r="A53">
        <v>55</v>
      </c>
      <c r="B53" t="s">
        <v>109</v>
      </c>
      <c r="C53" t="s">
        <v>263</v>
      </c>
      <c r="D53" t="s">
        <v>26</v>
      </c>
      <c r="E53" t="s">
        <v>17</v>
      </c>
      <c r="F53" s="3">
        <v>300</v>
      </c>
      <c r="G53">
        <v>45</v>
      </c>
      <c r="H53">
        <v>15.5</v>
      </c>
      <c r="I53">
        <v>23</v>
      </c>
      <c r="J53" t="s">
        <v>19</v>
      </c>
      <c r="K53" t="s">
        <v>20</v>
      </c>
      <c r="L53" t="s">
        <v>21</v>
      </c>
      <c r="M53" s="3">
        <v>120</v>
      </c>
      <c r="N53" s="2">
        <v>14000</v>
      </c>
      <c r="O53" t="str">
        <f t="shared" si="0"/>
        <v>200-300</v>
      </c>
      <c r="P53" t="str">
        <f t="shared" si="1"/>
        <v>&lt;= 20000$</v>
      </c>
    </row>
    <row r="54" spans="1:16" x14ac:dyDescent="0.25">
      <c r="A54">
        <v>56</v>
      </c>
      <c r="B54" t="s">
        <v>109</v>
      </c>
      <c r="C54" t="s">
        <v>262</v>
      </c>
      <c r="D54" t="s">
        <v>140</v>
      </c>
      <c r="E54" t="s">
        <v>17</v>
      </c>
      <c r="F54" s="3">
        <v>300</v>
      </c>
      <c r="G54">
        <v>45</v>
      </c>
      <c r="H54">
        <v>15.4</v>
      </c>
      <c r="I54">
        <v>23</v>
      </c>
      <c r="J54" t="s">
        <v>19</v>
      </c>
      <c r="K54" t="s">
        <v>20</v>
      </c>
      <c r="L54" t="s">
        <v>45</v>
      </c>
      <c r="M54" s="3">
        <v>120</v>
      </c>
      <c r="N54" s="2">
        <v>14000</v>
      </c>
      <c r="O54" t="str">
        <f t="shared" si="0"/>
        <v>200-300</v>
      </c>
      <c r="P54" t="str">
        <f t="shared" si="1"/>
        <v>&lt;= 20000$</v>
      </c>
    </row>
    <row r="55" spans="1:16" x14ac:dyDescent="0.25">
      <c r="A55">
        <v>57</v>
      </c>
      <c r="B55" t="s">
        <v>109</v>
      </c>
      <c r="C55" t="s">
        <v>263</v>
      </c>
      <c r="D55" t="s">
        <v>140</v>
      </c>
      <c r="E55" t="s">
        <v>17</v>
      </c>
      <c r="F55" s="3">
        <v>300</v>
      </c>
      <c r="G55">
        <v>45</v>
      </c>
      <c r="H55">
        <v>15.4</v>
      </c>
      <c r="I55">
        <v>23</v>
      </c>
      <c r="J55" t="s">
        <v>19</v>
      </c>
      <c r="K55" t="s">
        <v>20</v>
      </c>
      <c r="L55" t="s">
        <v>21</v>
      </c>
      <c r="M55" s="3">
        <v>120</v>
      </c>
      <c r="N55" s="2">
        <v>13900</v>
      </c>
      <c r="O55" t="str">
        <f t="shared" si="0"/>
        <v>200-300</v>
      </c>
      <c r="P55" t="str">
        <f t="shared" si="1"/>
        <v>&lt;= 20000$</v>
      </c>
    </row>
    <row r="56" spans="1:16" x14ac:dyDescent="0.25">
      <c r="A56">
        <v>58</v>
      </c>
      <c r="B56" t="s">
        <v>109</v>
      </c>
      <c r="C56" t="s">
        <v>263</v>
      </c>
      <c r="D56" t="s">
        <v>111</v>
      </c>
      <c r="E56" t="s">
        <v>17</v>
      </c>
      <c r="F56" s="3">
        <v>300</v>
      </c>
      <c r="G56">
        <v>45</v>
      </c>
      <c r="H56">
        <v>15.4</v>
      </c>
      <c r="I56">
        <v>23</v>
      </c>
      <c r="J56" t="s">
        <v>19</v>
      </c>
      <c r="K56" t="s">
        <v>20</v>
      </c>
      <c r="L56" t="s">
        <v>188</v>
      </c>
      <c r="M56" s="3">
        <v>120</v>
      </c>
      <c r="N56" s="2">
        <v>13500</v>
      </c>
      <c r="O56" t="str">
        <f t="shared" si="0"/>
        <v>200-300</v>
      </c>
      <c r="P56" t="str">
        <f t="shared" si="1"/>
        <v>&lt;= 20000$</v>
      </c>
    </row>
    <row r="57" spans="1:16" x14ac:dyDescent="0.25">
      <c r="A57">
        <v>59</v>
      </c>
      <c r="B57" t="s">
        <v>109</v>
      </c>
      <c r="C57" t="s">
        <v>263</v>
      </c>
      <c r="D57" t="s">
        <v>26</v>
      </c>
      <c r="E57" t="s">
        <v>17</v>
      </c>
      <c r="F57" s="3">
        <v>300</v>
      </c>
      <c r="G57">
        <v>45</v>
      </c>
      <c r="H57">
        <v>15.4</v>
      </c>
      <c r="I57">
        <v>23</v>
      </c>
      <c r="J57" t="s">
        <v>19</v>
      </c>
      <c r="K57" t="s">
        <v>20</v>
      </c>
      <c r="L57" t="s">
        <v>21</v>
      </c>
      <c r="M57" s="3">
        <v>120</v>
      </c>
      <c r="N57" s="2">
        <v>13500</v>
      </c>
      <c r="O57" t="str">
        <f t="shared" si="0"/>
        <v>200-300</v>
      </c>
      <c r="P57" t="str">
        <f t="shared" si="1"/>
        <v>&lt;= 20000$</v>
      </c>
    </row>
    <row r="58" spans="1:16" x14ac:dyDescent="0.25">
      <c r="A58">
        <v>60</v>
      </c>
      <c r="B58" t="s">
        <v>109</v>
      </c>
      <c r="C58" t="s">
        <v>263</v>
      </c>
      <c r="D58" t="s">
        <v>26</v>
      </c>
      <c r="E58" t="s">
        <v>17</v>
      </c>
      <c r="F58" s="3">
        <v>300</v>
      </c>
      <c r="G58">
        <v>45</v>
      </c>
      <c r="H58">
        <v>15.5</v>
      </c>
      <c r="I58">
        <v>23</v>
      </c>
      <c r="J58" t="s">
        <v>19</v>
      </c>
      <c r="K58" t="s">
        <v>20</v>
      </c>
      <c r="L58" t="s">
        <v>21</v>
      </c>
      <c r="M58" s="3">
        <v>120</v>
      </c>
      <c r="N58" s="2">
        <v>13500</v>
      </c>
      <c r="O58" t="str">
        <f t="shared" si="0"/>
        <v>200-300</v>
      </c>
      <c r="P58" t="str">
        <f t="shared" si="1"/>
        <v>&lt;= 20000$</v>
      </c>
    </row>
    <row r="59" spans="1:16" x14ac:dyDescent="0.25">
      <c r="A59">
        <v>61</v>
      </c>
      <c r="B59" t="s">
        <v>109</v>
      </c>
      <c r="C59" t="s">
        <v>263</v>
      </c>
      <c r="D59" t="s">
        <v>140</v>
      </c>
      <c r="E59" t="s">
        <v>17</v>
      </c>
      <c r="F59" s="3">
        <v>300</v>
      </c>
      <c r="G59">
        <v>45</v>
      </c>
      <c r="H59">
        <v>15.5</v>
      </c>
      <c r="I59">
        <v>23</v>
      </c>
      <c r="J59" t="s">
        <v>19</v>
      </c>
      <c r="K59" t="s">
        <v>20</v>
      </c>
      <c r="L59" t="s">
        <v>21</v>
      </c>
      <c r="M59" s="3">
        <v>120</v>
      </c>
      <c r="N59" s="2">
        <v>13500</v>
      </c>
      <c r="O59" t="str">
        <f t="shared" si="0"/>
        <v>200-300</v>
      </c>
      <c r="P59" t="str">
        <f t="shared" si="1"/>
        <v>&lt;= 20000$</v>
      </c>
    </row>
    <row r="60" spans="1:16" x14ac:dyDescent="0.25">
      <c r="A60">
        <v>62</v>
      </c>
      <c r="B60" t="s">
        <v>109</v>
      </c>
      <c r="C60" t="s">
        <v>263</v>
      </c>
      <c r="D60" t="s">
        <v>140</v>
      </c>
      <c r="E60" t="s">
        <v>17</v>
      </c>
      <c r="F60" s="3">
        <v>300</v>
      </c>
      <c r="G60">
        <v>45</v>
      </c>
      <c r="H60">
        <v>15.5</v>
      </c>
      <c r="I60">
        <v>23</v>
      </c>
      <c r="J60" t="s">
        <v>19</v>
      </c>
      <c r="K60" t="s">
        <v>20</v>
      </c>
      <c r="L60" t="s">
        <v>21</v>
      </c>
      <c r="M60" s="3">
        <v>120</v>
      </c>
      <c r="N60" s="2">
        <v>13000</v>
      </c>
      <c r="O60" t="str">
        <f t="shared" si="0"/>
        <v>200-300</v>
      </c>
      <c r="P60" t="str">
        <f t="shared" si="1"/>
        <v>&lt;= 20000$</v>
      </c>
    </row>
    <row r="61" spans="1:16" x14ac:dyDescent="0.25">
      <c r="A61">
        <v>63</v>
      </c>
      <c r="B61" t="s">
        <v>109</v>
      </c>
      <c r="C61" t="s">
        <v>263</v>
      </c>
      <c r="D61" t="s">
        <v>26</v>
      </c>
      <c r="E61" t="s">
        <v>17</v>
      </c>
      <c r="F61" s="3">
        <v>300</v>
      </c>
      <c r="G61">
        <v>45</v>
      </c>
      <c r="H61">
        <v>15.5</v>
      </c>
      <c r="I61">
        <v>23</v>
      </c>
      <c r="J61" t="s">
        <v>19</v>
      </c>
      <c r="K61" t="s">
        <v>20</v>
      </c>
      <c r="L61" t="s">
        <v>21</v>
      </c>
      <c r="M61" s="3">
        <v>120</v>
      </c>
      <c r="N61" s="2">
        <v>12900</v>
      </c>
      <c r="O61" t="str">
        <f t="shared" si="0"/>
        <v>200-300</v>
      </c>
      <c r="P61" t="str">
        <f t="shared" si="1"/>
        <v>&lt;= 20000$</v>
      </c>
    </row>
    <row r="62" spans="1:16" x14ac:dyDescent="0.25">
      <c r="A62">
        <v>64</v>
      </c>
      <c r="B62" t="s">
        <v>109</v>
      </c>
      <c r="C62" t="s">
        <v>263</v>
      </c>
      <c r="D62" t="s">
        <v>111</v>
      </c>
      <c r="E62" t="s">
        <v>17</v>
      </c>
      <c r="F62" s="3">
        <v>300</v>
      </c>
      <c r="G62">
        <v>45</v>
      </c>
      <c r="H62">
        <v>15.5</v>
      </c>
      <c r="I62">
        <v>23</v>
      </c>
      <c r="J62" t="s">
        <v>19</v>
      </c>
      <c r="K62" t="s">
        <v>20</v>
      </c>
      <c r="L62" t="s">
        <v>21</v>
      </c>
      <c r="M62" s="3">
        <v>120</v>
      </c>
      <c r="N62" s="2">
        <v>12800</v>
      </c>
      <c r="O62" t="str">
        <f t="shared" si="0"/>
        <v>200-300</v>
      </c>
      <c r="P62" t="str">
        <f t="shared" si="1"/>
        <v>&lt;= 20000$</v>
      </c>
    </row>
    <row r="63" spans="1:16" x14ac:dyDescent="0.25">
      <c r="A63">
        <v>65</v>
      </c>
      <c r="B63" t="s">
        <v>109</v>
      </c>
      <c r="C63" t="s">
        <v>263</v>
      </c>
      <c r="D63" t="s">
        <v>205</v>
      </c>
      <c r="E63" t="s">
        <v>17</v>
      </c>
      <c r="F63" s="3">
        <v>300</v>
      </c>
      <c r="G63">
        <v>45</v>
      </c>
      <c r="H63">
        <v>15.5</v>
      </c>
      <c r="I63">
        <v>23</v>
      </c>
      <c r="J63" t="s">
        <v>19</v>
      </c>
      <c r="K63" t="s">
        <v>20</v>
      </c>
      <c r="L63" t="s">
        <v>45</v>
      </c>
      <c r="M63" s="3">
        <v>120</v>
      </c>
      <c r="N63" s="2">
        <v>12500</v>
      </c>
      <c r="O63" t="str">
        <f t="shared" si="0"/>
        <v>200-300</v>
      </c>
      <c r="P63" t="str">
        <f t="shared" si="1"/>
        <v>&lt;= 20000$</v>
      </c>
    </row>
    <row r="64" spans="1:16" x14ac:dyDescent="0.25">
      <c r="A64">
        <v>66</v>
      </c>
      <c r="B64" t="s">
        <v>109</v>
      </c>
      <c r="C64" t="s">
        <v>263</v>
      </c>
      <c r="D64" t="s">
        <v>26</v>
      </c>
      <c r="E64" t="s">
        <v>17</v>
      </c>
      <c r="F64" s="3">
        <v>300</v>
      </c>
      <c r="G64">
        <v>45</v>
      </c>
      <c r="H64">
        <v>15.4</v>
      </c>
      <c r="I64">
        <v>23</v>
      </c>
      <c r="J64" t="s">
        <v>19</v>
      </c>
      <c r="K64" t="s">
        <v>20</v>
      </c>
      <c r="L64" t="s">
        <v>21</v>
      </c>
      <c r="M64" s="3">
        <v>120</v>
      </c>
      <c r="N64" s="2">
        <v>12500</v>
      </c>
      <c r="O64" t="str">
        <f t="shared" si="0"/>
        <v>200-300</v>
      </c>
      <c r="P64" t="str">
        <f t="shared" si="1"/>
        <v>&lt;= 20000$</v>
      </c>
    </row>
    <row r="65" spans="1:16" x14ac:dyDescent="0.25">
      <c r="A65">
        <v>67</v>
      </c>
      <c r="B65" t="s">
        <v>109</v>
      </c>
      <c r="C65" t="s">
        <v>263</v>
      </c>
      <c r="D65" t="s">
        <v>111</v>
      </c>
      <c r="E65" t="s">
        <v>17</v>
      </c>
      <c r="F65" s="3">
        <v>300</v>
      </c>
      <c r="G65">
        <v>45</v>
      </c>
      <c r="H65">
        <v>15.5</v>
      </c>
      <c r="I65">
        <v>23</v>
      </c>
      <c r="J65" t="s">
        <v>19</v>
      </c>
      <c r="K65" t="s">
        <v>20</v>
      </c>
      <c r="L65" t="s">
        <v>21</v>
      </c>
      <c r="M65" s="3">
        <v>120</v>
      </c>
      <c r="N65" s="2">
        <v>12500</v>
      </c>
      <c r="O65" t="str">
        <f t="shared" si="0"/>
        <v>200-300</v>
      </c>
      <c r="P65" t="str">
        <f t="shared" si="1"/>
        <v>&lt;= 20000$</v>
      </c>
    </row>
    <row r="66" spans="1:16" x14ac:dyDescent="0.25">
      <c r="A66">
        <v>68</v>
      </c>
      <c r="B66" t="s">
        <v>109</v>
      </c>
      <c r="C66" t="s">
        <v>265</v>
      </c>
      <c r="D66" t="s">
        <v>140</v>
      </c>
      <c r="E66" t="s">
        <v>17</v>
      </c>
      <c r="F66" s="3">
        <v>300</v>
      </c>
      <c r="G66">
        <v>43.6</v>
      </c>
      <c r="H66">
        <v>13.83</v>
      </c>
      <c r="I66">
        <v>23</v>
      </c>
      <c r="J66" t="s">
        <v>19</v>
      </c>
      <c r="K66" t="s">
        <v>20</v>
      </c>
      <c r="L66" t="s">
        <v>146</v>
      </c>
      <c r="M66" s="3">
        <v>120</v>
      </c>
      <c r="N66" s="2">
        <v>12000</v>
      </c>
      <c r="O66" t="str">
        <f t="shared" ref="O66:O129" si="2">IF($F66&lt;=100, "&lt;=100", IF($F66&lt;=200, "100-200", IF($F66&lt;=300, "200-300", IF($F66&lt;=500, "300-500", IF($F66&lt;1000, "500-1000", "1000+")))))</f>
        <v>200-300</v>
      </c>
      <c r="P66" t="str">
        <f t="shared" ref="P66:P129" si="3">IF(N66&lt;=1000, "&lt;= 1000$", IF(N66&lt;=2000, " &lt;=2000$", IF(N66&lt;=5000, "&lt;=5000$", IF(N66&lt;=10000, "&lt;= 10000$", IF(N66&lt;=20000, "&lt;= 20000$", IF(N66&lt;40000, "&lt;= 40000$", "40000$ +"))))))</f>
        <v>&lt;= 20000$</v>
      </c>
    </row>
    <row r="67" spans="1:16" x14ac:dyDescent="0.25">
      <c r="A67">
        <v>69</v>
      </c>
      <c r="B67" t="s">
        <v>109</v>
      </c>
      <c r="C67" t="s">
        <v>262</v>
      </c>
      <c r="D67" t="s">
        <v>140</v>
      </c>
      <c r="E67" t="s">
        <v>17</v>
      </c>
      <c r="F67" s="3">
        <v>300</v>
      </c>
      <c r="G67">
        <v>45</v>
      </c>
      <c r="H67">
        <v>15.4</v>
      </c>
      <c r="I67">
        <v>23</v>
      </c>
      <c r="J67" t="s">
        <v>19</v>
      </c>
      <c r="K67" t="s">
        <v>20</v>
      </c>
      <c r="L67" t="s">
        <v>21</v>
      </c>
      <c r="M67" s="3">
        <v>120</v>
      </c>
      <c r="N67" s="2">
        <v>12000</v>
      </c>
      <c r="O67" t="str">
        <f t="shared" si="2"/>
        <v>200-300</v>
      </c>
      <c r="P67" t="str">
        <f t="shared" si="3"/>
        <v>&lt;= 20000$</v>
      </c>
    </row>
    <row r="68" spans="1:16" x14ac:dyDescent="0.25">
      <c r="A68">
        <v>70</v>
      </c>
      <c r="B68" t="s">
        <v>109</v>
      </c>
      <c r="C68" t="s">
        <v>263</v>
      </c>
      <c r="D68" t="s">
        <v>205</v>
      </c>
      <c r="E68" t="s">
        <v>17</v>
      </c>
      <c r="F68" s="3">
        <v>300</v>
      </c>
      <c r="G68">
        <v>45</v>
      </c>
      <c r="H68">
        <v>15.5</v>
      </c>
      <c r="I68">
        <v>23</v>
      </c>
      <c r="J68" t="s">
        <v>19</v>
      </c>
      <c r="K68" t="s">
        <v>20</v>
      </c>
      <c r="L68" t="s">
        <v>21</v>
      </c>
      <c r="M68" s="3">
        <v>120</v>
      </c>
      <c r="N68" s="2">
        <v>12000</v>
      </c>
      <c r="O68" t="str">
        <f t="shared" si="2"/>
        <v>200-300</v>
      </c>
      <c r="P68" t="str">
        <f t="shared" si="3"/>
        <v>&lt;= 20000$</v>
      </c>
    </row>
    <row r="69" spans="1:16" x14ac:dyDescent="0.25">
      <c r="A69">
        <v>71</v>
      </c>
      <c r="B69" t="s">
        <v>109</v>
      </c>
      <c r="C69" t="s">
        <v>263</v>
      </c>
      <c r="D69" t="s">
        <v>111</v>
      </c>
      <c r="E69" t="s">
        <v>17</v>
      </c>
      <c r="F69" s="3">
        <v>300</v>
      </c>
      <c r="G69">
        <v>45</v>
      </c>
      <c r="H69">
        <v>15.4</v>
      </c>
      <c r="I69">
        <v>23</v>
      </c>
      <c r="J69" t="s">
        <v>19</v>
      </c>
      <c r="K69" t="s">
        <v>20</v>
      </c>
      <c r="L69" t="s">
        <v>21</v>
      </c>
      <c r="M69" s="3">
        <v>120</v>
      </c>
      <c r="N69" s="2">
        <v>11500</v>
      </c>
      <c r="O69" t="str">
        <f t="shared" si="2"/>
        <v>200-300</v>
      </c>
      <c r="P69" t="str">
        <f t="shared" si="3"/>
        <v>&lt;= 20000$</v>
      </c>
    </row>
    <row r="70" spans="1:16" x14ac:dyDescent="0.25">
      <c r="A70">
        <v>72</v>
      </c>
      <c r="B70" t="s">
        <v>109</v>
      </c>
      <c r="C70" t="s">
        <v>263</v>
      </c>
      <c r="D70" t="s">
        <v>111</v>
      </c>
      <c r="E70" t="s">
        <v>17</v>
      </c>
      <c r="F70" s="3">
        <v>300</v>
      </c>
      <c r="G70">
        <v>45</v>
      </c>
      <c r="H70">
        <v>15.4</v>
      </c>
      <c r="I70">
        <v>23</v>
      </c>
      <c r="J70" t="s">
        <v>19</v>
      </c>
      <c r="K70" t="s">
        <v>20</v>
      </c>
      <c r="L70" t="s">
        <v>21</v>
      </c>
      <c r="M70" s="3">
        <v>120</v>
      </c>
      <c r="N70" s="2">
        <v>11500</v>
      </c>
      <c r="O70" t="str">
        <f t="shared" si="2"/>
        <v>200-300</v>
      </c>
      <c r="P70" t="str">
        <f t="shared" si="3"/>
        <v>&lt;= 20000$</v>
      </c>
    </row>
    <row r="71" spans="1:16" x14ac:dyDescent="0.25">
      <c r="A71">
        <v>73</v>
      </c>
      <c r="B71" t="s">
        <v>109</v>
      </c>
      <c r="C71" t="s">
        <v>263</v>
      </c>
      <c r="D71" t="s">
        <v>140</v>
      </c>
      <c r="E71" t="s">
        <v>17</v>
      </c>
      <c r="F71" s="3">
        <v>300</v>
      </c>
      <c r="G71">
        <v>45</v>
      </c>
      <c r="H71">
        <v>15.5</v>
      </c>
      <c r="I71">
        <v>23</v>
      </c>
      <c r="J71" t="s">
        <v>19</v>
      </c>
      <c r="K71" t="s">
        <v>20</v>
      </c>
      <c r="L71" t="s">
        <v>147</v>
      </c>
      <c r="M71" s="3">
        <v>120</v>
      </c>
      <c r="N71" s="2">
        <v>11000</v>
      </c>
      <c r="O71" t="str">
        <f t="shared" si="2"/>
        <v>200-300</v>
      </c>
      <c r="P71" t="str">
        <f t="shared" si="3"/>
        <v>&lt;= 20000$</v>
      </c>
    </row>
    <row r="72" spans="1:16" x14ac:dyDescent="0.25">
      <c r="A72">
        <v>74</v>
      </c>
      <c r="B72" t="s">
        <v>109</v>
      </c>
      <c r="C72" t="s">
        <v>263</v>
      </c>
      <c r="D72" t="s">
        <v>111</v>
      </c>
      <c r="E72" t="s">
        <v>17</v>
      </c>
      <c r="F72" s="3">
        <v>300</v>
      </c>
      <c r="G72">
        <v>45</v>
      </c>
      <c r="H72">
        <v>15.5</v>
      </c>
      <c r="I72">
        <v>23</v>
      </c>
      <c r="J72" t="s">
        <v>19</v>
      </c>
      <c r="K72" t="s">
        <v>20</v>
      </c>
      <c r="L72" t="s">
        <v>45</v>
      </c>
      <c r="M72" s="3">
        <v>120</v>
      </c>
      <c r="N72" s="2">
        <v>10500</v>
      </c>
      <c r="O72" t="str">
        <f t="shared" si="2"/>
        <v>200-300</v>
      </c>
      <c r="P72" t="str">
        <f t="shared" si="3"/>
        <v>&lt;= 20000$</v>
      </c>
    </row>
    <row r="73" spans="1:16" x14ac:dyDescent="0.25">
      <c r="A73">
        <v>75</v>
      </c>
      <c r="B73" t="s">
        <v>109</v>
      </c>
      <c r="C73" t="s">
        <v>263</v>
      </c>
      <c r="D73" t="s">
        <v>247</v>
      </c>
      <c r="E73" t="s">
        <v>17</v>
      </c>
      <c r="F73" s="3">
        <v>300</v>
      </c>
      <c r="G73">
        <v>45</v>
      </c>
      <c r="H73">
        <v>15.4</v>
      </c>
      <c r="I73">
        <v>23</v>
      </c>
      <c r="J73" t="s">
        <v>19</v>
      </c>
      <c r="K73" t="s">
        <v>20</v>
      </c>
      <c r="L73" t="s">
        <v>45</v>
      </c>
      <c r="M73" s="3">
        <v>120</v>
      </c>
      <c r="N73" s="2">
        <v>10000</v>
      </c>
      <c r="O73" t="str">
        <f t="shared" si="2"/>
        <v>200-300</v>
      </c>
      <c r="P73" t="str">
        <f t="shared" si="3"/>
        <v>&lt;= 10000$</v>
      </c>
    </row>
    <row r="74" spans="1:16" x14ac:dyDescent="0.25">
      <c r="A74">
        <v>76</v>
      </c>
      <c r="B74" t="s">
        <v>72</v>
      </c>
      <c r="C74" t="s">
        <v>266</v>
      </c>
      <c r="D74" t="s">
        <v>32</v>
      </c>
      <c r="E74" t="s">
        <v>17</v>
      </c>
      <c r="F74" s="3">
        <v>30</v>
      </c>
      <c r="G74">
        <v>39</v>
      </c>
      <c r="H74">
        <v>9.9</v>
      </c>
      <c r="I74">
        <v>22</v>
      </c>
      <c r="J74" t="s">
        <v>34</v>
      </c>
      <c r="K74" t="s">
        <v>20</v>
      </c>
      <c r="L74" t="s">
        <v>232</v>
      </c>
      <c r="M74" s="3">
        <v>65</v>
      </c>
      <c r="N74" s="2">
        <v>27900</v>
      </c>
      <c r="O74" t="str">
        <f t="shared" si="2"/>
        <v>&lt;=100</v>
      </c>
      <c r="P74" t="str">
        <f t="shared" si="3"/>
        <v>&lt;= 40000$</v>
      </c>
    </row>
    <row r="75" spans="1:16" x14ac:dyDescent="0.25">
      <c r="A75">
        <v>78</v>
      </c>
      <c r="B75" t="s">
        <v>72</v>
      </c>
      <c r="C75" t="s">
        <v>268</v>
      </c>
      <c r="D75" t="s">
        <v>32</v>
      </c>
      <c r="E75" t="s">
        <v>17</v>
      </c>
      <c r="F75" s="3">
        <v>30</v>
      </c>
      <c r="G75">
        <v>39</v>
      </c>
      <c r="H75">
        <v>10.199999999999999</v>
      </c>
      <c r="I75">
        <v>20</v>
      </c>
      <c r="J75" t="s">
        <v>44</v>
      </c>
      <c r="K75" t="s">
        <v>20</v>
      </c>
      <c r="L75" t="s">
        <v>21</v>
      </c>
      <c r="M75" s="3">
        <v>38</v>
      </c>
      <c r="N75" s="2">
        <v>26000</v>
      </c>
      <c r="O75" t="str">
        <f t="shared" si="2"/>
        <v>&lt;=100</v>
      </c>
      <c r="P75" t="str">
        <f t="shared" si="3"/>
        <v>&lt;= 40000$</v>
      </c>
    </row>
    <row r="76" spans="1:16" x14ac:dyDescent="0.25">
      <c r="A76">
        <v>80</v>
      </c>
      <c r="B76" t="s">
        <v>72</v>
      </c>
      <c r="C76" t="s">
        <v>270</v>
      </c>
      <c r="D76" t="s">
        <v>32</v>
      </c>
      <c r="E76" t="s">
        <v>17</v>
      </c>
      <c r="F76" s="3">
        <v>30</v>
      </c>
      <c r="G76">
        <v>39</v>
      </c>
      <c r="H76">
        <v>10.199999999999999</v>
      </c>
      <c r="I76">
        <v>20</v>
      </c>
      <c r="J76" t="s">
        <v>44</v>
      </c>
      <c r="K76" t="s">
        <v>20</v>
      </c>
      <c r="L76" t="s">
        <v>45</v>
      </c>
      <c r="M76" s="3">
        <v>65</v>
      </c>
      <c r="N76" s="2">
        <v>25000</v>
      </c>
      <c r="O76" t="str">
        <f t="shared" si="2"/>
        <v>&lt;=100</v>
      </c>
      <c r="P76" t="str">
        <f t="shared" si="3"/>
        <v>&lt;= 40000$</v>
      </c>
    </row>
    <row r="77" spans="1:16" x14ac:dyDescent="0.25">
      <c r="A77">
        <v>81</v>
      </c>
      <c r="B77" t="s">
        <v>72</v>
      </c>
      <c r="C77" t="s">
        <v>271</v>
      </c>
      <c r="D77" t="s">
        <v>32</v>
      </c>
      <c r="E77" t="s">
        <v>17</v>
      </c>
      <c r="F77" s="3">
        <v>30</v>
      </c>
      <c r="G77">
        <v>39</v>
      </c>
      <c r="H77">
        <v>8.65</v>
      </c>
      <c r="I77">
        <v>20</v>
      </c>
      <c r="J77" t="s">
        <v>44</v>
      </c>
      <c r="K77" t="s">
        <v>20</v>
      </c>
      <c r="L77" t="s">
        <v>21</v>
      </c>
      <c r="M77" s="3">
        <v>55</v>
      </c>
      <c r="N77" s="2">
        <v>24500</v>
      </c>
      <c r="O77" t="str">
        <f t="shared" si="2"/>
        <v>&lt;=100</v>
      </c>
      <c r="P77" t="str">
        <f t="shared" si="3"/>
        <v>&lt;= 40000$</v>
      </c>
    </row>
    <row r="78" spans="1:16" x14ac:dyDescent="0.25">
      <c r="A78">
        <v>83</v>
      </c>
      <c r="B78" t="s">
        <v>72</v>
      </c>
      <c r="C78" t="s">
        <v>266</v>
      </c>
      <c r="D78" t="s">
        <v>32</v>
      </c>
      <c r="E78" t="s">
        <v>17</v>
      </c>
      <c r="F78" s="3">
        <v>30</v>
      </c>
      <c r="G78">
        <v>39</v>
      </c>
      <c r="H78">
        <v>8.65</v>
      </c>
      <c r="I78">
        <v>20</v>
      </c>
      <c r="J78" t="s">
        <v>44</v>
      </c>
      <c r="K78" t="s">
        <v>20</v>
      </c>
      <c r="L78" t="s">
        <v>45</v>
      </c>
      <c r="M78" s="3">
        <v>45</v>
      </c>
      <c r="N78" s="2">
        <v>23500</v>
      </c>
      <c r="O78" t="str">
        <f t="shared" si="2"/>
        <v>&lt;=100</v>
      </c>
      <c r="P78" t="str">
        <f t="shared" si="3"/>
        <v>&lt;= 40000$</v>
      </c>
    </row>
    <row r="79" spans="1:16" x14ac:dyDescent="0.25">
      <c r="A79">
        <v>84</v>
      </c>
      <c r="B79" t="s">
        <v>72</v>
      </c>
      <c r="C79" t="s">
        <v>270</v>
      </c>
      <c r="D79" t="s">
        <v>32</v>
      </c>
      <c r="E79" t="s">
        <v>17</v>
      </c>
      <c r="F79" s="3">
        <v>30</v>
      </c>
      <c r="G79">
        <v>39</v>
      </c>
      <c r="H79">
        <v>8.65</v>
      </c>
      <c r="I79">
        <v>20</v>
      </c>
      <c r="J79" t="s">
        <v>44</v>
      </c>
      <c r="K79" t="s">
        <v>20</v>
      </c>
      <c r="L79" t="s">
        <v>21</v>
      </c>
      <c r="M79" s="3">
        <v>65</v>
      </c>
      <c r="N79" s="2">
        <v>23200</v>
      </c>
      <c r="O79" t="str">
        <f t="shared" si="2"/>
        <v>&lt;=100</v>
      </c>
      <c r="P79" t="str">
        <f t="shared" si="3"/>
        <v>&lt;= 40000$</v>
      </c>
    </row>
    <row r="80" spans="1:16" x14ac:dyDescent="0.25">
      <c r="A80">
        <v>89</v>
      </c>
      <c r="B80" t="s">
        <v>72</v>
      </c>
      <c r="C80" t="s">
        <v>276</v>
      </c>
      <c r="D80" t="s">
        <v>32</v>
      </c>
      <c r="E80" t="s">
        <v>17</v>
      </c>
      <c r="F80" s="3">
        <v>30</v>
      </c>
      <c r="G80">
        <v>38.5</v>
      </c>
      <c r="H80">
        <v>8.25</v>
      </c>
      <c r="I80">
        <v>20</v>
      </c>
      <c r="J80" t="s">
        <v>34</v>
      </c>
      <c r="K80" t="s">
        <v>20</v>
      </c>
      <c r="L80" t="s">
        <v>21</v>
      </c>
      <c r="M80" s="3">
        <v>38</v>
      </c>
      <c r="N80" s="2">
        <v>21500</v>
      </c>
      <c r="O80" t="str">
        <f t="shared" si="2"/>
        <v>&lt;=100</v>
      </c>
      <c r="P80" t="str">
        <f t="shared" si="3"/>
        <v>&lt;= 40000$</v>
      </c>
    </row>
    <row r="81" spans="1:16" x14ac:dyDescent="0.25">
      <c r="A81">
        <v>91</v>
      </c>
      <c r="B81" t="s">
        <v>72</v>
      </c>
      <c r="C81" t="s">
        <v>277</v>
      </c>
      <c r="D81" t="s">
        <v>32</v>
      </c>
      <c r="E81" t="s">
        <v>17</v>
      </c>
      <c r="F81" s="3">
        <v>30</v>
      </c>
      <c r="G81">
        <v>39</v>
      </c>
      <c r="H81">
        <v>8.65</v>
      </c>
      <c r="I81">
        <v>21</v>
      </c>
      <c r="J81" t="s">
        <v>44</v>
      </c>
      <c r="K81" t="s">
        <v>20</v>
      </c>
      <c r="L81" t="s">
        <v>45</v>
      </c>
      <c r="M81" s="3">
        <v>55</v>
      </c>
      <c r="N81" s="2">
        <v>20000</v>
      </c>
      <c r="O81" t="str">
        <f t="shared" si="2"/>
        <v>&lt;=100</v>
      </c>
      <c r="P81" t="str">
        <f t="shared" si="3"/>
        <v>&lt;= 20000$</v>
      </c>
    </row>
    <row r="82" spans="1:16" x14ac:dyDescent="0.25">
      <c r="A82">
        <v>92</v>
      </c>
      <c r="B82" t="s">
        <v>72</v>
      </c>
      <c r="C82" t="s">
        <v>278</v>
      </c>
      <c r="D82" t="s">
        <v>32</v>
      </c>
      <c r="E82" t="s">
        <v>17</v>
      </c>
      <c r="F82" s="3">
        <v>30</v>
      </c>
      <c r="G82">
        <v>38</v>
      </c>
      <c r="H82">
        <v>8.25</v>
      </c>
      <c r="I82">
        <v>20</v>
      </c>
      <c r="J82" t="s">
        <v>44</v>
      </c>
      <c r="K82" t="s">
        <v>20</v>
      </c>
      <c r="L82" t="s">
        <v>45</v>
      </c>
      <c r="M82" s="3">
        <v>45</v>
      </c>
      <c r="N82" s="2">
        <v>20000</v>
      </c>
      <c r="O82" t="str">
        <f t="shared" si="2"/>
        <v>&lt;=100</v>
      </c>
      <c r="P82" t="str">
        <f t="shared" si="3"/>
        <v>&lt;= 20000$</v>
      </c>
    </row>
    <row r="83" spans="1:16" x14ac:dyDescent="0.25">
      <c r="A83">
        <v>93</v>
      </c>
      <c r="B83" t="s">
        <v>72</v>
      </c>
      <c r="C83" t="s">
        <v>279</v>
      </c>
      <c r="D83" t="s">
        <v>32</v>
      </c>
      <c r="E83" t="s">
        <v>17</v>
      </c>
      <c r="F83" s="3">
        <v>30</v>
      </c>
      <c r="G83">
        <v>40</v>
      </c>
      <c r="H83">
        <v>6.8</v>
      </c>
      <c r="I83">
        <v>20</v>
      </c>
      <c r="J83" t="s">
        <v>34</v>
      </c>
      <c r="K83" t="s">
        <v>20</v>
      </c>
      <c r="L83" t="s">
        <v>45</v>
      </c>
      <c r="M83" s="3">
        <v>55</v>
      </c>
      <c r="N83" s="2">
        <v>19000</v>
      </c>
      <c r="O83" t="str">
        <f t="shared" si="2"/>
        <v>&lt;=100</v>
      </c>
      <c r="P83" t="str">
        <f t="shared" si="3"/>
        <v>&lt;= 20000$</v>
      </c>
    </row>
    <row r="84" spans="1:16" x14ac:dyDescent="0.25">
      <c r="A84">
        <v>94</v>
      </c>
      <c r="B84" t="s">
        <v>72</v>
      </c>
      <c r="C84" t="s">
        <v>277</v>
      </c>
      <c r="D84" t="s">
        <v>32</v>
      </c>
      <c r="E84" t="s">
        <v>17</v>
      </c>
      <c r="F84" s="3">
        <v>30</v>
      </c>
      <c r="G84">
        <v>39</v>
      </c>
      <c r="H84">
        <v>10.199999999999999</v>
      </c>
      <c r="I84">
        <v>22</v>
      </c>
      <c r="J84" t="s">
        <v>44</v>
      </c>
      <c r="K84" t="s">
        <v>20</v>
      </c>
      <c r="L84" t="s">
        <v>45</v>
      </c>
      <c r="M84" s="3">
        <v>45</v>
      </c>
      <c r="N84" s="2">
        <v>19000</v>
      </c>
      <c r="O84" t="str">
        <f t="shared" si="2"/>
        <v>&lt;=100</v>
      </c>
      <c r="P84" t="str">
        <f t="shared" si="3"/>
        <v>&lt;= 20000$</v>
      </c>
    </row>
    <row r="85" spans="1:16" x14ac:dyDescent="0.25">
      <c r="A85">
        <v>95</v>
      </c>
      <c r="B85" t="s">
        <v>72</v>
      </c>
      <c r="C85" t="s">
        <v>280</v>
      </c>
      <c r="D85" t="s">
        <v>32</v>
      </c>
      <c r="E85" t="s">
        <v>17</v>
      </c>
      <c r="F85" s="3">
        <v>30</v>
      </c>
      <c r="G85">
        <v>39</v>
      </c>
      <c r="H85">
        <v>8.65</v>
      </c>
      <c r="I85">
        <v>20</v>
      </c>
      <c r="J85" t="s">
        <v>44</v>
      </c>
      <c r="K85" t="s">
        <v>20</v>
      </c>
      <c r="L85" t="s">
        <v>45</v>
      </c>
      <c r="M85" s="3">
        <v>40</v>
      </c>
      <c r="N85" s="2">
        <v>19000</v>
      </c>
      <c r="O85" t="str">
        <f t="shared" si="2"/>
        <v>&lt;=100</v>
      </c>
      <c r="P85" t="str">
        <f t="shared" si="3"/>
        <v>&lt;= 20000$</v>
      </c>
    </row>
    <row r="86" spans="1:16" x14ac:dyDescent="0.25">
      <c r="A86">
        <v>96</v>
      </c>
      <c r="B86" t="s">
        <v>72</v>
      </c>
      <c r="C86" t="s">
        <v>267</v>
      </c>
      <c r="D86" t="s">
        <v>32</v>
      </c>
      <c r="E86" t="s">
        <v>17</v>
      </c>
      <c r="F86" s="3">
        <v>30</v>
      </c>
      <c r="G86">
        <v>39</v>
      </c>
      <c r="H86">
        <v>10.199999999999999</v>
      </c>
      <c r="I86">
        <v>22</v>
      </c>
      <c r="J86" t="s">
        <v>44</v>
      </c>
      <c r="K86" t="s">
        <v>20</v>
      </c>
      <c r="L86" t="s">
        <v>45</v>
      </c>
      <c r="M86" s="3">
        <v>40</v>
      </c>
      <c r="N86" s="2">
        <v>18000</v>
      </c>
      <c r="O86" t="str">
        <f t="shared" si="2"/>
        <v>&lt;=100</v>
      </c>
      <c r="P86" t="str">
        <f t="shared" si="3"/>
        <v>&lt;= 20000$</v>
      </c>
    </row>
    <row r="87" spans="1:16" x14ac:dyDescent="0.25">
      <c r="A87">
        <v>100</v>
      </c>
      <c r="B87" t="s">
        <v>72</v>
      </c>
      <c r="C87" t="s">
        <v>281</v>
      </c>
      <c r="D87" t="s">
        <v>32</v>
      </c>
      <c r="E87" t="s">
        <v>17</v>
      </c>
      <c r="F87" s="3">
        <v>100</v>
      </c>
      <c r="G87">
        <v>42</v>
      </c>
      <c r="H87">
        <v>13.85</v>
      </c>
      <c r="I87">
        <v>22</v>
      </c>
      <c r="J87" t="s">
        <v>44</v>
      </c>
      <c r="K87" t="s">
        <v>20</v>
      </c>
      <c r="L87" t="s">
        <v>35</v>
      </c>
      <c r="M87" s="3">
        <v>48</v>
      </c>
      <c r="N87" s="2">
        <v>9500</v>
      </c>
      <c r="O87" t="str">
        <f t="shared" si="2"/>
        <v>&lt;=100</v>
      </c>
      <c r="P87" t="str">
        <f t="shared" si="3"/>
        <v>&lt;= 10000$</v>
      </c>
    </row>
    <row r="88" spans="1:16" x14ac:dyDescent="0.25">
      <c r="A88">
        <v>101</v>
      </c>
      <c r="B88" t="s">
        <v>72</v>
      </c>
      <c r="C88" t="s">
        <v>282</v>
      </c>
      <c r="D88" t="s">
        <v>32</v>
      </c>
      <c r="E88" t="s">
        <v>17</v>
      </c>
      <c r="F88" s="3">
        <v>100</v>
      </c>
      <c r="G88">
        <v>39.5</v>
      </c>
      <c r="H88">
        <v>14.1</v>
      </c>
      <c r="I88">
        <v>20</v>
      </c>
      <c r="J88" t="s">
        <v>19</v>
      </c>
      <c r="K88" t="s">
        <v>20</v>
      </c>
      <c r="L88" t="s">
        <v>152</v>
      </c>
      <c r="M88" s="3">
        <v>48</v>
      </c>
      <c r="N88" s="2">
        <v>8800</v>
      </c>
      <c r="O88" t="str">
        <f t="shared" si="2"/>
        <v>&lt;=100</v>
      </c>
      <c r="P88" t="str">
        <f t="shared" si="3"/>
        <v>&lt;= 10000$</v>
      </c>
    </row>
    <row r="89" spans="1:16" x14ac:dyDescent="0.25">
      <c r="A89">
        <v>102</v>
      </c>
      <c r="B89" t="s">
        <v>37</v>
      </c>
      <c r="C89" t="s">
        <v>283</v>
      </c>
      <c r="D89" t="s">
        <v>16</v>
      </c>
      <c r="E89" t="s">
        <v>17</v>
      </c>
      <c r="F89" s="3">
        <v>30</v>
      </c>
      <c r="G89">
        <v>43</v>
      </c>
      <c r="H89">
        <v>14.25</v>
      </c>
      <c r="I89">
        <v>22</v>
      </c>
      <c r="J89" t="s">
        <v>19</v>
      </c>
      <c r="K89" t="s">
        <v>20</v>
      </c>
      <c r="L89" t="s">
        <v>35</v>
      </c>
      <c r="M89" s="3">
        <v>70</v>
      </c>
      <c r="N89" s="2">
        <v>7900</v>
      </c>
      <c r="O89" t="str">
        <f t="shared" si="2"/>
        <v>&lt;=100</v>
      </c>
      <c r="P89" t="str">
        <f t="shared" si="3"/>
        <v>&lt;= 10000$</v>
      </c>
    </row>
    <row r="90" spans="1:16" x14ac:dyDescent="0.25">
      <c r="A90">
        <v>103</v>
      </c>
      <c r="B90" t="s">
        <v>37</v>
      </c>
      <c r="C90" t="s">
        <v>283</v>
      </c>
      <c r="D90" t="s">
        <v>16</v>
      </c>
      <c r="E90" t="s">
        <v>17</v>
      </c>
      <c r="F90" s="3">
        <v>30</v>
      </c>
      <c r="G90">
        <v>43</v>
      </c>
      <c r="H90">
        <v>14.25</v>
      </c>
      <c r="I90">
        <v>22</v>
      </c>
      <c r="J90" t="s">
        <v>19</v>
      </c>
      <c r="K90" t="s">
        <v>20</v>
      </c>
      <c r="L90" t="s">
        <v>35</v>
      </c>
      <c r="M90" s="3">
        <v>70</v>
      </c>
      <c r="N90" s="2">
        <v>7900</v>
      </c>
      <c r="O90" t="str">
        <f t="shared" si="2"/>
        <v>&lt;=100</v>
      </c>
      <c r="P90" t="str">
        <f t="shared" si="3"/>
        <v>&lt;= 10000$</v>
      </c>
    </row>
    <row r="91" spans="1:16" x14ac:dyDescent="0.25">
      <c r="A91">
        <v>104</v>
      </c>
      <c r="B91" t="s">
        <v>37</v>
      </c>
      <c r="C91" t="s">
        <v>284</v>
      </c>
      <c r="D91" t="s">
        <v>16</v>
      </c>
      <c r="E91" t="s">
        <v>17</v>
      </c>
      <c r="F91" s="3">
        <v>200</v>
      </c>
      <c r="G91">
        <v>44</v>
      </c>
      <c r="H91">
        <v>16.95</v>
      </c>
      <c r="I91">
        <v>22</v>
      </c>
      <c r="J91" t="s">
        <v>28</v>
      </c>
      <c r="K91" t="s">
        <v>20</v>
      </c>
      <c r="L91" t="s">
        <v>141</v>
      </c>
      <c r="M91" s="3">
        <v>70</v>
      </c>
      <c r="N91" s="2">
        <v>6900</v>
      </c>
      <c r="O91" t="str">
        <f t="shared" si="2"/>
        <v>100-200</v>
      </c>
      <c r="P91" t="str">
        <f t="shared" si="3"/>
        <v>&lt;= 10000$</v>
      </c>
    </row>
    <row r="92" spans="1:16" x14ac:dyDescent="0.25">
      <c r="A92">
        <v>105</v>
      </c>
      <c r="B92" t="s">
        <v>37</v>
      </c>
      <c r="C92" t="s">
        <v>285</v>
      </c>
      <c r="D92" t="s">
        <v>26</v>
      </c>
      <c r="E92" t="s">
        <v>17</v>
      </c>
      <c r="F92" s="3">
        <v>200</v>
      </c>
      <c r="G92">
        <v>42</v>
      </c>
      <c r="H92">
        <v>14.35</v>
      </c>
      <c r="I92">
        <v>22</v>
      </c>
      <c r="J92" t="s">
        <v>19</v>
      </c>
      <c r="K92" t="s">
        <v>20</v>
      </c>
      <c r="L92" t="s">
        <v>21</v>
      </c>
      <c r="M92" s="3">
        <v>38</v>
      </c>
      <c r="N92" s="2">
        <v>4800</v>
      </c>
      <c r="O92" t="str">
        <f t="shared" si="2"/>
        <v>100-200</v>
      </c>
      <c r="P92" t="str">
        <f t="shared" si="3"/>
        <v>&lt;=5000$</v>
      </c>
    </row>
    <row r="93" spans="1:16" x14ac:dyDescent="0.25">
      <c r="A93">
        <v>106</v>
      </c>
      <c r="B93" t="s">
        <v>37</v>
      </c>
      <c r="C93" t="s">
        <v>286</v>
      </c>
      <c r="D93" t="s">
        <v>26</v>
      </c>
      <c r="E93" t="s">
        <v>17</v>
      </c>
      <c r="F93" s="3">
        <v>300</v>
      </c>
      <c r="G93">
        <v>43</v>
      </c>
      <c r="H93">
        <v>16.5</v>
      </c>
      <c r="I93">
        <v>22</v>
      </c>
      <c r="J93" t="s">
        <v>19</v>
      </c>
      <c r="K93" t="s">
        <v>20</v>
      </c>
      <c r="L93" t="s">
        <v>141</v>
      </c>
      <c r="M93" s="3">
        <v>42</v>
      </c>
      <c r="N93" s="2">
        <v>4600</v>
      </c>
      <c r="O93" t="str">
        <f t="shared" si="2"/>
        <v>200-300</v>
      </c>
      <c r="P93" t="str">
        <f t="shared" si="3"/>
        <v>&lt;=5000$</v>
      </c>
    </row>
    <row r="94" spans="1:16" x14ac:dyDescent="0.25">
      <c r="A94">
        <v>107</v>
      </c>
      <c r="B94" t="s">
        <v>37</v>
      </c>
      <c r="C94" t="s">
        <v>287</v>
      </c>
      <c r="D94" t="s">
        <v>26</v>
      </c>
      <c r="E94" t="s">
        <v>17</v>
      </c>
      <c r="F94" s="3">
        <v>200</v>
      </c>
      <c r="G94">
        <v>44</v>
      </c>
      <c r="H94">
        <v>14.2</v>
      </c>
      <c r="I94">
        <v>22</v>
      </c>
      <c r="J94" t="s">
        <v>19</v>
      </c>
      <c r="K94" t="s">
        <v>20</v>
      </c>
      <c r="L94" t="s">
        <v>21</v>
      </c>
      <c r="M94" s="3">
        <v>42</v>
      </c>
      <c r="N94" s="2">
        <v>4500</v>
      </c>
      <c r="O94" t="str">
        <f t="shared" si="2"/>
        <v>100-200</v>
      </c>
      <c r="P94" t="str">
        <f t="shared" si="3"/>
        <v>&lt;=5000$</v>
      </c>
    </row>
    <row r="95" spans="1:16" x14ac:dyDescent="0.25">
      <c r="A95">
        <v>108</v>
      </c>
      <c r="B95" t="s">
        <v>37</v>
      </c>
      <c r="C95" t="s">
        <v>285</v>
      </c>
      <c r="D95" t="s">
        <v>32</v>
      </c>
      <c r="E95" t="s">
        <v>17</v>
      </c>
      <c r="F95" s="3">
        <v>200</v>
      </c>
      <c r="G95">
        <v>42</v>
      </c>
      <c r="H95">
        <v>14.35</v>
      </c>
      <c r="I95">
        <v>20</v>
      </c>
      <c r="J95" t="s">
        <v>19</v>
      </c>
      <c r="K95" t="s">
        <v>20</v>
      </c>
      <c r="L95" t="s">
        <v>21</v>
      </c>
      <c r="M95" s="3">
        <v>38</v>
      </c>
      <c r="N95" s="2">
        <v>4400</v>
      </c>
      <c r="O95" t="str">
        <f t="shared" si="2"/>
        <v>100-200</v>
      </c>
      <c r="P95" t="str">
        <f t="shared" si="3"/>
        <v>&lt;=5000$</v>
      </c>
    </row>
    <row r="96" spans="1:16" x14ac:dyDescent="0.25">
      <c r="A96">
        <v>109</v>
      </c>
      <c r="B96" t="s">
        <v>37</v>
      </c>
      <c r="C96" t="s">
        <v>285</v>
      </c>
      <c r="D96" t="s">
        <v>32</v>
      </c>
      <c r="E96" t="s">
        <v>17</v>
      </c>
      <c r="F96" s="3">
        <v>200</v>
      </c>
      <c r="G96">
        <v>42</v>
      </c>
      <c r="H96">
        <v>14.35</v>
      </c>
      <c r="I96">
        <v>20</v>
      </c>
      <c r="J96" t="s">
        <v>19</v>
      </c>
      <c r="K96" t="s">
        <v>20</v>
      </c>
      <c r="L96" t="s">
        <v>21</v>
      </c>
      <c r="M96" s="3">
        <v>38</v>
      </c>
      <c r="N96" s="2">
        <v>4400</v>
      </c>
      <c r="O96" t="str">
        <f t="shared" si="2"/>
        <v>100-200</v>
      </c>
      <c r="P96" t="str">
        <f t="shared" si="3"/>
        <v>&lt;=5000$</v>
      </c>
    </row>
    <row r="97" spans="1:16" x14ac:dyDescent="0.25">
      <c r="A97">
        <v>110</v>
      </c>
      <c r="B97" t="s">
        <v>37</v>
      </c>
      <c r="C97" t="s">
        <v>288</v>
      </c>
      <c r="D97" t="s">
        <v>26</v>
      </c>
      <c r="E97" t="s">
        <v>17</v>
      </c>
      <c r="F97" s="3">
        <v>200</v>
      </c>
      <c r="G97">
        <v>44</v>
      </c>
      <c r="H97">
        <v>14.2</v>
      </c>
      <c r="I97">
        <v>22</v>
      </c>
      <c r="J97" t="s">
        <v>19</v>
      </c>
      <c r="K97" t="s">
        <v>20</v>
      </c>
      <c r="L97" t="s">
        <v>21</v>
      </c>
      <c r="M97" s="3">
        <v>70</v>
      </c>
      <c r="N97" s="2">
        <v>4300</v>
      </c>
      <c r="O97" t="str">
        <f t="shared" si="2"/>
        <v>100-200</v>
      </c>
      <c r="P97" t="str">
        <f t="shared" si="3"/>
        <v>&lt;=5000$</v>
      </c>
    </row>
    <row r="98" spans="1:16" x14ac:dyDescent="0.25">
      <c r="A98">
        <v>111</v>
      </c>
      <c r="B98" t="s">
        <v>37</v>
      </c>
      <c r="C98" t="s">
        <v>289</v>
      </c>
      <c r="D98" t="s">
        <v>26</v>
      </c>
      <c r="E98" t="s">
        <v>17</v>
      </c>
      <c r="F98" s="3">
        <v>1000</v>
      </c>
      <c r="G98">
        <v>42</v>
      </c>
      <c r="H98">
        <v>13.3</v>
      </c>
      <c r="I98">
        <v>20</v>
      </c>
      <c r="J98" t="s">
        <v>28</v>
      </c>
      <c r="K98" t="s">
        <v>20</v>
      </c>
      <c r="L98" t="s">
        <v>21</v>
      </c>
      <c r="M98" s="3">
        <v>38</v>
      </c>
      <c r="N98" s="2">
        <v>4100</v>
      </c>
      <c r="O98" t="str">
        <f t="shared" si="2"/>
        <v>1000+</v>
      </c>
      <c r="P98" t="str">
        <f t="shared" si="3"/>
        <v>&lt;=5000$</v>
      </c>
    </row>
    <row r="99" spans="1:16" x14ac:dyDescent="0.25">
      <c r="A99">
        <v>112</v>
      </c>
      <c r="B99" t="s">
        <v>37</v>
      </c>
      <c r="C99" t="s">
        <v>289</v>
      </c>
      <c r="D99" t="s">
        <v>26</v>
      </c>
      <c r="E99" t="s">
        <v>17</v>
      </c>
      <c r="F99" s="3">
        <v>1000</v>
      </c>
      <c r="G99">
        <v>42</v>
      </c>
      <c r="H99">
        <v>13.32</v>
      </c>
      <c r="I99">
        <v>20</v>
      </c>
      <c r="J99" t="s">
        <v>28</v>
      </c>
      <c r="K99" t="s">
        <v>20</v>
      </c>
      <c r="L99" t="s">
        <v>21</v>
      </c>
      <c r="M99" s="3">
        <v>38</v>
      </c>
      <c r="N99" s="2">
        <v>3850</v>
      </c>
      <c r="O99" t="str">
        <f t="shared" si="2"/>
        <v>1000+</v>
      </c>
      <c r="P99" t="str">
        <f t="shared" si="3"/>
        <v>&lt;=5000$</v>
      </c>
    </row>
    <row r="100" spans="1:16" x14ac:dyDescent="0.25">
      <c r="A100">
        <v>113</v>
      </c>
      <c r="B100" t="s">
        <v>37</v>
      </c>
      <c r="C100" t="s">
        <v>287</v>
      </c>
      <c r="D100" t="s">
        <v>26</v>
      </c>
      <c r="E100" t="s">
        <v>17</v>
      </c>
      <c r="F100" s="3">
        <v>1000</v>
      </c>
      <c r="G100">
        <v>44</v>
      </c>
      <c r="H100">
        <v>14.21</v>
      </c>
      <c r="I100">
        <v>22</v>
      </c>
      <c r="J100" t="s">
        <v>28</v>
      </c>
      <c r="K100" t="s">
        <v>20</v>
      </c>
      <c r="L100" t="s">
        <v>21</v>
      </c>
      <c r="M100" s="3">
        <v>38</v>
      </c>
      <c r="N100" s="2">
        <v>3800</v>
      </c>
      <c r="O100" t="str">
        <f t="shared" si="2"/>
        <v>1000+</v>
      </c>
      <c r="P100" t="str">
        <f t="shared" si="3"/>
        <v>&lt;=5000$</v>
      </c>
    </row>
    <row r="101" spans="1:16" x14ac:dyDescent="0.25">
      <c r="A101">
        <v>114</v>
      </c>
      <c r="B101" t="s">
        <v>37</v>
      </c>
      <c r="C101" t="s">
        <v>289</v>
      </c>
      <c r="D101" t="s">
        <v>26</v>
      </c>
      <c r="E101" t="s">
        <v>17</v>
      </c>
      <c r="F101" s="3">
        <v>500</v>
      </c>
      <c r="G101">
        <v>42</v>
      </c>
      <c r="H101">
        <v>13.32</v>
      </c>
      <c r="I101">
        <v>20</v>
      </c>
      <c r="J101" t="s">
        <v>28</v>
      </c>
      <c r="K101" t="s">
        <v>20</v>
      </c>
      <c r="L101" t="s">
        <v>21</v>
      </c>
      <c r="M101" s="3">
        <v>38</v>
      </c>
      <c r="N101" s="2">
        <v>3600</v>
      </c>
      <c r="O101" t="str">
        <f t="shared" si="2"/>
        <v>300-500</v>
      </c>
      <c r="P101" t="str">
        <f t="shared" si="3"/>
        <v>&lt;=5000$</v>
      </c>
    </row>
    <row r="102" spans="1:16" x14ac:dyDescent="0.25">
      <c r="A102">
        <v>115</v>
      </c>
      <c r="B102" t="s">
        <v>37</v>
      </c>
      <c r="C102" t="s">
        <v>289</v>
      </c>
      <c r="D102" t="s">
        <v>26</v>
      </c>
      <c r="E102" t="s">
        <v>17</v>
      </c>
      <c r="F102" s="3">
        <v>2000</v>
      </c>
      <c r="G102">
        <v>42</v>
      </c>
      <c r="H102">
        <v>13.32</v>
      </c>
      <c r="I102">
        <v>20</v>
      </c>
      <c r="J102" t="s">
        <v>28</v>
      </c>
      <c r="K102" t="s">
        <v>20</v>
      </c>
      <c r="L102" t="s">
        <v>21</v>
      </c>
      <c r="M102" s="3">
        <v>38</v>
      </c>
      <c r="N102" s="2">
        <v>3600</v>
      </c>
      <c r="O102" t="str">
        <f t="shared" si="2"/>
        <v>1000+</v>
      </c>
      <c r="P102" t="str">
        <f t="shared" si="3"/>
        <v>&lt;=5000$</v>
      </c>
    </row>
    <row r="103" spans="1:16" x14ac:dyDescent="0.25">
      <c r="A103">
        <v>116</v>
      </c>
      <c r="B103" t="s">
        <v>37</v>
      </c>
      <c r="C103" t="s">
        <v>290</v>
      </c>
      <c r="D103" t="s">
        <v>16</v>
      </c>
      <c r="E103" t="s">
        <v>17</v>
      </c>
      <c r="F103" s="3">
        <v>200</v>
      </c>
      <c r="G103">
        <v>44</v>
      </c>
      <c r="H103">
        <v>14.2</v>
      </c>
      <c r="I103">
        <v>22</v>
      </c>
      <c r="J103" t="s">
        <v>28</v>
      </c>
      <c r="K103" t="s">
        <v>20</v>
      </c>
      <c r="L103" t="s">
        <v>21</v>
      </c>
      <c r="M103" s="3">
        <v>38</v>
      </c>
      <c r="N103" s="2">
        <v>3250</v>
      </c>
      <c r="O103" t="str">
        <f t="shared" si="2"/>
        <v>100-200</v>
      </c>
      <c r="P103" t="str">
        <f t="shared" si="3"/>
        <v>&lt;=5000$</v>
      </c>
    </row>
    <row r="104" spans="1:16" x14ac:dyDescent="0.25">
      <c r="A104">
        <v>117</v>
      </c>
      <c r="B104" t="s">
        <v>37</v>
      </c>
      <c r="C104" t="s">
        <v>289</v>
      </c>
      <c r="D104" t="s">
        <v>26</v>
      </c>
      <c r="E104" t="s">
        <v>17</v>
      </c>
      <c r="F104" s="3">
        <v>500</v>
      </c>
      <c r="G104">
        <v>42</v>
      </c>
      <c r="H104">
        <v>13.3</v>
      </c>
      <c r="I104">
        <v>20</v>
      </c>
      <c r="J104" t="s">
        <v>28</v>
      </c>
      <c r="K104" t="s">
        <v>20</v>
      </c>
      <c r="L104" t="s">
        <v>21</v>
      </c>
      <c r="M104" s="3">
        <v>38</v>
      </c>
      <c r="N104" s="2">
        <v>3200</v>
      </c>
      <c r="O104" t="str">
        <f t="shared" si="2"/>
        <v>300-500</v>
      </c>
      <c r="P104" t="str">
        <f t="shared" si="3"/>
        <v>&lt;=5000$</v>
      </c>
    </row>
    <row r="105" spans="1:16" x14ac:dyDescent="0.25">
      <c r="A105">
        <v>118</v>
      </c>
      <c r="B105" t="s">
        <v>124</v>
      </c>
      <c r="C105" t="s">
        <v>291</v>
      </c>
      <c r="D105" t="s">
        <v>32</v>
      </c>
      <c r="E105" t="s">
        <v>17</v>
      </c>
      <c r="F105" s="3">
        <v>100</v>
      </c>
      <c r="G105">
        <v>40</v>
      </c>
      <c r="H105">
        <v>5.15</v>
      </c>
      <c r="I105">
        <v>28</v>
      </c>
      <c r="J105" t="s">
        <v>19</v>
      </c>
      <c r="K105" t="s">
        <v>20</v>
      </c>
      <c r="L105" t="s">
        <v>45</v>
      </c>
      <c r="M105" s="3">
        <v>60</v>
      </c>
      <c r="N105" s="2">
        <v>12800</v>
      </c>
      <c r="O105" t="str">
        <f t="shared" si="2"/>
        <v>&lt;=100</v>
      </c>
      <c r="P105" t="str">
        <f t="shared" si="3"/>
        <v>&lt;= 20000$</v>
      </c>
    </row>
    <row r="106" spans="1:16" x14ac:dyDescent="0.25">
      <c r="A106">
        <v>119</v>
      </c>
      <c r="B106" t="s">
        <v>124</v>
      </c>
      <c r="C106" t="s">
        <v>291</v>
      </c>
      <c r="D106" t="s">
        <v>32</v>
      </c>
      <c r="E106" t="s">
        <v>17</v>
      </c>
      <c r="F106" s="3">
        <v>30</v>
      </c>
      <c r="G106">
        <v>40</v>
      </c>
      <c r="H106">
        <v>5.5</v>
      </c>
      <c r="I106">
        <v>21</v>
      </c>
      <c r="J106" t="s">
        <v>19</v>
      </c>
      <c r="K106" t="s">
        <v>20</v>
      </c>
      <c r="L106" t="s">
        <v>45</v>
      </c>
      <c r="M106" s="3">
        <v>55</v>
      </c>
      <c r="N106" s="2">
        <v>10000</v>
      </c>
      <c r="O106" t="str">
        <f t="shared" si="2"/>
        <v>&lt;=100</v>
      </c>
      <c r="P106" t="str">
        <f t="shared" si="3"/>
        <v>&lt;= 10000$</v>
      </c>
    </row>
    <row r="107" spans="1:16" x14ac:dyDescent="0.25">
      <c r="A107">
        <v>120</v>
      </c>
      <c r="B107" t="s">
        <v>124</v>
      </c>
      <c r="C107" t="s">
        <v>291</v>
      </c>
      <c r="D107" t="s">
        <v>25</v>
      </c>
      <c r="E107" t="s">
        <v>17</v>
      </c>
      <c r="F107" s="3">
        <v>30</v>
      </c>
      <c r="G107">
        <v>40</v>
      </c>
      <c r="H107">
        <v>5.15</v>
      </c>
      <c r="I107">
        <v>28</v>
      </c>
      <c r="J107" t="s">
        <v>19</v>
      </c>
      <c r="K107" t="s">
        <v>20</v>
      </c>
      <c r="L107" t="s">
        <v>45</v>
      </c>
      <c r="M107" s="3">
        <v>55</v>
      </c>
      <c r="N107" s="2">
        <v>10000</v>
      </c>
      <c r="O107" t="str">
        <f t="shared" si="2"/>
        <v>&lt;=100</v>
      </c>
      <c r="P107" t="str">
        <f t="shared" si="3"/>
        <v>&lt;= 10000$</v>
      </c>
    </row>
    <row r="108" spans="1:16" x14ac:dyDescent="0.25">
      <c r="A108">
        <v>123</v>
      </c>
      <c r="B108" t="s">
        <v>41</v>
      </c>
      <c r="C108" t="s">
        <v>294</v>
      </c>
      <c r="D108" t="s">
        <v>32</v>
      </c>
      <c r="E108" t="s">
        <v>17</v>
      </c>
      <c r="F108" s="3">
        <v>30</v>
      </c>
      <c r="G108">
        <v>33</v>
      </c>
      <c r="H108">
        <v>9.9600000000000009</v>
      </c>
      <c r="I108">
        <v>18</v>
      </c>
      <c r="J108" t="s">
        <v>44</v>
      </c>
      <c r="K108" t="s">
        <v>20</v>
      </c>
      <c r="L108" t="s">
        <v>21</v>
      </c>
      <c r="M108" s="3">
        <v>42</v>
      </c>
      <c r="N108" s="2">
        <v>13200</v>
      </c>
      <c r="O108" t="str">
        <f t="shared" si="2"/>
        <v>&lt;=100</v>
      </c>
      <c r="P108" t="str">
        <f t="shared" si="3"/>
        <v>&lt;= 20000$</v>
      </c>
    </row>
    <row r="109" spans="1:16" x14ac:dyDescent="0.25">
      <c r="A109">
        <v>124</v>
      </c>
      <c r="B109" t="s">
        <v>41</v>
      </c>
      <c r="C109" t="s">
        <v>294</v>
      </c>
      <c r="D109" t="s">
        <v>32</v>
      </c>
      <c r="E109" t="s">
        <v>17</v>
      </c>
      <c r="F109" s="3">
        <v>30</v>
      </c>
      <c r="G109">
        <v>33</v>
      </c>
      <c r="H109">
        <v>9.9600000000000009</v>
      </c>
      <c r="I109">
        <v>18</v>
      </c>
      <c r="J109" t="s">
        <v>44</v>
      </c>
      <c r="K109" t="s">
        <v>20</v>
      </c>
      <c r="L109" t="s">
        <v>21</v>
      </c>
      <c r="M109" s="3">
        <v>42</v>
      </c>
      <c r="N109" s="2">
        <v>13000</v>
      </c>
      <c r="O109" t="str">
        <f t="shared" si="2"/>
        <v>&lt;=100</v>
      </c>
      <c r="P109" t="str">
        <f t="shared" si="3"/>
        <v>&lt;= 20000$</v>
      </c>
    </row>
    <row r="110" spans="1:16" x14ac:dyDescent="0.25">
      <c r="A110">
        <v>125</v>
      </c>
      <c r="B110" t="s">
        <v>41</v>
      </c>
      <c r="C110" t="s">
        <v>295</v>
      </c>
      <c r="D110" t="s">
        <v>16</v>
      </c>
      <c r="E110" t="s">
        <v>17</v>
      </c>
      <c r="F110" s="3">
        <v>100</v>
      </c>
      <c r="G110">
        <v>39.799999999999997</v>
      </c>
      <c r="H110">
        <v>9.08</v>
      </c>
      <c r="I110">
        <v>21.5</v>
      </c>
      <c r="J110" t="s">
        <v>44</v>
      </c>
      <c r="K110" t="s">
        <v>20</v>
      </c>
      <c r="L110" t="s">
        <v>21</v>
      </c>
      <c r="M110" s="3">
        <v>42</v>
      </c>
      <c r="N110" s="2">
        <v>7500</v>
      </c>
      <c r="O110" t="str">
        <f t="shared" si="2"/>
        <v>&lt;=100</v>
      </c>
      <c r="P110" t="str">
        <f t="shared" si="3"/>
        <v>&lt;= 10000$</v>
      </c>
    </row>
    <row r="111" spans="1:16" x14ac:dyDescent="0.25">
      <c r="A111">
        <v>126</v>
      </c>
      <c r="B111" t="s">
        <v>41</v>
      </c>
      <c r="C111" t="s">
        <v>296</v>
      </c>
      <c r="D111" t="s">
        <v>16</v>
      </c>
      <c r="E111" t="s">
        <v>17</v>
      </c>
      <c r="F111" s="3">
        <v>30</v>
      </c>
      <c r="G111">
        <v>42</v>
      </c>
      <c r="H111">
        <v>13</v>
      </c>
      <c r="I111">
        <v>22</v>
      </c>
      <c r="J111" t="s">
        <v>44</v>
      </c>
      <c r="K111" t="s">
        <v>20</v>
      </c>
      <c r="L111" t="s">
        <v>21</v>
      </c>
      <c r="M111" s="3">
        <v>42</v>
      </c>
      <c r="N111" s="2">
        <v>7500</v>
      </c>
      <c r="O111" t="str">
        <f t="shared" si="2"/>
        <v>&lt;=100</v>
      </c>
      <c r="P111" t="str">
        <f t="shared" si="3"/>
        <v>&lt;= 10000$</v>
      </c>
    </row>
    <row r="112" spans="1:16" x14ac:dyDescent="0.25">
      <c r="A112">
        <v>127</v>
      </c>
      <c r="B112" t="s">
        <v>41</v>
      </c>
      <c r="C112" t="s">
        <v>296</v>
      </c>
      <c r="D112" t="s">
        <v>16</v>
      </c>
      <c r="E112" t="s">
        <v>17</v>
      </c>
      <c r="F112" s="3">
        <v>30</v>
      </c>
      <c r="G112">
        <v>42</v>
      </c>
      <c r="H112">
        <v>13</v>
      </c>
      <c r="I112">
        <v>22</v>
      </c>
      <c r="J112" t="s">
        <v>44</v>
      </c>
      <c r="K112" t="s">
        <v>20</v>
      </c>
      <c r="L112" t="s">
        <v>21</v>
      </c>
      <c r="M112" s="3">
        <v>42</v>
      </c>
      <c r="N112" s="2">
        <v>7500</v>
      </c>
      <c r="O112" t="str">
        <f t="shared" si="2"/>
        <v>&lt;=100</v>
      </c>
      <c r="P112" t="str">
        <f t="shared" si="3"/>
        <v>&lt;= 10000$</v>
      </c>
    </row>
    <row r="113" spans="1:16" x14ac:dyDescent="0.25">
      <c r="A113">
        <v>128</v>
      </c>
      <c r="B113" t="s">
        <v>41</v>
      </c>
      <c r="C113" t="s">
        <v>295</v>
      </c>
      <c r="D113" t="s">
        <v>32</v>
      </c>
      <c r="E113" t="s">
        <v>17</v>
      </c>
      <c r="F113" s="3">
        <v>100</v>
      </c>
      <c r="G113">
        <v>39.799999999999997</v>
      </c>
      <c r="H113">
        <v>9.08</v>
      </c>
      <c r="I113">
        <v>20</v>
      </c>
      <c r="J113" t="s">
        <v>44</v>
      </c>
      <c r="K113" t="s">
        <v>20</v>
      </c>
      <c r="L113" t="s">
        <v>21</v>
      </c>
      <c r="M113" s="3">
        <v>42</v>
      </c>
      <c r="N113" s="2">
        <v>6600</v>
      </c>
      <c r="O113" t="str">
        <f t="shared" si="2"/>
        <v>&lt;=100</v>
      </c>
      <c r="P113" t="str">
        <f t="shared" si="3"/>
        <v>&lt;= 10000$</v>
      </c>
    </row>
    <row r="114" spans="1:16" x14ac:dyDescent="0.25">
      <c r="A114">
        <v>129</v>
      </c>
      <c r="B114" t="s">
        <v>41</v>
      </c>
      <c r="C114" t="s">
        <v>297</v>
      </c>
      <c r="D114" t="s">
        <v>16</v>
      </c>
      <c r="E114" t="s">
        <v>17</v>
      </c>
      <c r="F114" s="3">
        <v>30</v>
      </c>
      <c r="G114">
        <v>33</v>
      </c>
      <c r="H114">
        <v>9.9600000000000009</v>
      </c>
      <c r="I114">
        <v>18</v>
      </c>
      <c r="J114" t="s">
        <v>44</v>
      </c>
      <c r="K114" t="s">
        <v>20</v>
      </c>
      <c r="L114" t="s">
        <v>21</v>
      </c>
      <c r="M114" s="3">
        <v>42</v>
      </c>
      <c r="N114" s="2">
        <v>6500</v>
      </c>
      <c r="O114" t="str">
        <f t="shared" si="2"/>
        <v>&lt;=100</v>
      </c>
      <c r="P114" t="str">
        <f t="shared" si="3"/>
        <v>&lt;= 10000$</v>
      </c>
    </row>
    <row r="115" spans="1:16" x14ac:dyDescent="0.25">
      <c r="A115">
        <v>130</v>
      </c>
      <c r="B115" t="s">
        <v>41</v>
      </c>
      <c r="C115" t="s">
        <v>298</v>
      </c>
      <c r="D115" t="s">
        <v>16</v>
      </c>
      <c r="E115" t="s">
        <v>17</v>
      </c>
      <c r="F115" s="3">
        <v>100</v>
      </c>
      <c r="G115">
        <v>39.799999999999997</v>
      </c>
      <c r="H115">
        <v>9.08</v>
      </c>
      <c r="I115">
        <v>20</v>
      </c>
      <c r="J115" t="s">
        <v>44</v>
      </c>
      <c r="K115" t="s">
        <v>20</v>
      </c>
      <c r="L115" t="s">
        <v>21</v>
      </c>
      <c r="M115" s="3">
        <v>42</v>
      </c>
      <c r="N115" s="2">
        <v>6500</v>
      </c>
      <c r="O115" t="str">
        <f t="shared" si="2"/>
        <v>&lt;=100</v>
      </c>
      <c r="P115" t="str">
        <f t="shared" si="3"/>
        <v>&lt;= 10000$</v>
      </c>
    </row>
    <row r="116" spans="1:16" x14ac:dyDescent="0.25">
      <c r="A116">
        <v>131</v>
      </c>
      <c r="B116" t="s">
        <v>41</v>
      </c>
      <c r="C116" t="s">
        <v>295</v>
      </c>
      <c r="D116" t="s">
        <v>16</v>
      </c>
      <c r="E116" t="s">
        <v>17</v>
      </c>
      <c r="F116" s="3">
        <v>100</v>
      </c>
      <c r="G116">
        <v>39.799999999999997</v>
      </c>
      <c r="H116">
        <v>9.08</v>
      </c>
      <c r="I116">
        <v>20</v>
      </c>
      <c r="J116" t="s">
        <v>44</v>
      </c>
      <c r="K116" t="s">
        <v>20</v>
      </c>
      <c r="L116" t="s">
        <v>21</v>
      </c>
      <c r="M116" s="3">
        <v>42</v>
      </c>
      <c r="N116" s="2">
        <v>6200</v>
      </c>
      <c r="O116" t="str">
        <f t="shared" si="2"/>
        <v>&lt;=100</v>
      </c>
      <c r="P116" t="str">
        <f t="shared" si="3"/>
        <v>&lt;= 10000$</v>
      </c>
    </row>
    <row r="117" spans="1:16" x14ac:dyDescent="0.25">
      <c r="A117">
        <v>132</v>
      </c>
      <c r="B117" t="s">
        <v>41</v>
      </c>
      <c r="C117" t="s">
        <v>299</v>
      </c>
      <c r="D117" t="s">
        <v>16</v>
      </c>
      <c r="E117" t="s">
        <v>17</v>
      </c>
      <c r="F117" s="3">
        <v>100</v>
      </c>
      <c r="G117">
        <v>35.1</v>
      </c>
      <c r="H117">
        <v>8.83</v>
      </c>
      <c r="I117">
        <v>18</v>
      </c>
      <c r="J117" t="s">
        <v>44</v>
      </c>
      <c r="K117" t="s">
        <v>20</v>
      </c>
      <c r="L117" t="s">
        <v>21</v>
      </c>
      <c r="M117" s="3">
        <v>42</v>
      </c>
      <c r="N117" s="2">
        <v>5500</v>
      </c>
      <c r="O117" t="str">
        <f t="shared" si="2"/>
        <v>&lt;=100</v>
      </c>
      <c r="P117" t="str">
        <f t="shared" si="3"/>
        <v>&lt;= 10000$</v>
      </c>
    </row>
    <row r="118" spans="1:16" x14ac:dyDescent="0.25">
      <c r="A118">
        <v>133</v>
      </c>
      <c r="B118" t="s">
        <v>41</v>
      </c>
      <c r="C118" t="s">
        <v>299</v>
      </c>
      <c r="D118" t="s">
        <v>32</v>
      </c>
      <c r="E118" t="s">
        <v>17</v>
      </c>
      <c r="F118" s="3">
        <v>100</v>
      </c>
      <c r="G118">
        <v>35.1</v>
      </c>
      <c r="H118">
        <v>8.83</v>
      </c>
      <c r="I118">
        <v>22</v>
      </c>
      <c r="J118" t="s">
        <v>44</v>
      </c>
      <c r="K118" t="s">
        <v>20</v>
      </c>
      <c r="L118" t="s">
        <v>21</v>
      </c>
      <c r="M118" s="3">
        <v>42</v>
      </c>
      <c r="N118" s="2">
        <v>5300</v>
      </c>
      <c r="O118" t="str">
        <f t="shared" si="2"/>
        <v>&lt;=100</v>
      </c>
      <c r="P118" t="str">
        <f t="shared" si="3"/>
        <v>&lt;= 10000$</v>
      </c>
    </row>
    <row r="119" spans="1:16" x14ac:dyDescent="0.25">
      <c r="A119">
        <v>135</v>
      </c>
      <c r="B119" t="s">
        <v>41</v>
      </c>
      <c r="C119" t="s">
        <v>301</v>
      </c>
      <c r="D119" t="s">
        <v>16</v>
      </c>
      <c r="E119" t="s">
        <v>17</v>
      </c>
      <c r="F119" s="3">
        <v>30</v>
      </c>
      <c r="G119">
        <v>36.6</v>
      </c>
      <c r="H119">
        <v>12.05</v>
      </c>
      <c r="I119">
        <v>18</v>
      </c>
      <c r="J119" t="s">
        <v>44</v>
      </c>
      <c r="K119" t="s">
        <v>20</v>
      </c>
      <c r="L119" t="s">
        <v>21</v>
      </c>
      <c r="M119" s="3">
        <v>42</v>
      </c>
      <c r="N119" s="2">
        <v>4700</v>
      </c>
      <c r="O119" t="str">
        <f t="shared" si="2"/>
        <v>&lt;=100</v>
      </c>
      <c r="P119" t="str">
        <f t="shared" si="3"/>
        <v>&lt;=5000$</v>
      </c>
    </row>
    <row r="120" spans="1:16" x14ac:dyDescent="0.25">
      <c r="A120">
        <v>136</v>
      </c>
      <c r="B120" t="s">
        <v>41</v>
      </c>
      <c r="C120" t="s">
        <v>297</v>
      </c>
      <c r="D120" t="s">
        <v>32</v>
      </c>
      <c r="E120" t="s">
        <v>17</v>
      </c>
      <c r="F120" s="3">
        <v>30</v>
      </c>
      <c r="G120">
        <v>33</v>
      </c>
      <c r="H120">
        <v>9.9600000000000009</v>
      </c>
      <c r="I120">
        <v>16</v>
      </c>
      <c r="J120" t="s">
        <v>44</v>
      </c>
      <c r="K120" t="s">
        <v>20</v>
      </c>
      <c r="L120" t="s">
        <v>21</v>
      </c>
      <c r="M120" s="3">
        <v>42</v>
      </c>
      <c r="N120" s="2">
        <v>4500</v>
      </c>
      <c r="O120" t="str">
        <f t="shared" si="2"/>
        <v>&lt;=100</v>
      </c>
      <c r="P120" t="str">
        <f t="shared" si="3"/>
        <v>&lt;=5000$</v>
      </c>
    </row>
    <row r="121" spans="1:16" x14ac:dyDescent="0.25">
      <c r="A121">
        <v>141</v>
      </c>
      <c r="B121" t="s">
        <v>126</v>
      </c>
      <c r="C121" t="s">
        <v>305</v>
      </c>
      <c r="D121" t="s">
        <v>32</v>
      </c>
      <c r="E121" t="s">
        <v>17</v>
      </c>
      <c r="F121" s="3">
        <v>50</v>
      </c>
      <c r="G121">
        <v>42</v>
      </c>
      <c r="H121">
        <v>12.67</v>
      </c>
      <c r="I121">
        <v>22</v>
      </c>
      <c r="J121" t="s">
        <v>19</v>
      </c>
      <c r="K121" t="s">
        <v>20</v>
      </c>
      <c r="L121" t="s">
        <v>35</v>
      </c>
      <c r="M121" s="3">
        <v>42</v>
      </c>
      <c r="N121" s="2">
        <v>6900</v>
      </c>
      <c r="O121" t="str">
        <f t="shared" si="2"/>
        <v>&lt;=100</v>
      </c>
      <c r="P121" t="str">
        <f t="shared" si="3"/>
        <v>&lt;= 10000$</v>
      </c>
    </row>
    <row r="122" spans="1:16" x14ac:dyDescent="0.25">
      <c r="A122">
        <v>142</v>
      </c>
      <c r="B122" t="s">
        <v>126</v>
      </c>
      <c r="C122" t="s">
        <v>305</v>
      </c>
      <c r="D122" t="s">
        <v>26</v>
      </c>
      <c r="E122" t="s">
        <v>17</v>
      </c>
      <c r="F122" s="3">
        <v>50</v>
      </c>
      <c r="G122">
        <v>42</v>
      </c>
      <c r="H122">
        <v>13.07</v>
      </c>
      <c r="I122">
        <v>20</v>
      </c>
      <c r="J122" t="s">
        <v>19</v>
      </c>
      <c r="K122" t="s">
        <v>20</v>
      </c>
      <c r="L122" t="s">
        <v>35</v>
      </c>
      <c r="M122" s="3">
        <v>48</v>
      </c>
      <c r="N122" s="2">
        <v>6800</v>
      </c>
      <c r="O122" t="str">
        <f t="shared" si="2"/>
        <v>&lt;=100</v>
      </c>
      <c r="P122" t="str">
        <f t="shared" si="3"/>
        <v>&lt;= 10000$</v>
      </c>
    </row>
    <row r="123" spans="1:16" x14ac:dyDescent="0.25">
      <c r="A123">
        <v>143</v>
      </c>
      <c r="B123" t="s">
        <v>126</v>
      </c>
      <c r="C123" t="s">
        <v>306</v>
      </c>
      <c r="D123" t="s">
        <v>32</v>
      </c>
      <c r="E123" t="s">
        <v>17</v>
      </c>
      <c r="F123" s="3">
        <v>50</v>
      </c>
      <c r="G123">
        <v>44</v>
      </c>
      <c r="H123">
        <v>13.7</v>
      </c>
      <c r="I123">
        <v>20</v>
      </c>
      <c r="J123" t="s">
        <v>19</v>
      </c>
      <c r="K123" t="s">
        <v>20</v>
      </c>
      <c r="L123" t="s">
        <v>35</v>
      </c>
      <c r="M123" s="3">
        <v>42</v>
      </c>
      <c r="N123" s="2">
        <v>6500</v>
      </c>
      <c r="O123" t="str">
        <f t="shared" si="2"/>
        <v>&lt;=100</v>
      </c>
      <c r="P123" t="str">
        <f t="shared" si="3"/>
        <v>&lt;= 10000$</v>
      </c>
    </row>
    <row r="124" spans="1:16" x14ac:dyDescent="0.25">
      <c r="A124">
        <v>144</v>
      </c>
      <c r="B124" t="s">
        <v>126</v>
      </c>
      <c r="C124" t="s">
        <v>305</v>
      </c>
      <c r="D124" t="s">
        <v>26</v>
      </c>
      <c r="E124" t="s">
        <v>17</v>
      </c>
      <c r="F124" s="3">
        <v>50</v>
      </c>
      <c r="G124">
        <v>42</v>
      </c>
      <c r="H124">
        <v>12.67</v>
      </c>
      <c r="I124">
        <v>20</v>
      </c>
      <c r="J124" t="s">
        <v>19</v>
      </c>
      <c r="K124" t="s">
        <v>20</v>
      </c>
      <c r="L124" t="s">
        <v>141</v>
      </c>
      <c r="M124" s="3">
        <v>42</v>
      </c>
      <c r="N124" s="2">
        <v>6500</v>
      </c>
      <c r="O124" t="str">
        <f t="shared" si="2"/>
        <v>&lt;=100</v>
      </c>
      <c r="P124" t="str">
        <f t="shared" si="3"/>
        <v>&lt;= 10000$</v>
      </c>
    </row>
    <row r="125" spans="1:16" x14ac:dyDescent="0.25">
      <c r="A125">
        <v>145</v>
      </c>
      <c r="B125" t="s">
        <v>126</v>
      </c>
      <c r="C125" t="s">
        <v>306</v>
      </c>
      <c r="D125" t="s">
        <v>32</v>
      </c>
      <c r="E125" t="s">
        <v>17</v>
      </c>
      <c r="F125" s="3">
        <v>50</v>
      </c>
      <c r="G125">
        <v>44</v>
      </c>
      <c r="H125">
        <v>14.4</v>
      </c>
      <c r="I125">
        <v>22</v>
      </c>
      <c r="J125" t="s">
        <v>19</v>
      </c>
      <c r="K125" t="s">
        <v>20</v>
      </c>
      <c r="L125" t="s">
        <v>245</v>
      </c>
      <c r="M125" s="3">
        <v>42</v>
      </c>
      <c r="N125" s="2">
        <v>6300</v>
      </c>
      <c r="O125" t="str">
        <f t="shared" si="2"/>
        <v>&lt;=100</v>
      </c>
      <c r="P125" t="str">
        <f t="shared" si="3"/>
        <v>&lt;= 10000$</v>
      </c>
    </row>
    <row r="126" spans="1:16" x14ac:dyDescent="0.25">
      <c r="A126">
        <v>146</v>
      </c>
      <c r="B126" t="s">
        <v>126</v>
      </c>
      <c r="C126" t="s">
        <v>305</v>
      </c>
      <c r="D126" t="s">
        <v>32</v>
      </c>
      <c r="E126" t="s">
        <v>17</v>
      </c>
      <c r="F126" s="3">
        <v>50</v>
      </c>
      <c r="G126">
        <v>42</v>
      </c>
      <c r="H126">
        <v>11.43</v>
      </c>
      <c r="I126">
        <v>22</v>
      </c>
      <c r="J126" t="s">
        <v>19</v>
      </c>
      <c r="K126" t="s">
        <v>20</v>
      </c>
      <c r="L126" t="s">
        <v>35</v>
      </c>
      <c r="M126" s="3">
        <v>48</v>
      </c>
      <c r="N126" s="2">
        <v>6200</v>
      </c>
      <c r="O126" t="str">
        <f t="shared" si="2"/>
        <v>&lt;=100</v>
      </c>
      <c r="P126" t="str">
        <f t="shared" si="3"/>
        <v>&lt;= 10000$</v>
      </c>
    </row>
    <row r="127" spans="1:16" x14ac:dyDescent="0.25">
      <c r="A127">
        <v>147</v>
      </c>
      <c r="B127" t="s">
        <v>126</v>
      </c>
      <c r="C127" t="s">
        <v>305</v>
      </c>
      <c r="D127" t="s">
        <v>32</v>
      </c>
      <c r="E127" t="s">
        <v>17</v>
      </c>
      <c r="F127" s="3">
        <v>50</v>
      </c>
      <c r="G127">
        <v>42</v>
      </c>
      <c r="H127">
        <v>11.43</v>
      </c>
      <c r="I127">
        <v>20</v>
      </c>
      <c r="J127" t="s">
        <v>19</v>
      </c>
      <c r="K127" t="s">
        <v>20</v>
      </c>
      <c r="L127" t="s">
        <v>35</v>
      </c>
      <c r="M127" s="3">
        <v>42</v>
      </c>
      <c r="N127" s="2">
        <v>6100</v>
      </c>
      <c r="O127" t="str">
        <f t="shared" si="2"/>
        <v>&lt;=100</v>
      </c>
      <c r="P127" t="str">
        <f t="shared" si="3"/>
        <v>&lt;= 10000$</v>
      </c>
    </row>
    <row r="128" spans="1:16" x14ac:dyDescent="0.25">
      <c r="A128">
        <v>148</v>
      </c>
      <c r="B128" t="s">
        <v>126</v>
      </c>
      <c r="C128" t="s">
        <v>306</v>
      </c>
      <c r="D128" t="s">
        <v>32</v>
      </c>
      <c r="E128" t="s">
        <v>17</v>
      </c>
      <c r="F128" s="3">
        <v>50</v>
      </c>
      <c r="G128">
        <v>44</v>
      </c>
      <c r="H128">
        <v>14.45</v>
      </c>
      <c r="I128">
        <v>22</v>
      </c>
      <c r="J128" t="s">
        <v>19</v>
      </c>
      <c r="K128" t="s">
        <v>20</v>
      </c>
      <c r="L128" t="s">
        <v>148</v>
      </c>
      <c r="M128" s="3">
        <v>42</v>
      </c>
      <c r="N128" s="2">
        <v>6000</v>
      </c>
      <c r="O128" t="str">
        <f t="shared" si="2"/>
        <v>&lt;=100</v>
      </c>
      <c r="P128" t="str">
        <f t="shared" si="3"/>
        <v>&lt;= 10000$</v>
      </c>
    </row>
    <row r="129" spans="1:16" x14ac:dyDescent="0.25">
      <c r="A129">
        <v>149</v>
      </c>
      <c r="B129" t="s">
        <v>126</v>
      </c>
      <c r="C129" t="s">
        <v>305</v>
      </c>
      <c r="D129" t="s">
        <v>32</v>
      </c>
      <c r="E129" t="s">
        <v>17</v>
      </c>
      <c r="F129" s="3">
        <v>50</v>
      </c>
      <c r="G129">
        <v>42</v>
      </c>
      <c r="H129">
        <v>12.67</v>
      </c>
      <c r="I129">
        <v>20</v>
      </c>
      <c r="J129" t="s">
        <v>44</v>
      </c>
      <c r="K129" t="s">
        <v>20</v>
      </c>
      <c r="L129" t="s">
        <v>35</v>
      </c>
      <c r="M129" s="3">
        <v>42</v>
      </c>
      <c r="N129" s="2">
        <v>5900</v>
      </c>
      <c r="O129" t="str">
        <f t="shared" si="2"/>
        <v>&lt;=100</v>
      </c>
      <c r="P129" t="str">
        <f t="shared" si="3"/>
        <v>&lt;= 10000$</v>
      </c>
    </row>
    <row r="130" spans="1:16" x14ac:dyDescent="0.25">
      <c r="A130">
        <v>150</v>
      </c>
      <c r="B130" t="s">
        <v>126</v>
      </c>
      <c r="C130" t="s">
        <v>306</v>
      </c>
      <c r="D130" t="s">
        <v>32</v>
      </c>
      <c r="E130" t="s">
        <v>17</v>
      </c>
      <c r="F130" s="3">
        <v>50</v>
      </c>
      <c r="G130">
        <v>44</v>
      </c>
      <c r="H130">
        <v>14.97</v>
      </c>
      <c r="I130">
        <v>22</v>
      </c>
      <c r="J130" t="s">
        <v>19</v>
      </c>
      <c r="K130" t="s">
        <v>20</v>
      </c>
      <c r="L130" t="s">
        <v>35</v>
      </c>
      <c r="M130" s="3">
        <v>42</v>
      </c>
      <c r="N130" s="2">
        <v>5800</v>
      </c>
      <c r="O130" t="str">
        <f t="shared" ref="O130:O193" si="4">IF($F130&lt;=100, "&lt;=100", IF($F130&lt;=200, "100-200", IF($F130&lt;=300, "200-300", IF($F130&lt;=500, "300-500", IF($F130&lt;1000, "500-1000", "1000+")))))</f>
        <v>&lt;=100</v>
      </c>
      <c r="P130" t="str">
        <f t="shared" ref="P130:P193" si="5">IF(N130&lt;=1000, "&lt;= 1000$", IF(N130&lt;=2000, " &lt;=2000$", IF(N130&lt;=5000, "&lt;=5000$", IF(N130&lt;=10000, "&lt;= 10000$", IF(N130&lt;=20000, "&lt;= 20000$", IF(N130&lt;40000, "&lt;= 40000$", "40000$ +"))))))</f>
        <v>&lt;= 10000$</v>
      </c>
    </row>
    <row r="131" spans="1:16" x14ac:dyDescent="0.25">
      <c r="A131">
        <v>152</v>
      </c>
      <c r="B131" t="s">
        <v>126</v>
      </c>
      <c r="C131" t="s">
        <v>305</v>
      </c>
      <c r="D131" t="s">
        <v>32</v>
      </c>
      <c r="E131" t="s">
        <v>17</v>
      </c>
      <c r="F131" s="3">
        <v>50</v>
      </c>
      <c r="G131">
        <v>42</v>
      </c>
      <c r="H131">
        <v>12.67</v>
      </c>
      <c r="I131">
        <v>20</v>
      </c>
      <c r="J131" t="s">
        <v>19</v>
      </c>
      <c r="K131" t="s">
        <v>20</v>
      </c>
      <c r="L131" t="s">
        <v>35</v>
      </c>
      <c r="M131" s="3">
        <v>48</v>
      </c>
      <c r="N131" s="2">
        <v>5600</v>
      </c>
      <c r="O131" t="str">
        <f t="shared" si="4"/>
        <v>&lt;=100</v>
      </c>
      <c r="P131" t="str">
        <f t="shared" si="5"/>
        <v>&lt;= 10000$</v>
      </c>
    </row>
    <row r="132" spans="1:16" x14ac:dyDescent="0.25">
      <c r="A132">
        <v>153</v>
      </c>
      <c r="B132" t="s">
        <v>126</v>
      </c>
      <c r="C132" t="s">
        <v>305</v>
      </c>
      <c r="D132" t="s">
        <v>32</v>
      </c>
      <c r="E132" t="s">
        <v>17</v>
      </c>
      <c r="F132" s="3">
        <v>50</v>
      </c>
      <c r="G132">
        <v>42</v>
      </c>
      <c r="H132">
        <v>12.67</v>
      </c>
      <c r="I132">
        <v>20</v>
      </c>
      <c r="J132" t="s">
        <v>19</v>
      </c>
      <c r="K132" t="s">
        <v>20</v>
      </c>
      <c r="L132" t="s">
        <v>35</v>
      </c>
      <c r="M132" s="3">
        <v>48</v>
      </c>
      <c r="N132" s="2">
        <v>5000</v>
      </c>
      <c r="O132" t="str">
        <f t="shared" si="4"/>
        <v>&lt;=100</v>
      </c>
      <c r="P132" t="str">
        <f t="shared" si="5"/>
        <v>&lt;=5000$</v>
      </c>
    </row>
    <row r="133" spans="1:16" x14ac:dyDescent="0.25">
      <c r="A133">
        <v>155</v>
      </c>
      <c r="B133" t="s">
        <v>196</v>
      </c>
      <c r="C133" t="s">
        <v>308</v>
      </c>
      <c r="D133" t="s">
        <v>32</v>
      </c>
      <c r="E133" t="s">
        <v>17</v>
      </c>
      <c r="F133" s="3">
        <v>50</v>
      </c>
      <c r="G133">
        <v>40</v>
      </c>
      <c r="H133">
        <v>10.5</v>
      </c>
      <c r="I133">
        <v>20</v>
      </c>
      <c r="J133" t="s">
        <v>44</v>
      </c>
      <c r="K133" t="s">
        <v>20</v>
      </c>
      <c r="L133" t="s">
        <v>21</v>
      </c>
      <c r="M133" s="3">
        <v>38</v>
      </c>
      <c r="N133" s="2">
        <v>1400</v>
      </c>
      <c r="O133" t="str">
        <f t="shared" si="4"/>
        <v>&lt;=100</v>
      </c>
      <c r="P133" t="str">
        <f t="shared" si="5"/>
        <v xml:space="preserve"> &lt;=2000$</v>
      </c>
    </row>
    <row r="134" spans="1:16" x14ac:dyDescent="0.25">
      <c r="A134">
        <v>156</v>
      </c>
      <c r="B134" t="s">
        <v>196</v>
      </c>
      <c r="C134" t="s">
        <v>308</v>
      </c>
      <c r="D134" t="s">
        <v>32</v>
      </c>
      <c r="E134" t="s">
        <v>17</v>
      </c>
      <c r="F134" s="3">
        <v>50</v>
      </c>
      <c r="G134">
        <v>40</v>
      </c>
      <c r="H134">
        <v>10.6</v>
      </c>
      <c r="I134">
        <v>20</v>
      </c>
      <c r="J134" t="s">
        <v>44</v>
      </c>
      <c r="K134" t="s">
        <v>20</v>
      </c>
      <c r="L134" t="s">
        <v>21</v>
      </c>
      <c r="M134" s="3">
        <v>38</v>
      </c>
      <c r="N134" s="2">
        <v>1200</v>
      </c>
      <c r="O134" t="str">
        <f t="shared" si="4"/>
        <v>&lt;=100</v>
      </c>
      <c r="P134" t="str">
        <f t="shared" si="5"/>
        <v xml:space="preserve"> &lt;=2000$</v>
      </c>
    </row>
    <row r="135" spans="1:16" x14ac:dyDescent="0.25">
      <c r="A135">
        <v>157</v>
      </c>
      <c r="B135" t="s">
        <v>128</v>
      </c>
      <c r="C135" t="s">
        <v>309</v>
      </c>
      <c r="D135" t="s">
        <v>16</v>
      </c>
      <c r="E135" t="s">
        <v>17</v>
      </c>
      <c r="F135" s="3">
        <v>100</v>
      </c>
      <c r="G135">
        <v>42</v>
      </c>
      <c r="H135">
        <v>10.88</v>
      </c>
      <c r="I135">
        <v>22</v>
      </c>
      <c r="J135" t="s">
        <v>28</v>
      </c>
      <c r="K135" t="s">
        <v>20</v>
      </c>
      <c r="L135" t="s">
        <v>21</v>
      </c>
      <c r="M135" s="3">
        <v>54</v>
      </c>
      <c r="N135" s="2">
        <v>12800</v>
      </c>
      <c r="O135" t="str">
        <f t="shared" si="4"/>
        <v>&lt;=100</v>
      </c>
      <c r="P135" t="str">
        <f t="shared" si="5"/>
        <v>&lt;= 20000$</v>
      </c>
    </row>
    <row r="136" spans="1:16" x14ac:dyDescent="0.25">
      <c r="A136">
        <v>158</v>
      </c>
      <c r="B136" t="s">
        <v>128</v>
      </c>
      <c r="C136" t="s">
        <v>310</v>
      </c>
      <c r="D136" t="s">
        <v>16</v>
      </c>
      <c r="E136" t="s">
        <v>17</v>
      </c>
      <c r="F136" s="3">
        <v>100</v>
      </c>
      <c r="G136">
        <v>41</v>
      </c>
      <c r="H136">
        <v>10.88</v>
      </c>
      <c r="I136">
        <v>26</v>
      </c>
      <c r="J136" t="s">
        <v>19</v>
      </c>
      <c r="K136" t="s">
        <v>20</v>
      </c>
      <c r="L136" t="s">
        <v>35</v>
      </c>
      <c r="M136" s="3">
        <v>46</v>
      </c>
      <c r="N136" s="2">
        <v>12000</v>
      </c>
      <c r="O136" t="str">
        <f t="shared" si="4"/>
        <v>&lt;=100</v>
      </c>
      <c r="P136" t="str">
        <f t="shared" si="5"/>
        <v>&lt;= 20000$</v>
      </c>
    </row>
    <row r="137" spans="1:16" x14ac:dyDescent="0.25">
      <c r="A137">
        <v>159</v>
      </c>
      <c r="B137" t="s">
        <v>128</v>
      </c>
      <c r="C137" t="s">
        <v>311</v>
      </c>
      <c r="D137" t="s">
        <v>16</v>
      </c>
      <c r="E137" t="s">
        <v>17</v>
      </c>
      <c r="F137" s="3">
        <v>100</v>
      </c>
      <c r="G137">
        <v>38</v>
      </c>
      <c r="H137">
        <v>10.88</v>
      </c>
      <c r="I137">
        <v>20</v>
      </c>
      <c r="J137" t="s">
        <v>28</v>
      </c>
      <c r="K137" t="s">
        <v>20</v>
      </c>
      <c r="L137" t="s">
        <v>21</v>
      </c>
      <c r="M137" s="3">
        <v>54</v>
      </c>
      <c r="N137" s="2">
        <v>12000</v>
      </c>
      <c r="O137" t="str">
        <f t="shared" si="4"/>
        <v>&lt;=100</v>
      </c>
      <c r="P137" t="str">
        <f t="shared" si="5"/>
        <v>&lt;= 20000$</v>
      </c>
    </row>
    <row r="138" spans="1:16" x14ac:dyDescent="0.25">
      <c r="A138">
        <v>160</v>
      </c>
      <c r="B138" t="s">
        <v>128</v>
      </c>
      <c r="C138" t="s">
        <v>310</v>
      </c>
      <c r="D138" t="s">
        <v>16</v>
      </c>
      <c r="E138" t="s">
        <v>17</v>
      </c>
      <c r="F138" s="3">
        <v>100</v>
      </c>
      <c r="G138">
        <v>41</v>
      </c>
      <c r="H138">
        <v>10.88</v>
      </c>
      <c r="I138">
        <v>22</v>
      </c>
      <c r="J138" t="s">
        <v>28</v>
      </c>
      <c r="K138" t="s">
        <v>20</v>
      </c>
      <c r="L138" t="s">
        <v>21</v>
      </c>
      <c r="M138" s="3">
        <v>54</v>
      </c>
      <c r="N138" s="2">
        <v>11500</v>
      </c>
      <c r="O138" t="str">
        <f t="shared" si="4"/>
        <v>&lt;=100</v>
      </c>
      <c r="P138" t="str">
        <f t="shared" si="5"/>
        <v>&lt;= 20000$</v>
      </c>
    </row>
    <row r="139" spans="1:16" x14ac:dyDescent="0.25">
      <c r="A139">
        <v>161</v>
      </c>
      <c r="B139" t="s">
        <v>128</v>
      </c>
      <c r="C139" t="s">
        <v>309</v>
      </c>
      <c r="D139" t="s">
        <v>16</v>
      </c>
      <c r="E139" t="s">
        <v>17</v>
      </c>
      <c r="F139" s="3">
        <v>100</v>
      </c>
      <c r="G139">
        <v>42</v>
      </c>
      <c r="H139">
        <v>10.88</v>
      </c>
      <c r="I139">
        <v>22</v>
      </c>
      <c r="J139" t="s">
        <v>28</v>
      </c>
      <c r="K139" t="s">
        <v>20</v>
      </c>
      <c r="L139" t="s">
        <v>21</v>
      </c>
      <c r="M139" s="3">
        <v>54</v>
      </c>
      <c r="N139" s="2">
        <v>11500</v>
      </c>
      <c r="O139" t="str">
        <f t="shared" si="4"/>
        <v>&lt;=100</v>
      </c>
      <c r="P139" t="str">
        <f t="shared" si="5"/>
        <v>&lt;= 20000$</v>
      </c>
    </row>
    <row r="140" spans="1:16" x14ac:dyDescent="0.25">
      <c r="A140">
        <v>162</v>
      </c>
      <c r="B140" t="s">
        <v>128</v>
      </c>
      <c r="C140" t="s">
        <v>309</v>
      </c>
      <c r="D140" t="s">
        <v>16</v>
      </c>
      <c r="E140" t="s">
        <v>17</v>
      </c>
      <c r="F140" s="3">
        <v>100</v>
      </c>
      <c r="G140">
        <v>42</v>
      </c>
      <c r="H140">
        <v>10.88</v>
      </c>
      <c r="I140">
        <v>22</v>
      </c>
      <c r="J140" t="s">
        <v>19</v>
      </c>
      <c r="K140" t="s">
        <v>20</v>
      </c>
      <c r="L140" t="s">
        <v>45</v>
      </c>
      <c r="M140" s="3">
        <v>54</v>
      </c>
      <c r="N140" s="2">
        <v>11200</v>
      </c>
      <c r="O140" t="str">
        <f t="shared" si="4"/>
        <v>&lt;=100</v>
      </c>
      <c r="P140" t="str">
        <f t="shared" si="5"/>
        <v>&lt;= 20000$</v>
      </c>
    </row>
    <row r="141" spans="1:16" x14ac:dyDescent="0.25">
      <c r="A141">
        <v>163</v>
      </c>
      <c r="B141" t="s">
        <v>128</v>
      </c>
      <c r="C141" t="s">
        <v>309</v>
      </c>
      <c r="D141" t="s">
        <v>16</v>
      </c>
      <c r="E141" t="s">
        <v>17</v>
      </c>
      <c r="F141" s="3">
        <v>100</v>
      </c>
      <c r="G141">
        <v>42</v>
      </c>
      <c r="H141">
        <v>10.88</v>
      </c>
      <c r="I141">
        <v>22</v>
      </c>
      <c r="J141" t="s">
        <v>28</v>
      </c>
      <c r="K141" t="s">
        <v>20</v>
      </c>
      <c r="L141" t="s">
        <v>21</v>
      </c>
      <c r="M141" s="3">
        <v>54</v>
      </c>
      <c r="N141" s="2">
        <v>10600</v>
      </c>
      <c r="O141" t="str">
        <f t="shared" si="4"/>
        <v>&lt;=100</v>
      </c>
      <c r="P141" t="str">
        <f t="shared" si="5"/>
        <v>&lt;= 20000$</v>
      </c>
    </row>
    <row r="142" spans="1:16" x14ac:dyDescent="0.25">
      <c r="A142">
        <v>164</v>
      </c>
      <c r="B142" t="s">
        <v>128</v>
      </c>
      <c r="C142" t="s">
        <v>310</v>
      </c>
      <c r="D142" t="s">
        <v>16</v>
      </c>
      <c r="E142" t="s">
        <v>17</v>
      </c>
      <c r="F142" s="3">
        <v>100</v>
      </c>
      <c r="G142">
        <v>41</v>
      </c>
      <c r="H142">
        <v>10.88</v>
      </c>
      <c r="I142">
        <v>22</v>
      </c>
      <c r="J142" t="s">
        <v>19</v>
      </c>
      <c r="K142" t="s">
        <v>20</v>
      </c>
      <c r="L142" t="s">
        <v>21</v>
      </c>
      <c r="M142" s="3">
        <v>46</v>
      </c>
      <c r="N142" s="2">
        <v>9700</v>
      </c>
      <c r="O142" t="str">
        <f t="shared" si="4"/>
        <v>&lt;=100</v>
      </c>
      <c r="P142" t="str">
        <f t="shared" si="5"/>
        <v>&lt;= 10000$</v>
      </c>
    </row>
    <row r="143" spans="1:16" x14ac:dyDescent="0.25">
      <c r="A143">
        <v>165</v>
      </c>
      <c r="B143" t="s">
        <v>128</v>
      </c>
      <c r="C143" t="s">
        <v>309</v>
      </c>
      <c r="D143" t="s">
        <v>16</v>
      </c>
      <c r="E143" t="s">
        <v>17</v>
      </c>
      <c r="F143" s="3">
        <v>100</v>
      </c>
      <c r="G143">
        <v>42</v>
      </c>
      <c r="H143">
        <v>10.88</v>
      </c>
      <c r="I143">
        <v>25</v>
      </c>
      <c r="J143" t="s">
        <v>19</v>
      </c>
      <c r="K143" t="s">
        <v>20</v>
      </c>
      <c r="L143" t="s">
        <v>21</v>
      </c>
      <c r="M143" s="3">
        <v>46</v>
      </c>
      <c r="N143" s="2">
        <v>9500</v>
      </c>
      <c r="O143" t="str">
        <f t="shared" si="4"/>
        <v>&lt;=100</v>
      </c>
      <c r="P143" t="str">
        <f t="shared" si="5"/>
        <v>&lt;= 10000$</v>
      </c>
    </row>
    <row r="144" spans="1:16" x14ac:dyDescent="0.25">
      <c r="A144">
        <v>166</v>
      </c>
      <c r="B144" t="s">
        <v>128</v>
      </c>
      <c r="C144" t="s">
        <v>309</v>
      </c>
      <c r="D144" t="s">
        <v>16</v>
      </c>
      <c r="E144" t="s">
        <v>17</v>
      </c>
      <c r="F144" s="3">
        <v>100</v>
      </c>
      <c r="G144">
        <v>42</v>
      </c>
      <c r="H144">
        <v>10.88</v>
      </c>
      <c r="I144">
        <v>22</v>
      </c>
      <c r="J144" t="s">
        <v>44</v>
      </c>
      <c r="K144" t="s">
        <v>20</v>
      </c>
      <c r="L144" t="s">
        <v>45</v>
      </c>
      <c r="M144" s="3">
        <v>46</v>
      </c>
      <c r="N144" s="2">
        <v>9200</v>
      </c>
      <c r="O144" t="str">
        <f t="shared" si="4"/>
        <v>&lt;=100</v>
      </c>
      <c r="P144" t="str">
        <f t="shared" si="5"/>
        <v>&lt;= 10000$</v>
      </c>
    </row>
    <row r="145" spans="1:16" x14ac:dyDescent="0.25">
      <c r="A145">
        <v>167</v>
      </c>
      <c r="B145" t="s">
        <v>128</v>
      </c>
      <c r="C145" t="s">
        <v>309</v>
      </c>
      <c r="D145" t="s">
        <v>16</v>
      </c>
      <c r="E145" t="s">
        <v>17</v>
      </c>
      <c r="F145" s="3">
        <v>100</v>
      </c>
      <c r="G145">
        <v>42</v>
      </c>
      <c r="H145">
        <v>10.88</v>
      </c>
      <c r="I145">
        <v>22</v>
      </c>
      <c r="J145" t="s">
        <v>28</v>
      </c>
      <c r="K145" t="s">
        <v>20</v>
      </c>
      <c r="L145" t="s">
        <v>21</v>
      </c>
      <c r="M145" s="3">
        <v>54</v>
      </c>
      <c r="N145" s="2">
        <v>9000</v>
      </c>
      <c r="O145" t="str">
        <f t="shared" si="4"/>
        <v>&lt;=100</v>
      </c>
      <c r="P145" t="str">
        <f t="shared" si="5"/>
        <v>&lt;= 10000$</v>
      </c>
    </row>
    <row r="146" spans="1:16" x14ac:dyDescent="0.25">
      <c r="A146">
        <v>168</v>
      </c>
      <c r="B146" t="s">
        <v>128</v>
      </c>
      <c r="C146" t="s">
        <v>309</v>
      </c>
      <c r="D146" t="s">
        <v>16</v>
      </c>
      <c r="E146" t="s">
        <v>17</v>
      </c>
      <c r="F146" s="3">
        <v>100</v>
      </c>
      <c r="G146">
        <v>42</v>
      </c>
      <c r="H146">
        <v>10.88</v>
      </c>
      <c r="I146">
        <v>22</v>
      </c>
      <c r="J146" t="s">
        <v>19</v>
      </c>
      <c r="K146" t="s">
        <v>20</v>
      </c>
      <c r="L146" t="s">
        <v>21</v>
      </c>
      <c r="M146" s="3">
        <v>54</v>
      </c>
      <c r="N146" s="2">
        <v>9000</v>
      </c>
      <c r="O146" t="str">
        <f t="shared" si="4"/>
        <v>&lt;=100</v>
      </c>
      <c r="P146" t="str">
        <f t="shared" si="5"/>
        <v>&lt;= 10000$</v>
      </c>
    </row>
    <row r="147" spans="1:16" x14ac:dyDescent="0.25">
      <c r="A147">
        <v>169</v>
      </c>
      <c r="B147" t="s">
        <v>128</v>
      </c>
      <c r="C147" t="s">
        <v>309</v>
      </c>
      <c r="D147" t="s">
        <v>16</v>
      </c>
      <c r="E147" t="s">
        <v>17</v>
      </c>
      <c r="F147" s="3">
        <v>100</v>
      </c>
      <c r="G147">
        <v>42</v>
      </c>
      <c r="H147">
        <v>10.88</v>
      </c>
      <c r="I147">
        <v>22</v>
      </c>
      <c r="J147" t="s">
        <v>28</v>
      </c>
      <c r="K147" t="s">
        <v>20</v>
      </c>
      <c r="L147" t="s">
        <v>21</v>
      </c>
      <c r="M147" s="3">
        <v>54</v>
      </c>
      <c r="N147" s="2">
        <v>9000</v>
      </c>
      <c r="O147" t="str">
        <f t="shared" si="4"/>
        <v>&lt;=100</v>
      </c>
      <c r="P147" t="str">
        <f t="shared" si="5"/>
        <v>&lt;= 10000$</v>
      </c>
    </row>
    <row r="148" spans="1:16" x14ac:dyDescent="0.25">
      <c r="A148">
        <v>170</v>
      </c>
      <c r="B148" t="s">
        <v>128</v>
      </c>
      <c r="C148" t="s">
        <v>311</v>
      </c>
      <c r="D148" t="s">
        <v>16</v>
      </c>
      <c r="E148" t="s">
        <v>17</v>
      </c>
      <c r="F148" s="3">
        <v>100</v>
      </c>
      <c r="G148">
        <v>38</v>
      </c>
      <c r="H148">
        <v>10.88</v>
      </c>
      <c r="I148">
        <v>25</v>
      </c>
      <c r="J148" t="s">
        <v>19</v>
      </c>
      <c r="K148" t="s">
        <v>20</v>
      </c>
      <c r="L148" t="s">
        <v>21</v>
      </c>
      <c r="M148" s="3">
        <v>46</v>
      </c>
      <c r="N148" s="2">
        <v>8700</v>
      </c>
      <c r="O148" t="str">
        <f t="shared" si="4"/>
        <v>&lt;=100</v>
      </c>
      <c r="P148" t="str">
        <f t="shared" si="5"/>
        <v>&lt;= 10000$</v>
      </c>
    </row>
    <row r="149" spans="1:16" x14ac:dyDescent="0.25">
      <c r="A149">
        <v>171</v>
      </c>
      <c r="B149" t="s">
        <v>128</v>
      </c>
      <c r="C149" t="s">
        <v>311</v>
      </c>
      <c r="D149" t="s">
        <v>16</v>
      </c>
      <c r="E149" t="s">
        <v>17</v>
      </c>
      <c r="F149" s="3">
        <v>100</v>
      </c>
      <c r="G149">
        <v>38</v>
      </c>
      <c r="H149">
        <v>10.88</v>
      </c>
      <c r="I149">
        <v>22</v>
      </c>
      <c r="J149" t="s">
        <v>19</v>
      </c>
      <c r="K149" t="s">
        <v>20</v>
      </c>
      <c r="L149" t="s">
        <v>45</v>
      </c>
      <c r="M149" s="3">
        <v>46</v>
      </c>
      <c r="N149" s="2">
        <v>8500</v>
      </c>
      <c r="O149" t="str">
        <f t="shared" si="4"/>
        <v>&lt;=100</v>
      </c>
      <c r="P149" t="str">
        <f t="shared" si="5"/>
        <v>&lt;= 10000$</v>
      </c>
    </row>
    <row r="150" spans="1:16" x14ac:dyDescent="0.25">
      <c r="A150">
        <v>172</v>
      </c>
      <c r="B150" t="s">
        <v>128</v>
      </c>
      <c r="C150" t="s">
        <v>309</v>
      </c>
      <c r="D150" t="s">
        <v>16</v>
      </c>
      <c r="E150" t="s">
        <v>17</v>
      </c>
      <c r="F150" s="3">
        <v>100</v>
      </c>
      <c r="G150">
        <v>42</v>
      </c>
      <c r="H150">
        <v>10.88</v>
      </c>
      <c r="I150">
        <v>25</v>
      </c>
      <c r="J150" t="s">
        <v>19</v>
      </c>
      <c r="K150" t="s">
        <v>20</v>
      </c>
      <c r="L150" t="s">
        <v>21</v>
      </c>
      <c r="M150" s="3">
        <v>46</v>
      </c>
      <c r="N150" s="2">
        <v>8000</v>
      </c>
      <c r="O150" t="str">
        <f t="shared" si="4"/>
        <v>&lt;=100</v>
      </c>
      <c r="P150" t="str">
        <f t="shared" si="5"/>
        <v>&lt;= 10000$</v>
      </c>
    </row>
    <row r="151" spans="1:16" x14ac:dyDescent="0.25">
      <c r="A151">
        <v>173</v>
      </c>
      <c r="B151" t="s">
        <v>128</v>
      </c>
      <c r="C151" t="s">
        <v>309</v>
      </c>
      <c r="D151" t="s">
        <v>16</v>
      </c>
      <c r="E151" t="s">
        <v>17</v>
      </c>
      <c r="F151" s="3">
        <v>100</v>
      </c>
      <c r="G151">
        <v>42</v>
      </c>
      <c r="H151">
        <v>10.88</v>
      </c>
      <c r="I151">
        <v>20</v>
      </c>
      <c r="J151" t="s">
        <v>28</v>
      </c>
      <c r="K151" t="s">
        <v>20</v>
      </c>
      <c r="L151" t="s">
        <v>45</v>
      </c>
      <c r="M151" s="3">
        <v>54</v>
      </c>
      <c r="N151" s="2">
        <v>7800</v>
      </c>
      <c r="O151" t="str">
        <f t="shared" si="4"/>
        <v>&lt;=100</v>
      </c>
      <c r="P151" t="str">
        <f t="shared" si="5"/>
        <v>&lt;= 10000$</v>
      </c>
    </row>
    <row r="152" spans="1:16" x14ac:dyDescent="0.25">
      <c r="A152">
        <v>174</v>
      </c>
      <c r="B152" t="s">
        <v>128</v>
      </c>
      <c r="C152" t="s">
        <v>309</v>
      </c>
      <c r="D152" t="s">
        <v>16</v>
      </c>
      <c r="E152" t="s">
        <v>17</v>
      </c>
      <c r="F152" s="3">
        <v>100</v>
      </c>
      <c r="G152">
        <v>42</v>
      </c>
      <c r="H152">
        <v>10.88</v>
      </c>
      <c r="I152">
        <v>25</v>
      </c>
      <c r="J152" t="s">
        <v>28</v>
      </c>
      <c r="K152" t="s">
        <v>20</v>
      </c>
      <c r="L152" t="s">
        <v>45</v>
      </c>
      <c r="M152" s="3">
        <v>54</v>
      </c>
      <c r="N152" s="2">
        <v>7500</v>
      </c>
      <c r="O152" t="str">
        <f t="shared" si="4"/>
        <v>&lt;=100</v>
      </c>
      <c r="P152" t="str">
        <f t="shared" si="5"/>
        <v>&lt;= 10000$</v>
      </c>
    </row>
    <row r="153" spans="1:16" x14ac:dyDescent="0.25">
      <c r="A153">
        <v>175</v>
      </c>
      <c r="B153" t="s">
        <v>128</v>
      </c>
      <c r="C153" t="s">
        <v>311</v>
      </c>
      <c r="D153" t="s">
        <v>16</v>
      </c>
      <c r="E153" t="s">
        <v>17</v>
      </c>
      <c r="F153" s="3">
        <v>100</v>
      </c>
      <c r="G153">
        <v>38</v>
      </c>
      <c r="H153">
        <v>10.88</v>
      </c>
      <c r="I153">
        <v>25</v>
      </c>
      <c r="J153" t="s">
        <v>28</v>
      </c>
      <c r="K153" t="s">
        <v>20</v>
      </c>
      <c r="L153" t="s">
        <v>45</v>
      </c>
      <c r="M153" s="3">
        <v>54</v>
      </c>
      <c r="N153" s="2">
        <v>6700</v>
      </c>
      <c r="O153" t="str">
        <f t="shared" si="4"/>
        <v>&lt;=100</v>
      </c>
      <c r="P153" t="str">
        <f t="shared" si="5"/>
        <v>&lt;= 10000$</v>
      </c>
    </row>
    <row r="154" spans="1:16" x14ac:dyDescent="0.25">
      <c r="A154">
        <v>176</v>
      </c>
      <c r="B154" t="s">
        <v>128</v>
      </c>
      <c r="C154" t="s">
        <v>309</v>
      </c>
      <c r="D154" t="s">
        <v>16</v>
      </c>
      <c r="E154" t="s">
        <v>17</v>
      </c>
      <c r="F154" s="3">
        <v>100</v>
      </c>
      <c r="G154">
        <v>42</v>
      </c>
      <c r="H154">
        <v>10.88</v>
      </c>
      <c r="I154">
        <v>22</v>
      </c>
      <c r="J154" t="s">
        <v>28</v>
      </c>
      <c r="K154" t="s">
        <v>20</v>
      </c>
      <c r="L154" t="s">
        <v>21</v>
      </c>
      <c r="M154" s="3">
        <v>54</v>
      </c>
      <c r="N154" s="2">
        <v>6500</v>
      </c>
      <c r="O154" t="str">
        <f t="shared" si="4"/>
        <v>&lt;=100</v>
      </c>
      <c r="P154" t="str">
        <f t="shared" si="5"/>
        <v>&lt;= 10000$</v>
      </c>
    </row>
    <row r="155" spans="1:16" x14ac:dyDescent="0.25">
      <c r="A155">
        <v>177</v>
      </c>
      <c r="B155" t="s">
        <v>131</v>
      </c>
      <c r="C155" t="s">
        <v>312</v>
      </c>
      <c r="D155" t="s">
        <v>32</v>
      </c>
      <c r="E155" t="s">
        <v>17</v>
      </c>
      <c r="F155" s="3">
        <v>50</v>
      </c>
      <c r="G155">
        <v>42</v>
      </c>
      <c r="H155">
        <v>12.2</v>
      </c>
      <c r="I155">
        <v>21</v>
      </c>
      <c r="J155" t="s">
        <v>44</v>
      </c>
      <c r="K155" t="s">
        <v>20</v>
      </c>
      <c r="L155" t="s">
        <v>45</v>
      </c>
      <c r="M155" s="3">
        <v>40</v>
      </c>
      <c r="N155" s="2">
        <v>9200</v>
      </c>
      <c r="O155" t="str">
        <f t="shared" si="4"/>
        <v>&lt;=100</v>
      </c>
      <c r="P155" t="str">
        <f t="shared" si="5"/>
        <v>&lt;= 10000$</v>
      </c>
    </row>
    <row r="156" spans="1:16" x14ac:dyDescent="0.25">
      <c r="A156">
        <v>178</v>
      </c>
      <c r="B156" t="s">
        <v>59</v>
      </c>
      <c r="C156" t="s">
        <v>313</v>
      </c>
      <c r="D156" t="s">
        <v>32</v>
      </c>
      <c r="E156" t="s">
        <v>17</v>
      </c>
      <c r="F156" s="3">
        <v>50</v>
      </c>
      <c r="G156">
        <v>40</v>
      </c>
      <c r="H156">
        <v>11.15</v>
      </c>
      <c r="I156">
        <v>20</v>
      </c>
      <c r="J156" t="s">
        <v>44</v>
      </c>
      <c r="K156" t="s">
        <v>20</v>
      </c>
      <c r="L156" t="s">
        <v>21</v>
      </c>
      <c r="M156" s="3">
        <v>80</v>
      </c>
      <c r="N156" s="2">
        <v>1150</v>
      </c>
      <c r="O156" t="str">
        <f t="shared" si="4"/>
        <v>&lt;=100</v>
      </c>
      <c r="P156" t="str">
        <f t="shared" si="5"/>
        <v xml:space="preserve"> &lt;=2000$</v>
      </c>
    </row>
    <row r="157" spans="1:16" x14ac:dyDescent="0.25">
      <c r="A157">
        <v>179</v>
      </c>
      <c r="B157" t="s">
        <v>59</v>
      </c>
      <c r="C157" t="s">
        <v>314</v>
      </c>
      <c r="D157" t="s">
        <v>205</v>
      </c>
      <c r="E157" t="s">
        <v>17</v>
      </c>
      <c r="F157" s="3">
        <v>100</v>
      </c>
      <c r="G157">
        <v>38</v>
      </c>
      <c r="H157">
        <v>9.6999999999999993</v>
      </c>
      <c r="I157">
        <v>20</v>
      </c>
      <c r="J157" t="s">
        <v>19</v>
      </c>
      <c r="K157" t="s">
        <v>20</v>
      </c>
      <c r="L157" t="s">
        <v>45</v>
      </c>
      <c r="M157" s="3">
        <v>80</v>
      </c>
      <c r="N157" s="2">
        <v>595</v>
      </c>
      <c r="O157" t="str">
        <f t="shared" si="4"/>
        <v>&lt;=100</v>
      </c>
      <c r="P157" t="str">
        <f t="shared" si="5"/>
        <v>&lt;= 1000$</v>
      </c>
    </row>
    <row r="158" spans="1:16" x14ac:dyDescent="0.25">
      <c r="A158">
        <v>180</v>
      </c>
      <c r="B158" t="s">
        <v>59</v>
      </c>
      <c r="C158" t="s">
        <v>315</v>
      </c>
      <c r="D158" t="s">
        <v>32</v>
      </c>
      <c r="E158" t="s">
        <v>17</v>
      </c>
      <c r="F158" s="3">
        <v>100</v>
      </c>
      <c r="G158">
        <v>38</v>
      </c>
      <c r="H158">
        <v>9.85</v>
      </c>
      <c r="I158">
        <v>20</v>
      </c>
      <c r="J158" t="s">
        <v>19</v>
      </c>
      <c r="K158" t="s">
        <v>20</v>
      </c>
      <c r="L158" t="s">
        <v>45</v>
      </c>
      <c r="M158" s="3">
        <v>80</v>
      </c>
      <c r="N158" s="2">
        <v>545</v>
      </c>
      <c r="O158" t="str">
        <f t="shared" si="4"/>
        <v>&lt;=100</v>
      </c>
      <c r="P158" t="str">
        <f t="shared" si="5"/>
        <v>&lt;= 1000$</v>
      </c>
    </row>
    <row r="159" spans="1:16" x14ac:dyDescent="0.25">
      <c r="A159">
        <v>181</v>
      </c>
      <c r="B159" t="s">
        <v>59</v>
      </c>
      <c r="C159" t="s">
        <v>314</v>
      </c>
      <c r="D159" t="s">
        <v>32</v>
      </c>
      <c r="E159" t="s">
        <v>17</v>
      </c>
      <c r="F159" s="3">
        <v>100</v>
      </c>
      <c r="G159">
        <v>38</v>
      </c>
      <c r="H159">
        <v>9.8000000000000007</v>
      </c>
      <c r="I159">
        <v>20</v>
      </c>
      <c r="J159" t="s">
        <v>19</v>
      </c>
      <c r="K159" t="s">
        <v>20</v>
      </c>
      <c r="L159" t="s">
        <v>45</v>
      </c>
      <c r="M159" s="3">
        <v>80</v>
      </c>
      <c r="N159" s="2">
        <v>495</v>
      </c>
      <c r="O159" t="str">
        <f t="shared" si="4"/>
        <v>&lt;=100</v>
      </c>
      <c r="P159" t="str">
        <f t="shared" si="5"/>
        <v>&lt;= 1000$</v>
      </c>
    </row>
    <row r="160" spans="1:16" x14ac:dyDescent="0.25">
      <c r="A160">
        <v>182</v>
      </c>
      <c r="B160" t="s">
        <v>133</v>
      </c>
      <c r="C160" t="s">
        <v>316</v>
      </c>
      <c r="D160" t="s">
        <v>26</v>
      </c>
      <c r="E160" t="s">
        <v>17</v>
      </c>
      <c r="F160" s="3">
        <v>50</v>
      </c>
      <c r="G160">
        <v>42</v>
      </c>
      <c r="H160">
        <v>10.5</v>
      </c>
      <c r="I160">
        <v>22</v>
      </c>
      <c r="J160" t="s">
        <v>28</v>
      </c>
      <c r="K160" t="s">
        <v>20</v>
      </c>
      <c r="L160" t="s">
        <v>45</v>
      </c>
      <c r="M160" s="3">
        <v>42</v>
      </c>
      <c r="N160" s="2">
        <v>20200</v>
      </c>
      <c r="O160" t="str">
        <f t="shared" si="4"/>
        <v>&lt;=100</v>
      </c>
      <c r="P160" t="str">
        <f t="shared" si="5"/>
        <v>&lt;= 40000$</v>
      </c>
    </row>
    <row r="161" spans="1:16" x14ac:dyDescent="0.25">
      <c r="A161">
        <v>183</v>
      </c>
      <c r="B161" t="s">
        <v>133</v>
      </c>
      <c r="C161" t="s">
        <v>317</v>
      </c>
      <c r="D161" t="s">
        <v>26</v>
      </c>
      <c r="E161" t="s">
        <v>17</v>
      </c>
      <c r="F161" s="3">
        <v>100</v>
      </c>
      <c r="G161">
        <v>44</v>
      </c>
      <c r="H161">
        <v>14.5</v>
      </c>
      <c r="I161">
        <v>22</v>
      </c>
      <c r="J161" t="s">
        <v>19</v>
      </c>
      <c r="K161" t="s">
        <v>20</v>
      </c>
      <c r="L161" t="s">
        <v>35</v>
      </c>
      <c r="M161" s="3">
        <v>72</v>
      </c>
      <c r="N161" s="2">
        <v>19500</v>
      </c>
      <c r="O161" t="str">
        <f t="shared" si="4"/>
        <v>&lt;=100</v>
      </c>
      <c r="P161" t="str">
        <f t="shared" si="5"/>
        <v>&lt;= 20000$</v>
      </c>
    </row>
    <row r="162" spans="1:16" x14ac:dyDescent="0.25">
      <c r="A162">
        <v>184</v>
      </c>
      <c r="B162" t="s">
        <v>133</v>
      </c>
      <c r="C162" t="s">
        <v>318</v>
      </c>
      <c r="D162" t="s">
        <v>26</v>
      </c>
      <c r="E162" t="s">
        <v>17</v>
      </c>
      <c r="F162" s="3">
        <v>100</v>
      </c>
      <c r="G162">
        <v>44</v>
      </c>
      <c r="H162">
        <v>14.5</v>
      </c>
      <c r="I162">
        <v>24</v>
      </c>
      <c r="J162" t="s">
        <v>19</v>
      </c>
      <c r="K162" t="s">
        <v>20</v>
      </c>
      <c r="L162" t="s">
        <v>35</v>
      </c>
      <c r="M162" s="3">
        <v>72</v>
      </c>
      <c r="N162" s="2">
        <v>18500</v>
      </c>
      <c r="O162" t="str">
        <f t="shared" si="4"/>
        <v>&lt;=100</v>
      </c>
      <c r="P162" t="str">
        <f t="shared" si="5"/>
        <v>&lt;= 20000$</v>
      </c>
    </row>
    <row r="163" spans="1:16" x14ac:dyDescent="0.25">
      <c r="A163">
        <v>185</v>
      </c>
      <c r="B163" t="s">
        <v>133</v>
      </c>
      <c r="C163" t="s">
        <v>319</v>
      </c>
      <c r="D163" t="s">
        <v>26</v>
      </c>
      <c r="E163" t="s">
        <v>17</v>
      </c>
      <c r="F163" s="3">
        <v>100</v>
      </c>
      <c r="G163">
        <v>44</v>
      </c>
      <c r="H163">
        <v>14.5</v>
      </c>
      <c r="I163">
        <v>26</v>
      </c>
      <c r="J163" t="s">
        <v>19</v>
      </c>
      <c r="K163" t="s">
        <v>20</v>
      </c>
      <c r="L163" t="s">
        <v>35</v>
      </c>
      <c r="M163" s="3">
        <v>72</v>
      </c>
      <c r="N163" s="2">
        <v>17900</v>
      </c>
      <c r="O163" t="str">
        <f t="shared" si="4"/>
        <v>&lt;=100</v>
      </c>
      <c r="P163" t="str">
        <f t="shared" si="5"/>
        <v>&lt;= 20000$</v>
      </c>
    </row>
    <row r="164" spans="1:16" x14ac:dyDescent="0.25">
      <c r="A164">
        <v>186</v>
      </c>
      <c r="B164" t="s">
        <v>133</v>
      </c>
      <c r="C164" t="s">
        <v>318</v>
      </c>
      <c r="D164" t="s">
        <v>26</v>
      </c>
      <c r="E164" t="s">
        <v>17</v>
      </c>
      <c r="F164" s="3">
        <v>100</v>
      </c>
      <c r="G164">
        <v>44</v>
      </c>
      <c r="H164">
        <v>14.5</v>
      </c>
      <c r="I164">
        <v>25</v>
      </c>
      <c r="J164" t="s">
        <v>19</v>
      </c>
      <c r="K164" t="s">
        <v>20</v>
      </c>
      <c r="L164" t="s">
        <v>35</v>
      </c>
      <c r="M164" s="3">
        <v>72</v>
      </c>
      <c r="N164" s="2">
        <v>16800</v>
      </c>
      <c r="O164" t="str">
        <f t="shared" si="4"/>
        <v>&lt;=100</v>
      </c>
      <c r="P164" t="str">
        <f t="shared" si="5"/>
        <v>&lt;= 20000$</v>
      </c>
    </row>
    <row r="165" spans="1:16" x14ac:dyDescent="0.25">
      <c r="A165">
        <v>187</v>
      </c>
      <c r="B165" t="s">
        <v>133</v>
      </c>
      <c r="C165" t="s">
        <v>318</v>
      </c>
      <c r="D165" t="s">
        <v>26</v>
      </c>
      <c r="E165" t="s">
        <v>17</v>
      </c>
      <c r="F165" s="3">
        <v>100</v>
      </c>
      <c r="G165">
        <v>44</v>
      </c>
      <c r="H165">
        <v>14.5</v>
      </c>
      <c r="I165">
        <v>24</v>
      </c>
      <c r="J165" t="s">
        <v>28</v>
      </c>
      <c r="K165" t="s">
        <v>20</v>
      </c>
      <c r="L165" t="s">
        <v>35</v>
      </c>
      <c r="M165" s="3">
        <v>72</v>
      </c>
      <c r="N165" s="2">
        <v>16000</v>
      </c>
      <c r="O165" t="str">
        <f t="shared" si="4"/>
        <v>&lt;=100</v>
      </c>
      <c r="P165" t="str">
        <f t="shared" si="5"/>
        <v>&lt;= 20000$</v>
      </c>
    </row>
    <row r="166" spans="1:16" x14ac:dyDescent="0.25">
      <c r="A166">
        <v>188</v>
      </c>
      <c r="B166" t="s">
        <v>133</v>
      </c>
      <c r="C166" t="s">
        <v>320</v>
      </c>
      <c r="D166" t="s">
        <v>26</v>
      </c>
      <c r="E166" t="s">
        <v>17</v>
      </c>
      <c r="F166" s="3">
        <v>100</v>
      </c>
      <c r="G166">
        <v>41</v>
      </c>
      <c r="H166">
        <v>14.5</v>
      </c>
      <c r="I166">
        <v>20</v>
      </c>
      <c r="J166" t="s">
        <v>19</v>
      </c>
      <c r="K166" t="s">
        <v>20</v>
      </c>
      <c r="L166" t="s">
        <v>35</v>
      </c>
      <c r="M166" s="3">
        <v>72</v>
      </c>
      <c r="N166" s="2">
        <v>16000</v>
      </c>
      <c r="O166" t="str">
        <f t="shared" si="4"/>
        <v>&lt;=100</v>
      </c>
      <c r="P166" t="str">
        <f t="shared" si="5"/>
        <v>&lt;= 20000$</v>
      </c>
    </row>
    <row r="167" spans="1:16" x14ac:dyDescent="0.25">
      <c r="A167">
        <v>189</v>
      </c>
      <c r="B167" t="s">
        <v>133</v>
      </c>
      <c r="C167" t="s">
        <v>321</v>
      </c>
      <c r="D167" t="s">
        <v>26</v>
      </c>
      <c r="E167" t="s">
        <v>17</v>
      </c>
      <c r="F167" s="3">
        <v>100</v>
      </c>
      <c r="G167">
        <v>42</v>
      </c>
      <c r="H167">
        <v>14.1</v>
      </c>
      <c r="I167">
        <v>24</v>
      </c>
      <c r="J167" t="s">
        <v>19</v>
      </c>
      <c r="K167" t="s">
        <v>20</v>
      </c>
      <c r="L167" t="s">
        <v>35</v>
      </c>
      <c r="M167" s="3">
        <v>72</v>
      </c>
      <c r="N167" s="2">
        <v>16000</v>
      </c>
      <c r="O167" t="str">
        <f t="shared" si="4"/>
        <v>&lt;=100</v>
      </c>
      <c r="P167" t="str">
        <f t="shared" si="5"/>
        <v>&lt;= 20000$</v>
      </c>
    </row>
    <row r="168" spans="1:16" x14ac:dyDescent="0.25">
      <c r="A168">
        <v>190</v>
      </c>
      <c r="B168" t="s">
        <v>133</v>
      </c>
      <c r="C168" t="s">
        <v>318</v>
      </c>
      <c r="D168" t="s">
        <v>26</v>
      </c>
      <c r="E168" t="s">
        <v>17</v>
      </c>
      <c r="F168" s="3">
        <v>100</v>
      </c>
      <c r="G168">
        <v>44</v>
      </c>
      <c r="H168">
        <v>14.5</v>
      </c>
      <c r="I168">
        <v>24</v>
      </c>
      <c r="J168" t="s">
        <v>19</v>
      </c>
      <c r="K168" t="s">
        <v>20</v>
      </c>
      <c r="L168" t="s">
        <v>141</v>
      </c>
      <c r="M168" s="3">
        <v>72</v>
      </c>
      <c r="N168" s="2">
        <v>16000</v>
      </c>
      <c r="O168" t="str">
        <f t="shared" si="4"/>
        <v>&lt;=100</v>
      </c>
      <c r="P168" t="str">
        <f t="shared" si="5"/>
        <v>&lt;= 20000$</v>
      </c>
    </row>
    <row r="169" spans="1:16" x14ac:dyDescent="0.25">
      <c r="A169">
        <v>191</v>
      </c>
      <c r="B169" t="s">
        <v>133</v>
      </c>
      <c r="C169" t="s">
        <v>319</v>
      </c>
      <c r="D169" t="s">
        <v>26</v>
      </c>
      <c r="E169" t="s">
        <v>17</v>
      </c>
      <c r="F169" s="3">
        <v>100</v>
      </c>
      <c r="G169">
        <v>44</v>
      </c>
      <c r="H169">
        <v>14.5</v>
      </c>
      <c r="I169">
        <v>24</v>
      </c>
      <c r="J169" t="s">
        <v>19</v>
      </c>
      <c r="K169" t="s">
        <v>20</v>
      </c>
      <c r="L169" t="s">
        <v>35</v>
      </c>
      <c r="M169" s="3">
        <v>72</v>
      </c>
      <c r="N169" s="2">
        <v>15500</v>
      </c>
      <c r="O169" t="str">
        <f t="shared" si="4"/>
        <v>&lt;=100</v>
      </c>
      <c r="P169" t="str">
        <f t="shared" si="5"/>
        <v>&lt;= 20000$</v>
      </c>
    </row>
    <row r="170" spans="1:16" x14ac:dyDescent="0.25">
      <c r="A170">
        <v>192</v>
      </c>
      <c r="B170" t="s">
        <v>133</v>
      </c>
      <c r="C170" t="s">
        <v>322</v>
      </c>
      <c r="D170" t="s">
        <v>26</v>
      </c>
      <c r="E170" t="s">
        <v>17</v>
      </c>
      <c r="F170" s="3">
        <v>100</v>
      </c>
      <c r="G170">
        <v>44.5</v>
      </c>
      <c r="H170">
        <v>14.5</v>
      </c>
      <c r="I170">
        <v>22</v>
      </c>
      <c r="J170" t="s">
        <v>19</v>
      </c>
      <c r="K170" t="s">
        <v>20</v>
      </c>
      <c r="L170" t="s">
        <v>35</v>
      </c>
      <c r="M170" s="3">
        <v>72</v>
      </c>
      <c r="N170" s="2">
        <v>15000</v>
      </c>
      <c r="O170" t="str">
        <f t="shared" si="4"/>
        <v>&lt;=100</v>
      </c>
      <c r="P170" t="str">
        <f t="shared" si="5"/>
        <v>&lt;= 20000$</v>
      </c>
    </row>
    <row r="171" spans="1:16" x14ac:dyDescent="0.25">
      <c r="A171">
        <v>193</v>
      </c>
      <c r="B171" t="s">
        <v>133</v>
      </c>
      <c r="C171" t="s">
        <v>317</v>
      </c>
      <c r="D171" t="s">
        <v>26</v>
      </c>
      <c r="E171" t="s">
        <v>17</v>
      </c>
      <c r="F171" s="3">
        <v>100</v>
      </c>
      <c r="G171">
        <v>44</v>
      </c>
      <c r="H171">
        <v>14.5</v>
      </c>
      <c r="I171">
        <v>25</v>
      </c>
      <c r="J171" t="s">
        <v>19</v>
      </c>
      <c r="K171" t="s">
        <v>20</v>
      </c>
      <c r="L171" t="s">
        <v>35</v>
      </c>
      <c r="M171" s="3">
        <v>72</v>
      </c>
      <c r="N171" s="2">
        <v>15000</v>
      </c>
      <c r="O171" t="str">
        <f t="shared" si="4"/>
        <v>&lt;=100</v>
      </c>
      <c r="P171" t="str">
        <f t="shared" si="5"/>
        <v>&lt;= 20000$</v>
      </c>
    </row>
    <row r="172" spans="1:16" x14ac:dyDescent="0.25">
      <c r="A172">
        <v>194</v>
      </c>
      <c r="B172" t="s">
        <v>133</v>
      </c>
      <c r="C172" t="s">
        <v>318</v>
      </c>
      <c r="D172" t="s">
        <v>26</v>
      </c>
      <c r="E172" t="s">
        <v>17</v>
      </c>
      <c r="F172" s="3">
        <v>100</v>
      </c>
      <c r="G172">
        <v>44</v>
      </c>
      <c r="H172">
        <v>14.5</v>
      </c>
      <c r="I172">
        <v>22</v>
      </c>
      <c r="J172" t="s">
        <v>19</v>
      </c>
      <c r="K172" t="s">
        <v>20</v>
      </c>
      <c r="L172" t="s">
        <v>35</v>
      </c>
      <c r="M172" s="3">
        <v>72</v>
      </c>
      <c r="N172" s="2">
        <v>15000</v>
      </c>
      <c r="O172" t="str">
        <f t="shared" si="4"/>
        <v>&lt;=100</v>
      </c>
      <c r="P172" t="str">
        <f t="shared" si="5"/>
        <v>&lt;= 20000$</v>
      </c>
    </row>
    <row r="173" spans="1:16" x14ac:dyDescent="0.25">
      <c r="A173">
        <v>195</v>
      </c>
      <c r="B173" t="s">
        <v>133</v>
      </c>
      <c r="C173" t="s">
        <v>318</v>
      </c>
      <c r="D173" t="s">
        <v>26</v>
      </c>
      <c r="E173" t="s">
        <v>17</v>
      </c>
      <c r="F173" s="3">
        <v>100</v>
      </c>
      <c r="G173">
        <v>44</v>
      </c>
      <c r="H173">
        <v>14.5</v>
      </c>
      <c r="I173">
        <v>25</v>
      </c>
      <c r="J173" t="s">
        <v>19</v>
      </c>
      <c r="K173" t="s">
        <v>20</v>
      </c>
      <c r="L173" t="s">
        <v>35</v>
      </c>
      <c r="M173" s="3">
        <v>72</v>
      </c>
      <c r="N173" s="2">
        <v>14000</v>
      </c>
      <c r="O173" t="str">
        <f t="shared" si="4"/>
        <v>&lt;=100</v>
      </c>
      <c r="P173" t="str">
        <f t="shared" si="5"/>
        <v>&lt;= 20000$</v>
      </c>
    </row>
    <row r="174" spans="1:16" x14ac:dyDescent="0.25">
      <c r="A174">
        <v>196</v>
      </c>
      <c r="B174" t="s">
        <v>133</v>
      </c>
      <c r="C174" t="s">
        <v>320</v>
      </c>
      <c r="D174" t="s">
        <v>26</v>
      </c>
      <c r="E174" t="s">
        <v>17</v>
      </c>
      <c r="F174" s="3">
        <v>100</v>
      </c>
      <c r="G174">
        <v>41</v>
      </c>
      <c r="H174">
        <v>14.6</v>
      </c>
      <c r="I174">
        <v>20</v>
      </c>
      <c r="J174" t="s">
        <v>19</v>
      </c>
      <c r="K174" t="s">
        <v>20</v>
      </c>
      <c r="L174" t="s">
        <v>35</v>
      </c>
      <c r="M174" s="3">
        <v>42</v>
      </c>
      <c r="N174" s="2">
        <v>14000</v>
      </c>
      <c r="O174" t="str">
        <f t="shared" si="4"/>
        <v>&lt;=100</v>
      </c>
      <c r="P174" t="str">
        <f t="shared" si="5"/>
        <v>&lt;= 20000$</v>
      </c>
    </row>
    <row r="175" spans="1:16" x14ac:dyDescent="0.25">
      <c r="A175">
        <v>197</v>
      </c>
      <c r="B175" t="s">
        <v>133</v>
      </c>
      <c r="C175" t="s">
        <v>318</v>
      </c>
      <c r="D175" t="s">
        <v>26</v>
      </c>
      <c r="E175" t="s">
        <v>17</v>
      </c>
      <c r="F175" s="3">
        <v>100</v>
      </c>
      <c r="G175">
        <v>44</v>
      </c>
      <c r="H175">
        <v>14.5</v>
      </c>
      <c r="I175">
        <v>24</v>
      </c>
      <c r="J175" t="s">
        <v>19</v>
      </c>
      <c r="K175" t="s">
        <v>20</v>
      </c>
      <c r="L175" t="s">
        <v>148</v>
      </c>
      <c r="M175" s="3">
        <v>72</v>
      </c>
      <c r="N175" s="2">
        <v>13000</v>
      </c>
      <c r="O175" t="str">
        <f t="shared" si="4"/>
        <v>&lt;=100</v>
      </c>
      <c r="P175" t="str">
        <f t="shared" si="5"/>
        <v>&lt;= 20000$</v>
      </c>
    </row>
    <row r="176" spans="1:16" x14ac:dyDescent="0.25">
      <c r="A176">
        <v>198</v>
      </c>
      <c r="B176" t="s">
        <v>133</v>
      </c>
      <c r="C176" t="s">
        <v>321</v>
      </c>
      <c r="D176" t="s">
        <v>26</v>
      </c>
      <c r="E176" t="s">
        <v>17</v>
      </c>
      <c r="F176" s="3">
        <v>100</v>
      </c>
      <c r="G176">
        <v>42</v>
      </c>
      <c r="H176">
        <v>14.1</v>
      </c>
      <c r="I176">
        <v>24</v>
      </c>
      <c r="J176" t="s">
        <v>19</v>
      </c>
      <c r="K176" t="s">
        <v>20</v>
      </c>
      <c r="L176" t="s">
        <v>148</v>
      </c>
      <c r="M176" s="3">
        <v>42</v>
      </c>
      <c r="N176" s="2">
        <v>12000</v>
      </c>
      <c r="O176" t="str">
        <f t="shared" si="4"/>
        <v>&lt;=100</v>
      </c>
      <c r="P176" t="str">
        <f t="shared" si="5"/>
        <v>&lt;= 20000$</v>
      </c>
    </row>
    <row r="177" spans="1:16" x14ac:dyDescent="0.25">
      <c r="A177">
        <v>199</v>
      </c>
      <c r="B177" t="s">
        <v>133</v>
      </c>
      <c r="C177" t="s">
        <v>317</v>
      </c>
      <c r="D177" t="s">
        <v>26</v>
      </c>
      <c r="E177" t="s">
        <v>17</v>
      </c>
      <c r="F177" s="3">
        <v>100</v>
      </c>
      <c r="G177">
        <v>44</v>
      </c>
      <c r="H177">
        <v>14.5</v>
      </c>
      <c r="I177">
        <v>26</v>
      </c>
      <c r="J177" t="s">
        <v>19</v>
      </c>
      <c r="K177" t="s">
        <v>20</v>
      </c>
      <c r="L177" t="s">
        <v>35</v>
      </c>
      <c r="M177" s="3">
        <v>72</v>
      </c>
      <c r="N177" s="2">
        <v>12000</v>
      </c>
      <c r="O177" t="str">
        <f t="shared" si="4"/>
        <v>&lt;=100</v>
      </c>
      <c r="P177" t="str">
        <f t="shared" si="5"/>
        <v>&lt;= 20000$</v>
      </c>
    </row>
    <row r="178" spans="1:16" x14ac:dyDescent="0.25">
      <c r="A178">
        <v>200</v>
      </c>
      <c r="B178" t="s">
        <v>133</v>
      </c>
      <c r="C178" t="s">
        <v>323</v>
      </c>
      <c r="D178" t="s">
        <v>26</v>
      </c>
      <c r="E178" t="s">
        <v>17</v>
      </c>
      <c r="F178" s="3">
        <v>50</v>
      </c>
      <c r="G178">
        <v>45</v>
      </c>
      <c r="H178">
        <v>10.95</v>
      </c>
      <c r="I178">
        <v>22</v>
      </c>
      <c r="J178" t="s">
        <v>28</v>
      </c>
      <c r="K178" t="s">
        <v>20</v>
      </c>
      <c r="L178" t="s">
        <v>45</v>
      </c>
      <c r="M178" s="3">
        <v>42</v>
      </c>
      <c r="N178" s="2">
        <v>9500</v>
      </c>
      <c r="O178" t="str">
        <f t="shared" si="4"/>
        <v>&lt;=100</v>
      </c>
      <c r="P178" t="str">
        <f t="shared" si="5"/>
        <v>&lt;= 10000$</v>
      </c>
    </row>
    <row r="179" spans="1:16" x14ac:dyDescent="0.25">
      <c r="A179">
        <v>201</v>
      </c>
      <c r="B179" t="s">
        <v>133</v>
      </c>
      <c r="C179" t="s">
        <v>324</v>
      </c>
      <c r="D179" t="s">
        <v>26</v>
      </c>
      <c r="E179" t="s">
        <v>17</v>
      </c>
      <c r="F179" s="3">
        <v>100</v>
      </c>
      <c r="G179">
        <v>42</v>
      </c>
      <c r="H179">
        <v>14.5</v>
      </c>
      <c r="I179">
        <v>24</v>
      </c>
      <c r="J179" t="s">
        <v>19</v>
      </c>
      <c r="K179" t="s">
        <v>20</v>
      </c>
      <c r="L179" t="s">
        <v>141</v>
      </c>
      <c r="M179" s="3">
        <v>72</v>
      </c>
      <c r="N179" s="2">
        <v>8900</v>
      </c>
      <c r="O179" t="str">
        <f t="shared" si="4"/>
        <v>&lt;=100</v>
      </c>
      <c r="P179" t="str">
        <f t="shared" si="5"/>
        <v>&lt;= 10000$</v>
      </c>
    </row>
    <row r="180" spans="1:16" x14ac:dyDescent="0.25">
      <c r="A180">
        <v>202</v>
      </c>
      <c r="B180" t="s">
        <v>133</v>
      </c>
      <c r="C180" t="s">
        <v>325</v>
      </c>
      <c r="D180" t="s">
        <v>26</v>
      </c>
      <c r="E180" t="s">
        <v>17</v>
      </c>
      <c r="F180" s="3">
        <v>50</v>
      </c>
      <c r="G180">
        <v>42</v>
      </c>
      <c r="H180">
        <v>10.5</v>
      </c>
      <c r="I180">
        <v>22</v>
      </c>
      <c r="J180" t="s">
        <v>28</v>
      </c>
      <c r="K180" t="s">
        <v>20</v>
      </c>
      <c r="L180" t="s">
        <v>21</v>
      </c>
      <c r="M180" s="3">
        <v>42</v>
      </c>
      <c r="N180" s="2">
        <v>8500</v>
      </c>
      <c r="O180" t="str">
        <f t="shared" si="4"/>
        <v>&lt;=100</v>
      </c>
      <c r="P180" t="str">
        <f t="shared" si="5"/>
        <v>&lt;= 10000$</v>
      </c>
    </row>
    <row r="181" spans="1:16" x14ac:dyDescent="0.25">
      <c r="A181">
        <v>203</v>
      </c>
      <c r="B181" t="s">
        <v>133</v>
      </c>
      <c r="C181" t="s">
        <v>325</v>
      </c>
      <c r="D181" t="s">
        <v>26</v>
      </c>
      <c r="E181" t="s">
        <v>17</v>
      </c>
      <c r="F181" s="3">
        <v>50</v>
      </c>
      <c r="G181">
        <v>42</v>
      </c>
      <c r="H181">
        <v>10.5</v>
      </c>
      <c r="I181">
        <v>22</v>
      </c>
      <c r="J181" t="s">
        <v>19</v>
      </c>
      <c r="K181" t="s">
        <v>20</v>
      </c>
      <c r="L181" t="s">
        <v>45</v>
      </c>
      <c r="M181" s="3">
        <v>42</v>
      </c>
      <c r="N181" s="2">
        <v>8200</v>
      </c>
      <c r="O181" t="str">
        <f t="shared" si="4"/>
        <v>&lt;=100</v>
      </c>
      <c r="P181" t="str">
        <f t="shared" si="5"/>
        <v>&lt;= 10000$</v>
      </c>
    </row>
    <row r="182" spans="1:16" x14ac:dyDescent="0.25">
      <c r="A182">
        <v>204</v>
      </c>
      <c r="B182" t="s">
        <v>133</v>
      </c>
      <c r="C182" t="s">
        <v>325</v>
      </c>
      <c r="D182" t="s">
        <v>26</v>
      </c>
      <c r="E182" t="s">
        <v>17</v>
      </c>
      <c r="F182" s="3">
        <v>50</v>
      </c>
      <c r="G182">
        <v>42</v>
      </c>
      <c r="H182">
        <v>10.6</v>
      </c>
      <c r="I182">
        <v>22</v>
      </c>
      <c r="J182" t="s">
        <v>19</v>
      </c>
      <c r="K182" t="s">
        <v>20</v>
      </c>
      <c r="L182" t="s">
        <v>21</v>
      </c>
      <c r="M182" s="3">
        <v>42</v>
      </c>
      <c r="N182" s="2">
        <v>8100</v>
      </c>
      <c r="O182" t="str">
        <f t="shared" si="4"/>
        <v>&lt;=100</v>
      </c>
      <c r="P182" t="str">
        <f t="shared" si="5"/>
        <v>&lt;= 10000$</v>
      </c>
    </row>
    <row r="183" spans="1:16" x14ac:dyDescent="0.25">
      <c r="A183">
        <v>205</v>
      </c>
      <c r="B183" t="s">
        <v>133</v>
      </c>
      <c r="C183" t="s">
        <v>323</v>
      </c>
      <c r="D183" t="s">
        <v>26</v>
      </c>
      <c r="E183" t="s">
        <v>17</v>
      </c>
      <c r="F183" s="3">
        <v>50</v>
      </c>
      <c r="G183">
        <v>45</v>
      </c>
      <c r="H183">
        <v>10.95</v>
      </c>
      <c r="I183">
        <v>24</v>
      </c>
      <c r="J183" t="s">
        <v>28</v>
      </c>
      <c r="K183" t="s">
        <v>20</v>
      </c>
      <c r="L183" t="s">
        <v>21</v>
      </c>
      <c r="M183" s="3">
        <v>42</v>
      </c>
      <c r="N183" s="2">
        <v>7500</v>
      </c>
      <c r="O183" t="str">
        <f t="shared" si="4"/>
        <v>&lt;=100</v>
      </c>
      <c r="P183" t="str">
        <f t="shared" si="5"/>
        <v>&lt;= 10000$</v>
      </c>
    </row>
    <row r="184" spans="1:16" x14ac:dyDescent="0.25">
      <c r="A184">
        <v>206</v>
      </c>
      <c r="B184" t="s">
        <v>133</v>
      </c>
      <c r="C184" t="s">
        <v>325</v>
      </c>
      <c r="D184" t="s">
        <v>26</v>
      </c>
      <c r="E184" t="s">
        <v>17</v>
      </c>
      <c r="F184" s="3">
        <v>50</v>
      </c>
      <c r="G184">
        <v>42</v>
      </c>
      <c r="H184">
        <v>9.85</v>
      </c>
      <c r="I184">
        <v>22</v>
      </c>
      <c r="J184" t="s">
        <v>28</v>
      </c>
      <c r="K184" t="s">
        <v>20</v>
      </c>
      <c r="L184" t="s">
        <v>45</v>
      </c>
      <c r="M184" s="3">
        <v>42</v>
      </c>
      <c r="N184" s="2">
        <v>7500</v>
      </c>
      <c r="O184" t="str">
        <f t="shared" si="4"/>
        <v>&lt;=100</v>
      </c>
      <c r="P184" t="str">
        <f t="shared" si="5"/>
        <v>&lt;= 10000$</v>
      </c>
    </row>
    <row r="185" spans="1:16" x14ac:dyDescent="0.25">
      <c r="A185">
        <v>207</v>
      </c>
      <c r="B185" t="s">
        <v>133</v>
      </c>
      <c r="C185" t="s">
        <v>325</v>
      </c>
      <c r="D185" t="s">
        <v>26</v>
      </c>
      <c r="E185" t="s">
        <v>17</v>
      </c>
      <c r="F185" s="3">
        <v>50</v>
      </c>
      <c r="G185">
        <v>42</v>
      </c>
      <c r="H185">
        <v>9.3000000000000007</v>
      </c>
      <c r="I185">
        <v>20</v>
      </c>
      <c r="J185" t="s">
        <v>19</v>
      </c>
      <c r="K185" t="s">
        <v>20</v>
      </c>
      <c r="L185" t="s">
        <v>45</v>
      </c>
      <c r="M185" s="3">
        <v>42</v>
      </c>
      <c r="N185" s="2">
        <v>6500</v>
      </c>
      <c r="O185" t="str">
        <f t="shared" si="4"/>
        <v>&lt;=100</v>
      </c>
      <c r="P185" t="str">
        <f t="shared" si="5"/>
        <v>&lt;= 10000$</v>
      </c>
    </row>
    <row r="186" spans="1:16" x14ac:dyDescent="0.25">
      <c r="A186">
        <v>208</v>
      </c>
      <c r="B186" t="s">
        <v>93</v>
      </c>
      <c r="C186" t="s">
        <v>326</v>
      </c>
      <c r="D186" t="s">
        <v>32</v>
      </c>
      <c r="E186" t="s">
        <v>17</v>
      </c>
      <c r="F186" s="3">
        <v>30</v>
      </c>
      <c r="G186">
        <v>41</v>
      </c>
      <c r="H186">
        <v>12.3</v>
      </c>
      <c r="I186">
        <v>22</v>
      </c>
      <c r="J186" t="s">
        <v>28</v>
      </c>
      <c r="K186" t="s">
        <v>20</v>
      </c>
      <c r="L186" t="s">
        <v>180</v>
      </c>
      <c r="M186" s="3">
        <v>46</v>
      </c>
      <c r="N186" s="2">
        <v>9800</v>
      </c>
      <c r="O186" t="str">
        <f t="shared" si="4"/>
        <v>&lt;=100</v>
      </c>
      <c r="P186" t="str">
        <f t="shared" si="5"/>
        <v>&lt;= 10000$</v>
      </c>
    </row>
    <row r="187" spans="1:16" x14ac:dyDescent="0.25">
      <c r="A187">
        <v>209</v>
      </c>
      <c r="B187" t="s">
        <v>93</v>
      </c>
      <c r="C187" t="s">
        <v>326</v>
      </c>
      <c r="D187" t="s">
        <v>32</v>
      </c>
      <c r="E187" t="s">
        <v>17</v>
      </c>
      <c r="F187" s="3">
        <v>30</v>
      </c>
      <c r="G187">
        <v>41</v>
      </c>
      <c r="H187">
        <v>12.3</v>
      </c>
      <c r="I187">
        <v>22</v>
      </c>
      <c r="J187" t="s">
        <v>34</v>
      </c>
      <c r="K187" t="s">
        <v>20</v>
      </c>
      <c r="L187" t="s">
        <v>21</v>
      </c>
      <c r="M187" s="3">
        <v>168</v>
      </c>
      <c r="N187" s="2">
        <v>9500</v>
      </c>
      <c r="O187" t="str">
        <f t="shared" si="4"/>
        <v>&lt;=100</v>
      </c>
      <c r="P187" t="str">
        <f t="shared" si="5"/>
        <v>&lt;= 10000$</v>
      </c>
    </row>
    <row r="188" spans="1:16" x14ac:dyDescent="0.25">
      <c r="A188">
        <v>210</v>
      </c>
      <c r="B188" t="s">
        <v>93</v>
      </c>
      <c r="C188" t="s">
        <v>327</v>
      </c>
      <c r="D188" t="s">
        <v>32</v>
      </c>
      <c r="E188" t="s">
        <v>17</v>
      </c>
      <c r="F188" s="3">
        <v>30</v>
      </c>
      <c r="G188">
        <v>42.3</v>
      </c>
      <c r="H188">
        <v>14.2</v>
      </c>
      <c r="I188">
        <v>22</v>
      </c>
      <c r="J188" t="s">
        <v>28</v>
      </c>
      <c r="K188" t="s">
        <v>20</v>
      </c>
      <c r="L188" t="s">
        <v>45</v>
      </c>
      <c r="M188" s="3">
        <v>60</v>
      </c>
      <c r="N188" s="2">
        <v>9100</v>
      </c>
      <c r="O188" t="str">
        <f t="shared" si="4"/>
        <v>&lt;=100</v>
      </c>
      <c r="P188" t="str">
        <f t="shared" si="5"/>
        <v>&lt;= 10000$</v>
      </c>
    </row>
    <row r="189" spans="1:16" x14ac:dyDescent="0.25">
      <c r="A189">
        <v>211</v>
      </c>
      <c r="B189" t="s">
        <v>93</v>
      </c>
      <c r="C189" t="s">
        <v>326</v>
      </c>
      <c r="D189" t="s">
        <v>32</v>
      </c>
      <c r="E189" t="s">
        <v>17</v>
      </c>
      <c r="F189" s="3">
        <v>30</v>
      </c>
      <c r="G189">
        <v>41</v>
      </c>
      <c r="H189">
        <v>12.3</v>
      </c>
      <c r="I189">
        <v>22</v>
      </c>
      <c r="J189" t="s">
        <v>28</v>
      </c>
      <c r="K189" t="s">
        <v>20</v>
      </c>
      <c r="L189" t="s">
        <v>21</v>
      </c>
      <c r="M189" s="3">
        <v>60</v>
      </c>
      <c r="N189" s="2">
        <v>8900</v>
      </c>
      <c r="O189" t="str">
        <f t="shared" si="4"/>
        <v>&lt;=100</v>
      </c>
      <c r="P189" t="str">
        <f t="shared" si="5"/>
        <v>&lt;= 10000$</v>
      </c>
    </row>
    <row r="190" spans="1:16" x14ac:dyDescent="0.25">
      <c r="A190">
        <v>212</v>
      </c>
      <c r="B190" t="s">
        <v>93</v>
      </c>
      <c r="C190" t="s">
        <v>326</v>
      </c>
      <c r="D190" t="s">
        <v>32</v>
      </c>
      <c r="E190" t="s">
        <v>17</v>
      </c>
      <c r="F190" s="3">
        <v>30</v>
      </c>
      <c r="G190">
        <v>41</v>
      </c>
      <c r="H190">
        <v>12.3</v>
      </c>
      <c r="I190">
        <v>22</v>
      </c>
      <c r="J190" t="s">
        <v>44</v>
      </c>
      <c r="K190" t="s">
        <v>20</v>
      </c>
      <c r="L190" t="s">
        <v>21</v>
      </c>
      <c r="M190" s="3">
        <v>60</v>
      </c>
      <c r="N190" s="2">
        <v>8900</v>
      </c>
      <c r="O190" t="str">
        <f t="shared" si="4"/>
        <v>&lt;=100</v>
      </c>
      <c r="P190" t="str">
        <f t="shared" si="5"/>
        <v>&lt;= 10000$</v>
      </c>
    </row>
    <row r="191" spans="1:16" x14ac:dyDescent="0.25">
      <c r="A191">
        <v>213</v>
      </c>
      <c r="B191" t="s">
        <v>93</v>
      </c>
      <c r="C191" t="s">
        <v>328</v>
      </c>
      <c r="D191" t="s">
        <v>108</v>
      </c>
      <c r="E191" t="s">
        <v>17</v>
      </c>
      <c r="F191" s="3">
        <v>30</v>
      </c>
      <c r="G191">
        <v>40.4</v>
      </c>
      <c r="H191">
        <v>12.3</v>
      </c>
      <c r="I191">
        <v>20</v>
      </c>
      <c r="J191" t="s">
        <v>44</v>
      </c>
      <c r="K191" t="s">
        <v>20</v>
      </c>
      <c r="L191" t="s">
        <v>21</v>
      </c>
      <c r="M191" s="3">
        <v>60</v>
      </c>
      <c r="N191" s="2">
        <v>8800</v>
      </c>
      <c r="O191" t="str">
        <f t="shared" si="4"/>
        <v>&lt;=100</v>
      </c>
      <c r="P191" t="str">
        <f t="shared" si="5"/>
        <v>&lt;= 10000$</v>
      </c>
    </row>
    <row r="192" spans="1:16" x14ac:dyDescent="0.25">
      <c r="A192">
        <v>214</v>
      </c>
      <c r="B192" t="s">
        <v>93</v>
      </c>
      <c r="C192" t="s">
        <v>329</v>
      </c>
      <c r="D192" t="s">
        <v>32</v>
      </c>
      <c r="E192" t="s">
        <v>17</v>
      </c>
      <c r="F192" s="3">
        <v>30</v>
      </c>
      <c r="G192">
        <v>42.3</v>
      </c>
      <c r="H192">
        <v>14.2</v>
      </c>
      <c r="I192">
        <v>22</v>
      </c>
      <c r="J192" t="s">
        <v>34</v>
      </c>
      <c r="K192" t="s">
        <v>20</v>
      </c>
      <c r="L192" t="s">
        <v>21</v>
      </c>
      <c r="M192" s="3">
        <v>60</v>
      </c>
      <c r="N192" s="2">
        <v>8800</v>
      </c>
      <c r="O192" t="str">
        <f t="shared" si="4"/>
        <v>&lt;=100</v>
      </c>
      <c r="P192" t="str">
        <f t="shared" si="5"/>
        <v>&lt;= 10000$</v>
      </c>
    </row>
    <row r="193" spans="1:16" x14ac:dyDescent="0.25">
      <c r="A193">
        <v>215</v>
      </c>
      <c r="B193" t="s">
        <v>93</v>
      </c>
      <c r="C193" t="s">
        <v>326</v>
      </c>
      <c r="D193" t="s">
        <v>32</v>
      </c>
      <c r="E193" t="s">
        <v>17</v>
      </c>
      <c r="F193" s="3">
        <v>30</v>
      </c>
      <c r="G193">
        <v>41</v>
      </c>
      <c r="H193">
        <v>12.3</v>
      </c>
      <c r="I193">
        <v>22</v>
      </c>
      <c r="J193" t="s">
        <v>28</v>
      </c>
      <c r="K193" t="s">
        <v>20</v>
      </c>
      <c r="L193" t="s">
        <v>45</v>
      </c>
      <c r="M193" s="3">
        <v>60</v>
      </c>
      <c r="N193" s="2">
        <v>8500</v>
      </c>
      <c r="O193" t="str">
        <f t="shared" si="4"/>
        <v>&lt;=100</v>
      </c>
      <c r="P193" t="str">
        <f t="shared" si="5"/>
        <v>&lt;= 10000$</v>
      </c>
    </row>
    <row r="194" spans="1:16" x14ac:dyDescent="0.25">
      <c r="A194">
        <v>216</v>
      </c>
      <c r="B194" t="s">
        <v>93</v>
      </c>
      <c r="C194" t="s">
        <v>326</v>
      </c>
      <c r="D194" t="s">
        <v>32</v>
      </c>
      <c r="E194" t="s">
        <v>17</v>
      </c>
      <c r="F194" s="3">
        <v>30</v>
      </c>
      <c r="G194">
        <v>41</v>
      </c>
      <c r="H194">
        <v>13.1</v>
      </c>
      <c r="I194">
        <v>22</v>
      </c>
      <c r="J194" t="s">
        <v>44</v>
      </c>
      <c r="K194" t="s">
        <v>20</v>
      </c>
      <c r="L194" t="s">
        <v>21</v>
      </c>
      <c r="M194" s="3">
        <v>60</v>
      </c>
      <c r="N194" s="2">
        <v>8500</v>
      </c>
      <c r="O194" t="str">
        <f t="shared" ref="O194:O257" si="6">IF($F194&lt;=100, "&lt;=100", IF($F194&lt;=200, "100-200", IF($F194&lt;=300, "200-300", IF($F194&lt;=500, "300-500", IF($F194&lt;1000, "500-1000", "1000+")))))</f>
        <v>&lt;=100</v>
      </c>
      <c r="P194" t="str">
        <f t="shared" ref="P194:P257" si="7">IF(N194&lt;=1000, "&lt;= 1000$", IF(N194&lt;=2000, " &lt;=2000$", IF(N194&lt;=5000, "&lt;=5000$", IF(N194&lt;=10000, "&lt;= 10000$", IF(N194&lt;=20000, "&lt;= 20000$", IF(N194&lt;40000, "&lt;= 40000$", "40000$ +"))))))</f>
        <v>&lt;= 10000$</v>
      </c>
    </row>
    <row r="195" spans="1:16" x14ac:dyDescent="0.25">
      <c r="A195">
        <v>217</v>
      </c>
      <c r="B195" t="s">
        <v>93</v>
      </c>
      <c r="C195" t="s">
        <v>326</v>
      </c>
      <c r="D195" t="s">
        <v>32</v>
      </c>
      <c r="E195" t="s">
        <v>17</v>
      </c>
      <c r="F195" s="3">
        <v>30</v>
      </c>
      <c r="G195">
        <v>41</v>
      </c>
      <c r="H195">
        <v>12.3</v>
      </c>
      <c r="I195">
        <v>22</v>
      </c>
      <c r="J195" t="s">
        <v>28</v>
      </c>
      <c r="K195" t="s">
        <v>20</v>
      </c>
      <c r="L195" t="s">
        <v>147</v>
      </c>
      <c r="M195" s="3">
        <v>42</v>
      </c>
      <c r="N195" s="2">
        <v>8500</v>
      </c>
      <c r="O195" t="str">
        <f t="shared" si="6"/>
        <v>&lt;=100</v>
      </c>
      <c r="P195" t="str">
        <f t="shared" si="7"/>
        <v>&lt;= 10000$</v>
      </c>
    </row>
    <row r="196" spans="1:16" x14ac:dyDescent="0.25">
      <c r="A196">
        <v>218</v>
      </c>
      <c r="B196" t="s">
        <v>93</v>
      </c>
      <c r="C196" t="s">
        <v>326</v>
      </c>
      <c r="D196" t="s">
        <v>32</v>
      </c>
      <c r="E196" t="s">
        <v>17</v>
      </c>
      <c r="F196" s="3">
        <v>30</v>
      </c>
      <c r="G196">
        <v>41</v>
      </c>
      <c r="H196">
        <v>12.3</v>
      </c>
      <c r="I196">
        <v>22</v>
      </c>
      <c r="J196" t="s">
        <v>44</v>
      </c>
      <c r="K196" t="s">
        <v>20</v>
      </c>
      <c r="L196" t="s">
        <v>45</v>
      </c>
      <c r="M196" s="3">
        <v>60</v>
      </c>
      <c r="N196" s="2">
        <v>8400</v>
      </c>
      <c r="O196" t="str">
        <f t="shared" si="6"/>
        <v>&lt;=100</v>
      </c>
      <c r="P196" t="str">
        <f t="shared" si="7"/>
        <v>&lt;= 10000$</v>
      </c>
    </row>
    <row r="197" spans="1:16" x14ac:dyDescent="0.25">
      <c r="A197">
        <v>219</v>
      </c>
      <c r="B197" t="s">
        <v>93</v>
      </c>
      <c r="C197" t="s">
        <v>326</v>
      </c>
      <c r="D197" t="s">
        <v>32</v>
      </c>
      <c r="E197" t="s">
        <v>17</v>
      </c>
      <c r="F197" s="3">
        <v>30</v>
      </c>
      <c r="G197">
        <v>41</v>
      </c>
      <c r="H197">
        <v>12.3</v>
      </c>
      <c r="I197">
        <v>22</v>
      </c>
      <c r="J197" t="s">
        <v>44</v>
      </c>
      <c r="K197" t="s">
        <v>20</v>
      </c>
      <c r="L197" t="s">
        <v>141</v>
      </c>
      <c r="M197" s="3">
        <v>46</v>
      </c>
      <c r="N197" s="2">
        <v>8300</v>
      </c>
      <c r="O197" t="str">
        <f t="shared" si="6"/>
        <v>&lt;=100</v>
      </c>
      <c r="P197" t="str">
        <f t="shared" si="7"/>
        <v>&lt;= 10000$</v>
      </c>
    </row>
    <row r="198" spans="1:16" x14ac:dyDescent="0.25">
      <c r="A198">
        <v>220</v>
      </c>
      <c r="B198" t="s">
        <v>93</v>
      </c>
      <c r="C198" t="s">
        <v>326</v>
      </c>
      <c r="D198" t="s">
        <v>32</v>
      </c>
      <c r="E198" t="s">
        <v>17</v>
      </c>
      <c r="F198" s="3">
        <v>30</v>
      </c>
      <c r="G198">
        <v>41</v>
      </c>
      <c r="H198">
        <v>12.3</v>
      </c>
      <c r="I198">
        <v>22</v>
      </c>
      <c r="J198" t="s">
        <v>44</v>
      </c>
      <c r="K198" t="s">
        <v>20</v>
      </c>
      <c r="L198" t="s">
        <v>45</v>
      </c>
      <c r="M198" s="3">
        <v>60</v>
      </c>
      <c r="N198" s="2">
        <v>7950</v>
      </c>
      <c r="O198" t="str">
        <f t="shared" si="6"/>
        <v>&lt;=100</v>
      </c>
      <c r="P198" t="str">
        <f t="shared" si="7"/>
        <v>&lt;= 10000$</v>
      </c>
    </row>
    <row r="199" spans="1:16" x14ac:dyDescent="0.25">
      <c r="A199">
        <v>221</v>
      </c>
      <c r="B199" t="s">
        <v>93</v>
      </c>
      <c r="C199" t="s">
        <v>326</v>
      </c>
      <c r="D199" t="s">
        <v>32</v>
      </c>
      <c r="E199" t="s">
        <v>17</v>
      </c>
      <c r="F199" s="3">
        <v>30</v>
      </c>
      <c r="G199">
        <v>41</v>
      </c>
      <c r="H199">
        <v>12.3</v>
      </c>
      <c r="I199">
        <v>22</v>
      </c>
      <c r="J199" t="s">
        <v>44</v>
      </c>
      <c r="K199" t="s">
        <v>20</v>
      </c>
      <c r="L199" t="s">
        <v>45</v>
      </c>
      <c r="M199" s="3">
        <v>60</v>
      </c>
      <c r="N199" s="2">
        <v>7950</v>
      </c>
      <c r="O199" t="str">
        <f t="shared" si="6"/>
        <v>&lt;=100</v>
      </c>
      <c r="P199" t="str">
        <f t="shared" si="7"/>
        <v>&lt;= 10000$</v>
      </c>
    </row>
    <row r="200" spans="1:16" x14ac:dyDescent="0.25">
      <c r="A200">
        <v>222</v>
      </c>
      <c r="B200" t="s">
        <v>93</v>
      </c>
      <c r="C200" t="s">
        <v>326</v>
      </c>
      <c r="D200" t="s">
        <v>32</v>
      </c>
      <c r="E200" t="s">
        <v>17</v>
      </c>
      <c r="F200" s="3">
        <v>30</v>
      </c>
      <c r="G200">
        <v>41</v>
      </c>
      <c r="H200">
        <v>12.3</v>
      </c>
      <c r="I200">
        <v>22</v>
      </c>
      <c r="J200" t="s">
        <v>28</v>
      </c>
      <c r="K200" t="s">
        <v>20</v>
      </c>
      <c r="L200" t="s">
        <v>45</v>
      </c>
      <c r="M200" s="3">
        <v>60</v>
      </c>
      <c r="N200" s="2">
        <v>7900</v>
      </c>
      <c r="O200" t="str">
        <f t="shared" si="6"/>
        <v>&lt;=100</v>
      </c>
      <c r="P200" t="str">
        <f t="shared" si="7"/>
        <v>&lt;= 10000$</v>
      </c>
    </row>
    <row r="201" spans="1:16" x14ac:dyDescent="0.25">
      <c r="A201">
        <v>223</v>
      </c>
      <c r="B201" t="s">
        <v>93</v>
      </c>
      <c r="C201" t="s">
        <v>330</v>
      </c>
      <c r="D201" t="s">
        <v>32</v>
      </c>
      <c r="E201" t="s">
        <v>17</v>
      </c>
      <c r="F201" s="3">
        <v>30</v>
      </c>
      <c r="G201">
        <v>41.5</v>
      </c>
      <c r="H201">
        <v>12.3</v>
      </c>
      <c r="I201">
        <v>22</v>
      </c>
      <c r="J201" t="s">
        <v>44</v>
      </c>
      <c r="K201" t="s">
        <v>20</v>
      </c>
      <c r="L201" t="s">
        <v>45</v>
      </c>
      <c r="M201" s="3">
        <v>60</v>
      </c>
      <c r="N201" s="2">
        <v>7800</v>
      </c>
      <c r="O201" t="str">
        <f t="shared" si="6"/>
        <v>&lt;=100</v>
      </c>
      <c r="P201" t="str">
        <f t="shared" si="7"/>
        <v>&lt;= 10000$</v>
      </c>
    </row>
    <row r="202" spans="1:16" x14ac:dyDescent="0.25">
      <c r="A202">
        <v>224</v>
      </c>
      <c r="B202" t="s">
        <v>93</v>
      </c>
      <c r="C202" t="s">
        <v>327</v>
      </c>
      <c r="D202" t="s">
        <v>32</v>
      </c>
      <c r="E202" t="s">
        <v>17</v>
      </c>
      <c r="F202" s="3">
        <v>30</v>
      </c>
      <c r="G202">
        <v>42.3</v>
      </c>
      <c r="H202">
        <v>14.2</v>
      </c>
      <c r="I202">
        <v>22</v>
      </c>
      <c r="J202" t="s">
        <v>34</v>
      </c>
      <c r="K202" t="s">
        <v>20</v>
      </c>
      <c r="L202" t="s">
        <v>35</v>
      </c>
      <c r="M202" s="3">
        <v>46</v>
      </c>
      <c r="N202" s="2">
        <v>7800</v>
      </c>
      <c r="O202" t="str">
        <f t="shared" si="6"/>
        <v>&lt;=100</v>
      </c>
      <c r="P202" t="str">
        <f t="shared" si="7"/>
        <v>&lt;= 10000$</v>
      </c>
    </row>
    <row r="203" spans="1:16" x14ac:dyDescent="0.25">
      <c r="A203">
        <v>225</v>
      </c>
      <c r="B203" t="s">
        <v>93</v>
      </c>
      <c r="C203" t="s">
        <v>331</v>
      </c>
      <c r="D203" t="s">
        <v>32</v>
      </c>
      <c r="E203" t="s">
        <v>17</v>
      </c>
      <c r="F203" s="3">
        <v>30</v>
      </c>
      <c r="G203">
        <v>41</v>
      </c>
      <c r="H203">
        <v>13.1</v>
      </c>
      <c r="I203">
        <v>20</v>
      </c>
      <c r="J203" t="s">
        <v>34</v>
      </c>
      <c r="K203" t="s">
        <v>20</v>
      </c>
      <c r="L203" t="s">
        <v>35</v>
      </c>
      <c r="M203" s="3">
        <v>46</v>
      </c>
      <c r="N203" s="2">
        <v>7600</v>
      </c>
      <c r="O203" t="str">
        <f t="shared" si="6"/>
        <v>&lt;=100</v>
      </c>
      <c r="P203" t="str">
        <f t="shared" si="7"/>
        <v>&lt;= 10000$</v>
      </c>
    </row>
    <row r="204" spans="1:16" x14ac:dyDescent="0.25">
      <c r="A204">
        <v>226</v>
      </c>
      <c r="B204" t="s">
        <v>93</v>
      </c>
      <c r="C204" t="s">
        <v>328</v>
      </c>
      <c r="D204" t="s">
        <v>32</v>
      </c>
      <c r="E204" t="s">
        <v>17</v>
      </c>
      <c r="F204" s="3">
        <v>30</v>
      </c>
      <c r="G204">
        <v>40.4</v>
      </c>
      <c r="H204">
        <v>12.6</v>
      </c>
      <c r="I204">
        <v>20</v>
      </c>
      <c r="J204" t="s">
        <v>44</v>
      </c>
      <c r="K204" t="s">
        <v>20</v>
      </c>
      <c r="L204" t="s">
        <v>45</v>
      </c>
      <c r="M204" s="3">
        <v>44</v>
      </c>
      <c r="N204" s="2">
        <v>7600</v>
      </c>
      <c r="O204" t="str">
        <f t="shared" si="6"/>
        <v>&lt;=100</v>
      </c>
      <c r="P204" t="str">
        <f t="shared" si="7"/>
        <v>&lt;= 10000$</v>
      </c>
    </row>
    <row r="205" spans="1:16" x14ac:dyDescent="0.25">
      <c r="A205">
        <v>227</v>
      </c>
      <c r="B205" t="s">
        <v>93</v>
      </c>
      <c r="C205" t="s">
        <v>326</v>
      </c>
      <c r="D205" t="s">
        <v>32</v>
      </c>
      <c r="E205" t="s">
        <v>17</v>
      </c>
      <c r="F205" s="3">
        <v>30</v>
      </c>
      <c r="G205">
        <v>41</v>
      </c>
      <c r="H205">
        <v>12.3</v>
      </c>
      <c r="I205">
        <v>22</v>
      </c>
      <c r="J205" t="s">
        <v>44</v>
      </c>
      <c r="K205" t="s">
        <v>20</v>
      </c>
      <c r="L205" t="s">
        <v>45</v>
      </c>
      <c r="M205" s="3">
        <v>46</v>
      </c>
      <c r="N205" s="2">
        <v>7500</v>
      </c>
      <c r="O205" t="str">
        <f t="shared" si="6"/>
        <v>&lt;=100</v>
      </c>
      <c r="P205" t="str">
        <f t="shared" si="7"/>
        <v>&lt;= 10000$</v>
      </c>
    </row>
    <row r="206" spans="1:16" x14ac:dyDescent="0.25">
      <c r="A206">
        <v>228</v>
      </c>
      <c r="B206" t="s">
        <v>93</v>
      </c>
      <c r="C206" t="s">
        <v>332</v>
      </c>
      <c r="D206" t="s">
        <v>32</v>
      </c>
      <c r="E206" t="s">
        <v>17</v>
      </c>
      <c r="F206" s="3">
        <v>60</v>
      </c>
      <c r="G206">
        <v>46.2</v>
      </c>
      <c r="H206">
        <v>15</v>
      </c>
      <c r="I206">
        <v>20</v>
      </c>
      <c r="J206" t="s">
        <v>19</v>
      </c>
      <c r="K206" t="s">
        <v>20</v>
      </c>
      <c r="L206" t="s">
        <v>35</v>
      </c>
      <c r="M206" s="3">
        <v>68</v>
      </c>
      <c r="N206" s="2">
        <v>7500</v>
      </c>
      <c r="O206" t="str">
        <f t="shared" si="6"/>
        <v>&lt;=100</v>
      </c>
      <c r="P206" t="str">
        <f t="shared" si="7"/>
        <v>&lt;= 10000$</v>
      </c>
    </row>
    <row r="207" spans="1:16" x14ac:dyDescent="0.25">
      <c r="A207">
        <v>229</v>
      </c>
      <c r="B207" t="s">
        <v>93</v>
      </c>
      <c r="C207" t="s">
        <v>328</v>
      </c>
      <c r="D207" t="s">
        <v>32</v>
      </c>
      <c r="E207" t="s">
        <v>17</v>
      </c>
      <c r="F207" s="3">
        <v>30</v>
      </c>
      <c r="G207">
        <v>40.4</v>
      </c>
      <c r="H207">
        <v>12.3</v>
      </c>
      <c r="I207">
        <v>22</v>
      </c>
      <c r="J207" t="s">
        <v>34</v>
      </c>
      <c r="K207" t="s">
        <v>20</v>
      </c>
      <c r="L207" t="s">
        <v>21</v>
      </c>
      <c r="M207" s="3">
        <v>60</v>
      </c>
      <c r="N207" s="2">
        <v>7500</v>
      </c>
      <c r="O207" t="str">
        <f t="shared" si="6"/>
        <v>&lt;=100</v>
      </c>
      <c r="P207" t="str">
        <f t="shared" si="7"/>
        <v>&lt;= 10000$</v>
      </c>
    </row>
    <row r="208" spans="1:16" x14ac:dyDescent="0.25">
      <c r="A208">
        <v>230</v>
      </c>
      <c r="B208" t="s">
        <v>93</v>
      </c>
      <c r="C208" t="s">
        <v>328</v>
      </c>
      <c r="D208" t="s">
        <v>32</v>
      </c>
      <c r="E208" t="s">
        <v>17</v>
      </c>
      <c r="F208" s="3">
        <v>30</v>
      </c>
      <c r="G208">
        <v>40.4</v>
      </c>
      <c r="H208">
        <v>12.3</v>
      </c>
      <c r="I208">
        <v>20</v>
      </c>
      <c r="J208" t="s">
        <v>34</v>
      </c>
      <c r="K208" t="s">
        <v>20</v>
      </c>
      <c r="L208" t="s">
        <v>45</v>
      </c>
      <c r="M208" s="3">
        <v>60</v>
      </c>
      <c r="N208" s="2">
        <v>7500</v>
      </c>
      <c r="O208" t="str">
        <f t="shared" si="6"/>
        <v>&lt;=100</v>
      </c>
      <c r="P208" t="str">
        <f t="shared" si="7"/>
        <v>&lt;= 10000$</v>
      </c>
    </row>
    <row r="209" spans="1:16" x14ac:dyDescent="0.25">
      <c r="A209">
        <v>231</v>
      </c>
      <c r="B209" t="s">
        <v>93</v>
      </c>
      <c r="C209" t="s">
        <v>328</v>
      </c>
      <c r="D209" t="s">
        <v>32</v>
      </c>
      <c r="E209" t="s">
        <v>17</v>
      </c>
      <c r="F209" s="3">
        <v>30</v>
      </c>
      <c r="G209">
        <v>40.4</v>
      </c>
      <c r="H209">
        <v>12.3</v>
      </c>
      <c r="I209">
        <v>20</v>
      </c>
      <c r="J209" t="s">
        <v>44</v>
      </c>
      <c r="K209" t="s">
        <v>20</v>
      </c>
      <c r="L209" t="s">
        <v>35</v>
      </c>
      <c r="M209" s="3">
        <v>46</v>
      </c>
      <c r="N209" s="2">
        <v>7250</v>
      </c>
      <c r="O209" t="str">
        <f t="shared" si="6"/>
        <v>&lt;=100</v>
      </c>
      <c r="P209" t="str">
        <f t="shared" si="7"/>
        <v>&lt;= 10000$</v>
      </c>
    </row>
    <row r="210" spans="1:16" x14ac:dyDescent="0.25">
      <c r="A210">
        <v>232</v>
      </c>
      <c r="B210" t="s">
        <v>93</v>
      </c>
      <c r="C210" t="s">
        <v>333</v>
      </c>
      <c r="D210" t="s">
        <v>32</v>
      </c>
      <c r="E210" t="s">
        <v>17</v>
      </c>
      <c r="F210" s="3">
        <v>30</v>
      </c>
      <c r="G210">
        <v>40.9</v>
      </c>
      <c r="H210">
        <v>12.3</v>
      </c>
      <c r="I210">
        <v>20</v>
      </c>
      <c r="J210" t="s">
        <v>44</v>
      </c>
      <c r="K210" t="s">
        <v>20</v>
      </c>
      <c r="L210" t="s">
        <v>21</v>
      </c>
      <c r="M210" s="3">
        <v>44</v>
      </c>
      <c r="N210" s="2">
        <v>6900</v>
      </c>
      <c r="O210" t="str">
        <f t="shared" si="6"/>
        <v>&lt;=100</v>
      </c>
      <c r="P210" t="str">
        <f t="shared" si="7"/>
        <v>&lt;= 10000$</v>
      </c>
    </row>
    <row r="211" spans="1:16" x14ac:dyDescent="0.25">
      <c r="A211">
        <v>233</v>
      </c>
      <c r="B211" t="s">
        <v>93</v>
      </c>
      <c r="C211" t="s">
        <v>326</v>
      </c>
      <c r="D211" t="s">
        <v>32</v>
      </c>
      <c r="E211" t="s">
        <v>17</v>
      </c>
      <c r="F211" s="3">
        <v>30</v>
      </c>
      <c r="G211">
        <v>41</v>
      </c>
      <c r="H211">
        <v>12.3</v>
      </c>
      <c r="I211">
        <v>22</v>
      </c>
      <c r="J211" t="s">
        <v>28</v>
      </c>
      <c r="K211" t="s">
        <v>20</v>
      </c>
      <c r="L211" t="s">
        <v>45</v>
      </c>
      <c r="M211" s="3">
        <v>60</v>
      </c>
      <c r="N211" s="2">
        <v>6900</v>
      </c>
      <c r="O211" t="str">
        <f t="shared" si="6"/>
        <v>&lt;=100</v>
      </c>
      <c r="P211" t="str">
        <f t="shared" si="7"/>
        <v>&lt;= 10000$</v>
      </c>
    </row>
    <row r="212" spans="1:16" x14ac:dyDescent="0.25">
      <c r="A212">
        <v>234</v>
      </c>
      <c r="B212" t="s">
        <v>93</v>
      </c>
      <c r="C212" t="s">
        <v>334</v>
      </c>
      <c r="D212" t="s">
        <v>32</v>
      </c>
      <c r="E212" t="s">
        <v>17</v>
      </c>
      <c r="F212" s="3">
        <v>60</v>
      </c>
      <c r="G212">
        <v>41</v>
      </c>
      <c r="H212">
        <v>12.5</v>
      </c>
      <c r="I212">
        <v>20</v>
      </c>
      <c r="J212" t="s">
        <v>19</v>
      </c>
      <c r="K212" t="s">
        <v>20</v>
      </c>
      <c r="L212" t="s">
        <v>148</v>
      </c>
      <c r="M212" s="3">
        <v>44</v>
      </c>
      <c r="N212" s="2">
        <v>6800</v>
      </c>
      <c r="O212" t="str">
        <f t="shared" si="6"/>
        <v>&lt;=100</v>
      </c>
      <c r="P212" t="str">
        <f t="shared" si="7"/>
        <v>&lt;= 10000$</v>
      </c>
    </row>
    <row r="213" spans="1:16" x14ac:dyDescent="0.25">
      <c r="A213">
        <v>235</v>
      </c>
      <c r="B213" t="s">
        <v>93</v>
      </c>
      <c r="C213" t="s">
        <v>326</v>
      </c>
      <c r="D213" t="s">
        <v>32</v>
      </c>
      <c r="E213" t="s">
        <v>17</v>
      </c>
      <c r="F213" s="3">
        <v>30</v>
      </c>
      <c r="G213">
        <v>41</v>
      </c>
      <c r="H213">
        <v>12.3</v>
      </c>
      <c r="I213">
        <v>22</v>
      </c>
      <c r="J213" t="s">
        <v>28</v>
      </c>
      <c r="K213" t="s">
        <v>20</v>
      </c>
      <c r="L213" t="s">
        <v>21</v>
      </c>
      <c r="M213" s="3">
        <v>60</v>
      </c>
      <c r="N213" s="2">
        <v>6500</v>
      </c>
      <c r="O213" t="str">
        <f t="shared" si="6"/>
        <v>&lt;=100</v>
      </c>
      <c r="P213" t="str">
        <f t="shared" si="7"/>
        <v>&lt;= 10000$</v>
      </c>
    </row>
    <row r="214" spans="1:16" x14ac:dyDescent="0.25">
      <c r="A214">
        <v>236</v>
      </c>
      <c r="B214" t="s">
        <v>93</v>
      </c>
      <c r="C214" t="s">
        <v>335</v>
      </c>
      <c r="D214" t="s">
        <v>32</v>
      </c>
      <c r="E214" t="s">
        <v>17</v>
      </c>
      <c r="F214" s="3">
        <v>60</v>
      </c>
      <c r="G214">
        <v>41</v>
      </c>
      <c r="H214">
        <v>15.3</v>
      </c>
      <c r="I214">
        <v>20</v>
      </c>
      <c r="J214" t="s">
        <v>19</v>
      </c>
      <c r="K214" t="s">
        <v>20</v>
      </c>
      <c r="L214" t="s">
        <v>21</v>
      </c>
      <c r="M214" s="3">
        <v>42</v>
      </c>
      <c r="N214" s="2">
        <v>5900</v>
      </c>
      <c r="O214" t="str">
        <f t="shared" si="6"/>
        <v>&lt;=100</v>
      </c>
      <c r="P214" t="str">
        <f t="shared" si="7"/>
        <v>&lt;= 10000$</v>
      </c>
    </row>
    <row r="215" spans="1:16" x14ac:dyDescent="0.25">
      <c r="A215">
        <v>237</v>
      </c>
      <c r="B215" t="s">
        <v>93</v>
      </c>
      <c r="C215" t="s">
        <v>335</v>
      </c>
      <c r="D215" t="s">
        <v>32</v>
      </c>
      <c r="E215" t="s">
        <v>17</v>
      </c>
      <c r="F215" s="3">
        <v>60</v>
      </c>
      <c r="G215">
        <v>41</v>
      </c>
      <c r="H215">
        <v>12.5</v>
      </c>
      <c r="I215">
        <v>20</v>
      </c>
      <c r="J215" t="s">
        <v>19</v>
      </c>
      <c r="K215" t="s">
        <v>20</v>
      </c>
      <c r="L215" t="s">
        <v>148</v>
      </c>
      <c r="M215" s="3">
        <v>44</v>
      </c>
      <c r="N215" s="2">
        <v>5500</v>
      </c>
      <c r="O215" t="str">
        <f t="shared" si="6"/>
        <v>&lt;=100</v>
      </c>
      <c r="P215" t="str">
        <f t="shared" si="7"/>
        <v>&lt;= 10000$</v>
      </c>
    </row>
    <row r="216" spans="1:16" x14ac:dyDescent="0.25">
      <c r="A216">
        <v>238</v>
      </c>
      <c r="B216" t="s">
        <v>93</v>
      </c>
      <c r="C216" t="s">
        <v>335</v>
      </c>
      <c r="D216" t="s">
        <v>32</v>
      </c>
      <c r="E216" t="s">
        <v>17</v>
      </c>
      <c r="F216" s="3">
        <v>60</v>
      </c>
      <c r="G216">
        <v>41</v>
      </c>
      <c r="H216">
        <v>10.8</v>
      </c>
      <c r="I216">
        <v>20</v>
      </c>
      <c r="J216" t="s">
        <v>19</v>
      </c>
      <c r="K216" t="s">
        <v>20</v>
      </c>
      <c r="L216" t="s">
        <v>222</v>
      </c>
      <c r="M216" s="3">
        <v>42</v>
      </c>
      <c r="N216" s="2">
        <v>5500</v>
      </c>
      <c r="O216" t="str">
        <f t="shared" si="6"/>
        <v>&lt;=100</v>
      </c>
      <c r="P216" t="str">
        <f t="shared" si="7"/>
        <v>&lt;= 10000$</v>
      </c>
    </row>
    <row r="217" spans="1:16" x14ac:dyDescent="0.25">
      <c r="A217">
        <v>239</v>
      </c>
      <c r="B217" t="s">
        <v>93</v>
      </c>
      <c r="C217" t="s">
        <v>335</v>
      </c>
      <c r="D217" t="s">
        <v>32</v>
      </c>
      <c r="E217" t="s">
        <v>17</v>
      </c>
      <c r="F217" s="3">
        <v>60</v>
      </c>
      <c r="G217">
        <v>41</v>
      </c>
      <c r="H217">
        <v>15.3</v>
      </c>
      <c r="I217">
        <v>22</v>
      </c>
      <c r="J217" t="s">
        <v>19</v>
      </c>
      <c r="K217" t="s">
        <v>20</v>
      </c>
      <c r="L217" t="s">
        <v>21</v>
      </c>
      <c r="M217" s="3">
        <v>72</v>
      </c>
      <c r="N217" s="2">
        <v>5400</v>
      </c>
      <c r="O217" t="str">
        <f t="shared" si="6"/>
        <v>&lt;=100</v>
      </c>
      <c r="P217" t="str">
        <f t="shared" si="7"/>
        <v>&lt;= 10000$</v>
      </c>
    </row>
    <row r="218" spans="1:16" x14ac:dyDescent="0.25">
      <c r="A218">
        <v>240</v>
      </c>
      <c r="B218" t="s">
        <v>93</v>
      </c>
      <c r="C218" t="s">
        <v>336</v>
      </c>
      <c r="D218" t="s">
        <v>32</v>
      </c>
      <c r="E218" t="s">
        <v>17</v>
      </c>
      <c r="F218" s="3">
        <v>60</v>
      </c>
      <c r="G218">
        <v>43</v>
      </c>
      <c r="H218">
        <v>15</v>
      </c>
      <c r="I218">
        <v>22</v>
      </c>
      <c r="J218" t="s">
        <v>19</v>
      </c>
      <c r="K218" t="s">
        <v>20</v>
      </c>
      <c r="L218" t="s">
        <v>21</v>
      </c>
      <c r="M218" s="3">
        <v>72</v>
      </c>
      <c r="N218" s="2">
        <v>4950</v>
      </c>
      <c r="O218" t="str">
        <f t="shared" si="6"/>
        <v>&lt;=100</v>
      </c>
      <c r="P218" t="str">
        <f t="shared" si="7"/>
        <v>&lt;=5000$</v>
      </c>
    </row>
    <row r="219" spans="1:16" x14ac:dyDescent="0.25">
      <c r="A219">
        <v>241</v>
      </c>
      <c r="B219" t="s">
        <v>93</v>
      </c>
      <c r="C219" t="s">
        <v>335</v>
      </c>
      <c r="D219" t="s">
        <v>32</v>
      </c>
      <c r="E219" t="s">
        <v>17</v>
      </c>
      <c r="F219" s="3">
        <v>60</v>
      </c>
      <c r="G219">
        <v>41</v>
      </c>
      <c r="H219">
        <v>12.5</v>
      </c>
      <c r="I219">
        <v>20</v>
      </c>
      <c r="J219" t="s">
        <v>19</v>
      </c>
      <c r="K219" t="s">
        <v>20</v>
      </c>
      <c r="L219" t="s">
        <v>21</v>
      </c>
      <c r="M219" s="3">
        <v>42</v>
      </c>
      <c r="N219" s="2">
        <v>4800</v>
      </c>
      <c r="O219" t="str">
        <f t="shared" si="6"/>
        <v>&lt;=100</v>
      </c>
      <c r="P219" t="str">
        <f t="shared" si="7"/>
        <v>&lt;=5000$</v>
      </c>
    </row>
    <row r="220" spans="1:16" x14ac:dyDescent="0.25">
      <c r="A220">
        <v>242</v>
      </c>
      <c r="B220" t="s">
        <v>93</v>
      </c>
      <c r="C220" t="s">
        <v>335</v>
      </c>
      <c r="D220" t="s">
        <v>32</v>
      </c>
      <c r="E220" t="s">
        <v>17</v>
      </c>
      <c r="F220" s="3">
        <v>60</v>
      </c>
      <c r="G220">
        <v>41</v>
      </c>
      <c r="H220">
        <v>12.8</v>
      </c>
      <c r="I220">
        <v>22</v>
      </c>
      <c r="J220" t="s">
        <v>19</v>
      </c>
      <c r="K220" t="s">
        <v>20</v>
      </c>
      <c r="L220" t="s">
        <v>21</v>
      </c>
      <c r="M220" s="3">
        <v>42</v>
      </c>
      <c r="N220" s="2">
        <v>4800</v>
      </c>
      <c r="O220" t="str">
        <f t="shared" si="6"/>
        <v>&lt;=100</v>
      </c>
      <c r="P220" t="str">
        <f t="shared" si="7"/>
        <v>&lt;=5000$</v>
      </c>
    </row>
    <row r="221" spans="1:16" x14ac:dyDescent="0.25">
      <c r="A221">
        <v>243</v>
      </c>
      <c r="B221" t="s">
        <v>93</v>
      </c>
      <c r="C221" t="s">
        <v>337</v>
      </c>
      <c r="D221" t="s">
        <v>32</v>
      </c>
      <c r="E221" t="s">
        <v>17</v>
      </c>
      <c r="F221" s="3">
        <v>60</v>
      </c>
      <c r="G221">
        <v>39</v>
      </c>
      <c r="H221">
        <v>10.86</v>
      </c>
      <c r="I221">
        <v>20</v>
      </c>
      <c r="J221" t="s">
        <v>19</v>
      </c>
      <c r="K221" t="s">
        <v>20</v>
      </c>
      <c r="L221" t="s">
        <v>21</v>
      </c>
      <c r="M221" s="3">
        <v>42</v>
      </c>
      <c r="N221" s="2">
        <v>4500</v>
      </c>
      <c r="O221" t="str">
        <f t="shared" si="6"/>
        <v>&lt;=100</v>
      </c>
      <c r="P221" t="str">
        <f t="shared" si="7"/>
        <v>&lt;=5000$</v>
      </c>
    </row>
    <row r="222" spans="1:16" x14ac:dyDescent="0.25">
      <c r="A222">
        <v>244</v>
      </c>
      <c r="B222" t="s">
        <v>93</v>
      </c>
      <c r="C222" t="s">
        <v>338</v>
      </c>
      <c r="D222" t="s">
        <v>32</v>
      </c>
      <c r="E222" t="s">
        <v>17</v>
      </c>
      <c r="F222" s="3">
        <v>60</v>
      </c>
      <c r="G222">
        <v>40</v>
      </c>
      <c r="H222">
        <v>10.8</v>
      </c>
      <c r="I222">
        <v>20</v>
      </c>
      <c r="J222" t="s">
        <v>19</v>
      </c>
      <c r="K222" t="s">
        <v>20</v>
      </c>
      <c r="L222" t="s">
        <v>21</v>
      </c>
      <c r="M222" s="3">
        <v>42</v>
      </c>
      <c r="N222" s="2">
        <v>4200</v>
      </c>
      <c r="O222" t="str">
        <f t="shared" si="6"/>
        <v>&lt;=100</v>
      </c>
      <c r="P222" t="str">
        <f t="shared" si="7"/>
        <v>&lt;=5000$</v>
      </c>
    </row>
    <row r="223" spans="1:16" x14ac:dyDescent="0.25">
      <c r="A223">
        <v>245</v>
      </c>
      <c r="B223" t="s">
        <v>93</v>
      </c>
      <c r="C223" t="s">
        <v>338</v>
      </c>
      <c r="D223" t="s">
        <v>32</v>
      </c>
      <c r="E223" t="s">
        <v>17</v>
      </c>
      <c r="F223" s="3">
        <v>60</v>
      </c>
      <c r="G223">
        <v>40</v>
      </c>
      <c r="H223">
        <v>10.8</v>
      </c>
      <c r="I223">
        <v>20</v>
      </c>
      <c r="J223" t="s">
        <v>19</v>
      </c>
      <c r="K223" t="s">
        <v>20</v>
      </c>
      <c r="L223" t="s">
        <v>21</v>
      </c>
      <c r="M223" s="3">
        <v>42</v>
      </c>
      <c r="N223" s="2">
        <v>3900</v>
      </c>
      <c r="O223" t="str">
        <f t="shared" si="6"/>
        <v>&lt;=100</v>
      </c>
      <c r="P223" t="str">
        <f t="shared" si="7"/>
        <v>&lt;=5000$</v>
      </c>
    </row>
    <row r="224" spans="1:16" x14ac:dyDescent="0.25">
      <c r="A224">
        <v>246</v>
      </c>
      <c r="B224" t="s">
        <v>93</v>
      </c>
      <c r="C224" t="s">
        <v>335</v>
      </c>
      <c r="D224" t="s">
        <v>32</v>
      </c>
      <c r="E224" t="s">
        <v>17</v>
      </c>
      <c r="F224" s="3">
        <v>60</v>
      </c>
      <c r="G224">
        <v>41</v>
      </c>
      <c r="H224">
        <v>10.86</v>
      </c>
      <c r="I224">
        <v>20</v>
      </c>
      <c r="J224" t="s">
        <v>19</v>
      </c>
      <c r="K224" t="s">
        <v>20</v>
      </c>
      <c r="L224" t="s">
        <v>21</v>
      </c>
      <c r="M224" s="3">
        <v>42</v>
      </c>
      <c r="N224" s="2">
        <v>3800</v>
      </c>
      <c r="O224" t="str">
        <f t="shared" si="6"/>
        <v>&lt;=100</v>
      </c>
      <c r="P224" t="str">
        <f t="shared" si="7"/>
        <v>&lt;=5000$</v>
      </c>
    </row>
    <row r="225" spans="1:16" x14ac:dyDescent="0.25">
      <c r="A225">
        <v>247</v>
      </c>
      <c r="B225" t="s">
        <v>47</v>
      </c>
      <c r="C225" t="s">
        <v>339</v>
      </c>
      <c r="D225" t="s">
        <v>32</v>
      </c>
      <c r="E225" t="s">
        <v>17</v>
      </c>
      <c r="F225" s="3">
        <v>50</v>
      </c>
      <c r="G225">
        <v>39</v>
      </c>
      <c r="H225">
        <v>7.58</v>
      </c>
      <c r="I225">
        <v>20</v>
      </c>
      <c r="J225" t="s">
        <v>44</v>
      </c>
      <c r="K225" t="s">
        <v>20</v>
      </c>
      <c r="L225" t="s">
        <v>21</v>
      </c>
      <c r="M225" s="3">
        <v>70</v>
      </c>
      <c r="N225" s="2">
        <v>8900</v>
      </c>
      <c r="O225" t="str">
        <f t="shared" si="6"/>
        <v>&lt;=100</v>
      </c>
      <c r="P225" t="str">
        <f t="shared" si="7"/>
        <v>&lt;= 10000$</v>
      </c>
    </row>
    <row r="226" spans="1:16" x14ac:dyDescent="0.25">
      <c r="A226">
        <v>248</v>
      </c>
      <c r="B226" t="s">
        <v>47</v>
      </c>
      <c r="C226" t="s">
        <v>340</v>
      </c>
      <c r="D226" t="s">
        <v>32</v>
      </c>
      <c r="E226" t="s">
        <v>17</v>
      </c>
      <c r="F226" s="3">
        <v>50</v>
      </c>
      <c r="G226">
        <v>40</v>
      </c>
      <c r="H226">
        <v>8.7799999999999994</v>
      </c>
      <c r="I226">
        <v>20</v>
      </c>
      <c r="J226" t="s">
        <v>44</v>
      </c>
      <c r="K226" t="s">
        <v>20</v>
      </c>
      <c r="L226" t="s">
        <v>147</v>
      </c>
      <c r="M226" s="3">
        <v>70</v>
      </c>
      <c r="N226" s="2">
        <v>8500</v>
      </c>
      <c r="O226" t="str">
        <f t="shared" si="6"/>
        <v>&lt;=100</v>
      </c>
      <c r="P226" t="str">
        <f t="shared" si="7"/>
        <v>&lt;= 10000$</v>
      </c>
    </row>
    <row r="227" spans="1:16" x14ac:dyDescent="0.25">
      <c r="A227">
        <v>249</v>
      </c>
      <c r="B227" t="s">
        <v>47</v>
      </c>
      <c r="C227" t="s">
        <v>341</v>
      </c>
      <c r="D227" t="s">
        <v>32</v>
      </c>
      <c r="E227" t="s">
        <v>17</v>
      </c>
      <c r="F227" s="3">
        <v>50</v>
      </c>
      <c r="G227">
        <v>39</v>
      </c>
      <c r="H227">
        <v>8.5</v>
      </c>
      <c r="I227">
        <v>20</v>
      </c>
      <c r="J227" t="s">
        <v>44</v>
      </c>
      <c r="K227" t="s">
        <v>20</v>
      </c>
      <c r="L227" t="s">
        <v>232</v>
      </c>
      <c r="M227" s="3">
        <v>70</v>
      </c>
      <c r="N227" s="2">
        <v>8200</v>
      </c>
      <c r="O227" t="str">
        <f t="shared" si="6"/>
        <v>&lt;=100</v>
      </c>
      <c r="P227" t="str">
        <f t="shared" si="7"/>
        <v>&lt;= 10000$</v>
      </c>
    </row>
    <row r="228" spans="1:16" x14ac:dyDescent="0.25">
      <c r="A228">
        <v>250</v>
      </c>
      <c r="B228" t="s">
        <v>47</v>
      </c>
      <c r="C228" t="s">
        <v>339</v>
      </c>
      <c r="D228" t="s">
        <v>32</v>
      </c>
      <c r="E228" t="s">
        <v>17</v>
      </c>
      <c r="F228" s="3">
        <v>50</v>
      </c>
      <c r="G228">
        <v>39</v>
      </c>
      <c r="H228">
        <v>7.58</v>
      </c>
      <c r="I228">
        <v>20</v>
      </c>
      <c r="J228" t="s">
        <v>44</v>
      </c>
      <c r="K228" t="s">
        <v>20</v>
      </c>
      <c r="L228" t="s">
        <v>45</v>
      </c>
      <c r="M228" s="3">
        <v>70</v>
      </c>
      <c r="N228" s="2">
        <v>7500</v>
      </c>
      <c r="O228" t="str">
        <f t="shared" si="6"/>
        <v>&lt;=100</v>
      </c>
      <c r="P228" t="str">
        <f t="shared" si="7"/>
        <v>&lt;= 10000$</v>
      </c>
    </row>
    <row r="229" spans="1:16" x14ac:dyDescent="0.25">
      <c r="A229">
        <v>251</v>
      </c>
      <c r="B229" t="s">
        <v>47</v>
      </c>
      <c r="C229" t="s">
        <v>340</v>
      </c>
      <c r="D229" t="s">
        <v>32</v>
      </c>
      <c r="E229" t="s">
        <v>17</v>
      </c>
      <c r="F229" s="3">
        <v>50</v>
      </c>
      <c r="G229">
        <v>40</v>
      </c>
      <c r="H229">
        <v>8.8000000000000007</v>
      </c>
      <c r="I229">
        <v>20</v>
      </c>
      <c r="J229" t="s">
        <v>44</v>
      </c>
      <c r="K229" t="s">
        <v>20</v>
      </c>
      <c r="L229" t="s">
        <v>21</v>
      </c>
      <c r="M229" s="3">
        <v>70</v>
      </c>
      <c r="N229" s="2">
        <v>7500</v>
      </c>
      <c r="O229" t="str">
        <f t="shared" si="6"/>
        <v>&lt;=100</v>
      </c>
      <c r="P229" t="str">
        <f t="shared" si="7"/>
        <v>&lt;= 10000$</v>
      </c>
    </row>
    <row r="230" spans="1:16" x14ac:dyDescent="0.25">
      <c r="A230">
        <v>252</v>
      </c>
      <c r="B230" t="s">
        <v>47</v>
      </c>
      <c r="C230" t="s">
        <v>341</v>
      </c>
      <c r="D230" t="s">
        <v>32</v>
      </c>
      <c r="E230" t="s">
        <v>17</v>
      </c>
      <c r="F230" s="3">
        <v>50</v>
      </c>
      <c r="G230">
        <v>39</v>
      </c>
      <c r="H230">
        <v>8.5</v>
      </c>
      <c r="I230">
        <v>20</v>
      </c>
      <c r="J230" t="s">
        <v>44</v>
      </c>
      <c r="K230" t="s">
        <v>20</v>
      </c>
      <c r="L230" t="s">
        <v>21</v>
      </c>
      <c r="M230" s="3">
        <v>70</v>
      </c>
      <c r="N230" s="2">
        <v>7500</v>
      </c>
      <c r="O230" t="str">
        <f t="shared" si="6"/>
        <v>&lt;=100</v>
      </c>
      <c r="P230" t="str">
        <f t="shared" si="7"/>
        <v>&lt;= 10000$</v>
      </c>
    </row>
    <row r="231" spans="1:16" x14ac:dyDescent="0.25">
      <c r="A231">
        <v>253</v>
      </c>
      <c r="B231" t="s">
        <v>47</v>
      </c>
      <c r="C231" t="s">
        <v>339</v>
      </c>
      <c r="D231" t="s">
        <v>32</v>
      </c>
      <c r="E231" t="s">
        <v>17</v>
      </c>
      <c r="F231" s="3">
        <v>50</v>
      </c>
      <c r="G231">
        <v>39</v>
      </c>
      <c r="H231">
        <v>7.58</v>
      </c>
      <c r="I231">
        <v>20</v>
      </c>
      <c r="J231" t="s">
        <v>44</v>
      </c>
      <c r="K231" t="s">
        <v>20</v>
      </c>
      <c r="L231" t="s">
        <v>45</v>
      </c>
      <c r="M231" s="3">
        <v>43</v>
      </c>
      <c r="N231" s="2">
        <v>6800</v>
      </c>
      <c r="O231" t="str">
        <f t="shared" si="6"/>
        <v>&lt;=100</v>
      </c>
      <c r="P231" t="str">
        <f t="shared" si="7"/>
        <v>&lt;= 10000$</v>
      </c>
    </row>
    <row r="232" spans="1:16" x14ac:dyDescent="0.25">
      <c r="A232">
        <v>254</v>
      </c>
      <c r="B232" t="s">
        <v>47</v>
      </c>
      <c r="C232" t="s">
        <v>340</v>
      </c>
      <c r="D232" t="s">
        <v>32</v>
      </c>
      <c r="E232" t="s">
        <v>17</v>
      </c>
      <c r="F232" s="3">
        <v>50</v>
      </c>
      <c r="G232">
        <v>40</v>
      </c>
      <c r="H232">
        <v>8.8000000000000007</v>
      </c>
      <c r="I232">
        <v>20</v>
      </c>
      <c r="J232" t="s">
        <v>44</v>
      </c>
      <c r="K232" t="s">
        <v>20</v>
      </c>
      <c r="L232" t="s">
        <v>21</v>
      </c>
      <c r="M232" s="3">
        <v>70</v>
      </c>
      <c r="N232" s="2">
        <v>6500</v>
      </c>
      <c r="O232" t="str">
        <f t="shared" si="6"/>
        <v>&lt;=100</v>
      </c>
      <c r="P232" t="str">
        <f t="shared" si="7"/>
        <v>&lt;= 10000$</v>
      </c>
    </row>
    <row r="233" spans="1:16" x14ac:dyDescent="0.25">
      <c r="A233">
        <v>255</v>
      </c>
      <c r="B233" t="s">
        <v>47</v>
      </c>
      <c r="C233" t="s">
        <v>340</v>
      </c>
      <c r="D233" t="s">
        <v>32</v>
      </c>
      <c r="E233" t="s">
        <v>17</v>
      </c>
      <c r="F233" s="3">
        <v>50</v>
      </c>
      <c r="G233">
        <v>40</v>
      </c>
      <c r="H233">
        <v>8.5</v>
      </c>
      <c r="I233">
        <v>20</v>
      </c>
      <c r="J233" t="s">
        <v>44</v>
      </c>
      <c r="K233" t="s">
        <v>20</v>
      </c>
      <c r="L233" t="s">
        <v>232</v>
      </c>
      <c r="M233" s="3">
        <v>70</v>
      </c>
      <c r="N233" s="2">
        <v>6500</v>
      </c>
      <c r="O233" t="str">
        <f t="shared" si="6"/>
        <v>&lt;=100</v>
      </c>
      <c r="P233" t="str">
        <f t="shared" si="7"/>
        <v>&lt;= 10000$</v>
      </c>
    </row>
    <row r="234" spans="1:16" x14ac:dyDescent="0.25">
      <c r="A234">
        <v>256</v>
      </c>
      <c r="B234" t="s">
        <v>47</v>
      </c>
      <c r="C234" t="s">
        <v>339</v>
      </c>
      <c r="D234" t="s">
        <v>32</v>
      </c>
      <c r="E234" t="s">
        <v>17</v>
      </c>
      <c r="F234" s="3">
        <v>50</v>
      </c>
      <c r="G234">
        <v>39</v>
      </c>
      <c r="H234">
        <v>7.8</v>
      </c>
      <c r="I234">
        <v>20</v>
      </c>
      <c r="J234" t="s">
        <v>44</v>
      </c>
      <c r="K234" t="s">
        <v>20</v>
      </c>
      <c r="L234" t="s">
        <v>45</v>
      </c>
      <c r="M234" s="3">
        <v>70</v>
      </c>
      <c r="N234" s="2">
        <v>6500</v>
      </c>
      <c r="O234" t="str">
        <f t="shared" si="6"/>
        <v>&lt;=100</v>
      </c>
      <c r="P234" t="str">
        <f t="shared" si="7"/>
        <v>&lt;= 10000$</v>
      </c>
    </row>
    <row r="235" spans="1:16" x14ac:dyDescent="0.25">
      <c r="A235">
        <v>257</v>
      </c>
      <c r="B235" t="s">
        <v>47</v>
      </c>
      <c r="C235" t="s">
        <v>342</v>
      </c>
      <c r="D235" t="s">
        <v>32</v>
      </c>
      <c r="E235" t="s">
        <v>17</v>
      </c>
      <c r="F235" s="3">
        <v>50</v>
      </c>
      <c r="G235">
        <v>40</v>
      </c>
      <c r="H235">
        <v>7.45</v>
      </c>
      <c r="I235">
        <v>20</v>
      </c>
      <c r="J235" t="s">
        <v>44</v>
      </c>
      <c r="K235" t="s">
        <v>20</v>
      </c>
      <c r="L235" t="s">
        <v>45</v>
      </c>
      <c r="M235" s="3">
        <v>43</v>
      </c>
      <c r="N235" s="2">
        <v>6300</v>
      </c>
      <c r="O235" t="str">
        <f t="shared" si="6"/>
        <v>&lt;=100</v>
      </c>
      <c r="P235" t="str">
        <f t="shared" si="7"/>
        <v>&lt;= 10000$</v>
      </c>
    </row>
    <row r="236" spans="1:16" x14ac:dyDescent="0.25">
      <c r="A236">
        <v>258</v>
      </c>
      <c r="B236" t="s">
        <v>47</v>
      </c>
      <c r="C236" t="s">
        <v>339</v>
      </c>
      <c r="D236" t="s">
        <v>32</v>
      </c>
      <c r="E236" t="s">
        <v>17</v>
      </c>
      <c r="F236" s="3">
        <v>50</v>
      </c>
      <c r="G236">
        <v>39</v>
      </c>
      <c r="H236">
        <v>7.5</v>
      </c>
      <c r="I236">
        <v>20</v>
      </c>
      <c r="J236" t="s">
        <v>34</v>
      </c>
      <c r="K236" t="s">
        <v>20</v>
      </c>
      <c r="L236" t="s">
        <v>21</v>
      </c>
      <c r="M236" s="3">
        <v>38</v>
      </c>
      <c r="N236" s="2">
        <v>6200</v>
      </c>
      <c r="O236" t="str">
        <f t="shared" si="6"/>
        <v>&lt;=100</v>
      </c>
      <c r="P236" t="str">
        <f t="shared" si="7"/>
        <v>&lt;= 10000$</v>
      </c>
    </row>
    <row r="237" spans="1:16" x14ac:dyDescent="0.25">
      <c r="A237">
        <v>259</v>
      </c>
      <c r="B237" t="s">
        <v>47</v>
      </c>
      <c r="C237" t="s">
        <v>340</v>
      </c>
      <c r="D237" t="s">
        <v>32</v>
      </c>
      <c r="E237" t="s">
        <v>17</v>
      </c>
      <c r="F237" s="3">
        <v>50</v>
      </c>
      <c r="G237">
        <v>40</v>
      </c>
      <c r="H237">
        <v>8.8000000000000007</v>
      </c>
      <c r="I237">
        <v>20</v>
      </c>
      <c r="J237" t="s">
        <v>44</v>
      </c>
      <c r="K237" t="s">
        <v>20</v>
      </c>
      <c r="L237" t="s">
        <v>169</v>
      </c>
      <c r="M237" s="3">
        <v>70</v>
      </c>
      <c r="N237" s="2">
        <v>6000</v>
      </c>
      <c r="O237" t="str">
        <f t="shared" si="6"/>
        <v>&lt;=100</v>
      </c>
      <c r="P237" t="str">
        <f t="shared" si="7"/>
        <v>&lt;= 10000$</v>
      </c>
    </row>
    <row r="238" spans="1:16" x14ac:dyDescent="0.25">
      <c r="A238">
        <v>262</v>
      </c>
      <c r="B238" t="s">
        <v>47</v>
      </c>
      <c r="C238" t="s">
        <v>344</v>
      </c>
      <c r="D238" t="s">
        <v>32</v>
      </c>
      <c r="E238" t="s">
        <v>17</v>
      </c>
      <c r="F238" s="3">
        <v>50</v>
      </c>
      <c r="G238">
        <v>38</v>
      </c>
      <c r="H238">
        <v>7.58</v>
      </c>
      <c r="I238">
        <v>20</v>
      </c>
      <c r="J238" t="s">
        <v>44</v>
      </c>
      <c r="K238" t="s">
        <v>20</v>
      </c>
      <c r="L238" t="s">
        <v>45</v>
      </c>
      <c r="M238" s="3">
        <v>70</v>
      </c>
      <c r="N238" s="2">
        <v>4500</v>
      </c>
      <c r="O238" t="str">
        <f t="shared" si="6"/>
        <v>&lt;=100</v>
      </c>
      <c r="P238" t="str">
        <f t="shared" si="7"/>
        <v>&lt;=5000$</v>
      </c>
    </row>
    <row r="239" spans="1:16" x14ac:dyDescent="0.25">
      <c r="A239">
        <v>263</v>
      </c>
      <c r="B239" t="s">
        <v>120</v>
      </c>
      <c r="C239" t="s">
        <v>345</v>
      </c>
      <c r="D239" t="s">
        <v>32</v>
      </c>
      <c r="E239" t="s">
        <v>17</v>
      </c>
      <c r="F239" s="3">
        <v>30</v>
      </c>
      <c r="G239">
        <v>43</v>
      </c>
      <c r="H239">
        <v>12.48</v>
      </c>
      <c r="I239">
        <v>23</v>
      </c>
      <c r="J239" t="s">
        <v>44</v>
      </c>
      <c r="K239" t="s">
        <v>20</v>
      </c>
      <c r="L239" t="s">
        <v>45</v>
      </c>
      <c r="M239" s="3">
        <v>68</v>
      </c>
      <c r="N239" s="2">
        <v>10000</v>
      </c>
      <c r="O239" t="str">
        <f t="shared" si="6"/>
        <v>&lt;=100</v>
      </c>
      <c r="P239" t="str">
        <f t="shared" si="7"/>
        <v>&lt;= 10000$</v>
      </c>
    </row>
    <row r="240" spans="1:16" x14ac:dyDescent="0.25">
      <c r="A240">
        <v>264</v>
      </c>
      <c r="B240" t="s">
        <v>120</v>
      </c>
      <c r="C240" t="s">
        <v>345</v>
      </c>
      <c r="D240" t="s">
        <v>32</v>
      </c>
      <c r="E240" t="s">
        <v>17</v>
      </c>
      <c r="F240" s="3">
        <v>30</v>
      </c>
      <c r="G240">
        <v>43</v>
      </c>
      <c r="H240">
        <v>12.27</v>
      </c>
      <c r="I240">
        <v>23</v>
      </c>
      <c r="J240" t="s">
        <v>19</v>
      </c>
      <c r="K240" t="s">
        <v>20</v>
      </c>
      <c r="L240" t="s">
        <v>45</v>
      </c>
      <c r="M240" s="3">
        <v>68</v>
      </c>
      <c r="N240" s="2">
        <v>9800</v>
      </c>
      <c r="O240" t="str">
        <f t="shared" si="6"/>
        <v>&lt;=100</v>
      </c>
      <c r="P240" t="str">
        <f t="shared" si="7"/>
        <v>&lt;= 10000$</v>
      </c>
    </row>
    <row r="241" spans="1:16" x14ac:dyDescent="0.25">
      <c r="A241">
        <v>265</v>
      </c>
      <c r="B241" t="s">
        <v>120</v>
      </c>
      <c r="C241" t="s">
        <v>345</v>
      </c>
      <c r="D241" t="s">
        <v>32</v>
      </c>
      <c r="E241" t="s">
        <v>17</v>
      </c>
      <c r="F241" s="3">
        <v>30</v>
      </c>
      <c r="G241">
        <v>43</v>
      </c>
      <c r="H241">
        <v>11.48</v>
      </c>
      <c r="I241">
        <v>23</v>
      </c>
      <c r="J241" t="s">
        <v>19</v>
      </c>
      <c r="K241" t="s">
        <v>20</v>
      </c>
      <c r="L241" t="s">
        <v>45</v>
      </c>
      <c r="M241" s="3">
        <v>68</v>
      </c>
      <c r="N241" s="2">
        <v>9500</v>
      </c>
      <c r="O241" t="str">
        <f t="shared" si="6"/>
        <v>&lt;=100</v>
      </c>
      <c r="P241" t="str">
        <f t="shared" si="7"/>
        <v>&lt;= 10000$</v>
      </c>
    </row>
    <row r="242" spans="1:16" x14ac:dyDescent="0.25">
      <c r="A242">
        <v>266</v>
      </c>
      <c r="B242" t="s">
        <v>120</v>
      </c>
      <c r="C242" t="s">
        <v>345</v>
      </c>
      <c r="D242" t="s">
        <v>32</v>
      </c>
      <c r="E242" t="s">
        <v>17</v>
      </c>
      <c r="F242" s="3">
        <v>30</v>
      </c>
      <c r="G242">
        <v>43</v>
      </c>
      <c r="H242">
        <v>11.48</v>
      </c>
      <c r="I242">
        <v>22</v>
      </c>
      <c r="J242" t="s">
        <v>34</v>
      </c>
      <c r="K242" t="s">
        <v>20</v>
      </c>
      <c r="L242" t="s">
        <v>45</v>
      </c>
      <c r="M242" s="3">
        <v>68</v>
      </c>
      <c r="N242" s="2">
        <v>8500</v>
      </c>
      <c r="O242" t="str">
        <f t="shared" si="6"/>
        <v>&lt;=100</v>
      </c>
      <c r="P242" t="str">
        <f t="shared" si="7"/>
        <v>&lt;= 10000$</v>
      </c>
    </row>
    <row r="243" spans="1:16" x14ac:dyDescent="0.25">
      <c r="A243">
        <v>267</v>
      </c>
      <c r="B243" t="s">
        <v>120</v>
      </c>
      <c r="C243" t="s">
        <v>345</v>
      </c>
      <c r="D243" t="s">
        <v>32</v>
      </c>
      <c r="E243" t="s">
        <v>17</v>
      </c>
      <c r="F243" s="3">
        <v>30</v>
      </c>
      <c r="G243">
        <v>43</v>
      </c>
      <c r="H243">
        <v>12.13</v>
      </c>
      <c r="I243">
        <v>23</v>
      </c>
      <c r="J243" t="s">
        <v>44</v>
      </c>
      <c r="K243" t="s">
        <v>20</v>
      </c>
      <c r="L243" t="s">
        <v>45</v>
      </c>
      <c r="M243" s="3">
        <v>68</v>
      </c>
      <c r="N243" s="2">
        <v>6200</v>
      </c>
      <c r="O243" t="str">
        <f t="shared" si="6"/>
        <v>&lt;=100</v>
      </c>
      <c r="P243" t="str">
        <f t="shared" si="7"/>
        <v>&lt;= 10000$</v>
      </c>
    </row>
    <row r="244" spans="1:16" x14ac:dyDescent="0.25">
      <c r="A244">
        <v>268</v>
      </c>
      <c r="B244" t="s">
        <v>62</v>
      </c>
      <c r="C244" t="s">
        <v>346</v>
      </c>
      <c r="D244" t="s">
        <v>32</v>
      </c>
      <c r="E244" t="s">
        <v>17</v>
      </c>
      <c r="F244" s="3">
        <v>30</v>
      </c>
      <c r="G244">
        <v>40</v>
      </c>
      <c r="H244">
        <v>10.25</v>
      </c>
      <c r="I244">
        <v>20</v>
      </c>
      <c r="J244" t="s">
        <v>19</v>
      </c>
      <c r="K244" t="s">
        <v>20</v>
      </c>
      <c r="L244" t="s">
        <v>21</v>
      </c>
      <c r="M244" s="3">
        <v>64</v>
      </c>
      <c r="N244" s="2">
        <v>2500</v>
      </c>
      <c r="O244" t="str">
        <f t="shared" si="6"/>
        <v>&lt;=100</v>
      </c>
      <c r="P244" t="str">
        <f t="shared" si="7"/>
        <v>&lt;=5000$</v>
      </c>
    </row>
    <row r="245" spans="1:16" x14ac:dyDescent="0.25">
      <c r="A245">
        <v>269</v>
      </c>
      <c r="B245" t="s">
        <v>62</v>
      </c>
      <c r="C245" t="s">
        <v>347</v>
      </c>
      <c r="D245" t="s">
        <v>16</v>
      </c>
      <c r="E245" t="s">
        <v>17</v>
      </c>
      <c r="F245" s="3">
        <v>300</v>
      </c>
      <c r="G245">
        <v>41</v>
      </c>
      <c r="H245">
        <v>13.2</v>
      </c>
      <c r="I245">
        <v>20</v>
      </c>
      <c r="J245" t="s">
        <v>19</v>
      </c>
      <c r="K245" t="s">
        <v>20</v>
      </c>
      <c r="L245" t="s">
        <v>35</v>
      </c>
      <c r="M245" s="3">
        <v>54</v>
      </c>
      <c r="N245" s="2">
        <v>2200</v>
      </c>
      <c r="O245" t="str">
        <f t="shared" si="6"/>
        <v>200-300</v>
      </c>
      <c r="P245" t="str">
        <f t="shared" si="7"/>
        <v>&lt;=5000$</v>
      </c>
    </row>
    <row r="246" spans="1:16" x14ac:dyDescent="0.25">
      <c r="A246">
        <v>270</v>
      </c>
      <c r="B246" t="s">
        <v>62</v>
      </c>
      <c r="C246" t="s">
        <v>348</v>
      </c>
      <c r="D246" t="s">
        <v>32</v>
      </c>
      <c r="E246" t="s">
        <v>17</v>
      </c>
      <c r="F246" s="3">
        <v>50</v>
      </c>
      <c r="G246">
        <v>40</v>
      </c>
      <c r="H246">
        <v>10.75</v>
      </c>
      <c r="I246">
        <v>20</v>
      </c>
      <c r="J246" t="s">
        <v>44</v>
      </c>
      <c r="K246" t="s">
        <v>20</v>
      </c>
      <c r="L246" t="s">
        <v>21</v>
      </c>
      <c r="M246" s="3">
        <v>54</v>
      </c>
      <c r="N246" s="2">
        <v>1850</v>
      </c>
      <c r="O246" t="str">
        <f t="shared" si="6"/>
        <v>&lt;=100</v>
      </c>
      <c r="P246" t="str">
        <f t="shared" si="7"/>
        <v xml:space="preserve"> &lt;=2000$</v>
      </c>
    </row>
    <row r="247" spans="1:16" x14ac:dyDescent="0.25">
      <c r="A247">
        <v>271</v>
      </c>
      <c r="B247" t="s">
        <v>62</v>
      </c>
      <c r="C247" t="s">
        <v>349</v>
      </c>
      <c r="D247" t="s">
        <v>16</v>
      </c>
      <c r="E247" t="s">
        <v>17</v>
      </c>
      <c r="F247" s="3">
        <v>300</v>
      </c>
      <c r="G247">
        <v>41</v>
      </c>
      <c r="H247">
        <v>12.65</v>
      </c>
      <c r="I247">
        <v>20</v>
      </c>
      <c r="J247" t="s">
        <v>19</v>
      </c>
      <c r="K247" t="s">
        <v>20</v>
      </c>
      <c r="L247" t="s">
        <v>21</v>
      </c>
      <c r="M247" s="3">
        <v>64</v>
      </c>
      <c r="N247" s="2">
        <v>1800</v>
      </c>
      <c r="O247" t="str">
        <f t="shared" si="6"/>
        <v>200-300</v>
      </c>
      <c r="P247" t="str">
        <f t="shared" si="7"/>
        <v xml:space="preserve"> &lt;=2000$</v>
      </c>
    </row>
    <row r="248" spans="1:16" x14ac:dyDescent="0.25">
      <c r="A248">
        <v>272</v>
      </c>
      <c r="B248" t="s">
        <v>62</v>
      </c>
      <c r="C248" t="s">
        <v>350</v>
      </c>
      <c r="D248" t="s">
        <v>32</v>
      </c>
      <c r="E248" t="s">
        <v>17</v>
      </c>
      <c r="F248" s="3">
        <v>30</v>
      </c>
      <c r="G248">
        <v>38.5</v>
      </c>
      <c r="H248">
        <v>9.6999999999999993</v>
      </c>
      <c r="I248">
        <v>20</v>
      </c>
      <c r="J248" t="s">
        <v>28</v>
      </c>
      <c r="K248" t="s">
        <v>20</v>
      </c>
      <c r="L248" t="s">
        <v>21</v>
      </c>
      <c r="M248" s="3">
        <v>64</v>
      </c>
      <c r="N248" s="2">
        <v>1800</v>
      </c>
      <c r="O248" t="str">
        <f t="shared" si="6"/>
        <v>&lt;=100</v>
      </c>
      <c r="P248" t="str">
        <f t="shared" si="7"/>
        <v xml:space="preserve"> &lt;=2000$</v>
      </c>
    </row>
    <row r="249" spans="1:16" x14ac:dyDescent="0.25">
      <c r="A249">
        <v>273</v>
      </c>
      <c r="B249" t="s">
        <v>62</v>
      </c>
      <c r="C249" t="s">
        <v>350</v>
      </c>
      <c r="D249" t="s">
        <v>32</v>
      </c>
      <c r="E249" t="s">
        <v>17</v>
      </c>
      <c r="F249" s="3">
        <v>30</v>
      </c>
      <c r="G249">
        <v>38.5</v>
      </c>
      <c r="H249">
        <v>9.3000000000000007</v>
      </c>
      <c r="I249">
        <v>20</v>
      </c>
      <c r="J249" t="s">
        <v>28</v>
      </c>
      <c r="K249" t="s">
        <v>20</v>
      </c>
      <c r="L249" t="s">
        <v>21</v>
      </c>
      <c r="M249" s="3">
        <v>42</v>
      </c>
      <c r="N249" s="2">
        <v>1600</v>
      </c>
      <c r="O249" t="str">
        <f t="shared" si="6"/>
        <v>&lt;=100</v>
      </c>
      <c r="P249" t="str">
        <f t="shared" si="7"/>
        <v xml:space="preserve"> &lt;=2000$</v>
      </c>
    </row>
    <row r="250" spans="1:16" x14ac:dyDescent="0.25">
      <c r="A250">
        <v>275</v>
      </c>
      <c r="B250" t="s">
        <v>62</v>
      </c>
      <c r="C250" t="s">
        <v>346</v>
      </c>
      <c r="D250" t="s">
        <v>32</v>
      </c>
      <c r="E250" t="s">
        <v>17</v>
      </c>
      <c r="F250" s="3">
        <v>30</v>
      </c>
      <c r="G250">
        <v>40</v>
      </c>
      <c r="H250">
        <v>9.35</v>
      </c>
      <c r="I250">
        <v>20</v>
      </c>
      <c r="J250" t="s">
        <v>44</v>
      </c>
      <c r="K250" t="s">
        <v>20</v>
      </c>
      <c r="L250" t="s">
        <v>21</v>
      </c>
      <c r="M250" s="3">
        <v>64</v>
      </c>
      <c r="N250" s="2">
        <v>1500</v>
      </c>
      <c r="O250" t="str">
        <f t="shared" si="6"/>
        <v>&lt;=100</v>
      </c>
      <c r="P250" t="str">
        <f t="shared" si="7"/>
        <v xml:space="preserve"> &lt;=2000$</v>
      </c>
    </row>
    <row r="251" spans="1:16" x14ac:dyDescent="0.25">
      <c r="A251">
        <v>276</v>
      </c>
      <c r="B251" t="s">
        <v>62</v>
      </c>
      <c r="C251" t="s">
        <v>352</v>
      </c>
      <c r="D251" t="s">
        <v>16</v>
      </c>
      <c r="E251" t="s">
        <v>17</v>
      </c>
      <c r="F251" s="3">
        <v>300</v>
      </c>
      <c r="G251">
        <v>43</v>
      </c>
      <c r="H251">
        <v>12.75</v>
      </c>
      <c r="I251">
        <v>22</v>
      </c>
      <c r="J251" t="s">
        <v>28</v>
      </c>
      <c r="K251" t="s">
        <v>20</v>
      </c>
      <c r="L251" t="s">
        <v>21</v>
      </c>
      <c r="M251" s="3">
        <v>64</v>
      </c>
      <c r="N251" s="2">
        <v>1400</v>
      </c>
      <c r="O251" t="str">
        <f t="shared" si="6"/>
        <v>200-300</v>
      </c>
      <c r="P251" t="str">
        <f t="shared" si="7"/>
        <v xml:space="preserve"> &lt;=2000$</v>
      </c>
    </row>
    <row r="252" spans="1:16" x14ac:dyDescent="0.25">
      <c r="A252">
        <v>277</v>
      </c>
      <c r="B252" t="s">
        <v>62</v>
      </c>
      <c r="C252" t="s">
        <v>350</v>
      </c>
      <c r="D252" t="s">
        <v>32</v>
      </c>
      <c r="E252" t="s">
        <v>17</v>
      </c>
      <c r="F252" s="3">
        <v>30</v>
      </c>
      <c r="G252">
        <v>38.5</v>
      </c>
      <c r="H252">
        <v>9.6999999999999993</v>
      </c>
      <c r="I252">
        <v>20</v>
      </c>
      <c r="J252" t="s">
        <v>44</v>
      </c>
      <c r="K252" t="s">
        <v>20</v>
      </c>
      <c r="L252" t="s">
        <v>21</v>
      </c>
      <c r="M252" s="3">
        <v>64</v>
      </c>
      <c r="N252" s="2">
        <v>1150</v>
      </c>
      <c r="O252" t="str">
        <f t="shared" si="6"/>
        <v>&lt;=100</v>
      </c>
      <c r="P252" t="str">
        <f t="shared" si="7"/>
        <v xml:space="preserve"> &lt;=2000$</v>
      </c>
    </row>
    <row r="253" spans="1:16" x14ac:dyDescent="0.25">
      <c r="A253">
        <v>278</v>
      </c>
      <c r="B253" t="s">
        <v>99</v>
      </c>
      <c r="C253" t="s">
        <v>353</v>
      </c>
      <c r="D253" t="s">
        <v>32</v>
      </c>
      <c r="E253" t="s">
        <v>17</v>
      </c>
      <c r="F253" s="3">
        <v>100</v>
      </c>
      <c r="G253">
        <v>42</v>
      </c>
      <c r="H253">
        <v>12.8</v>
      </c>
      <c r="I253">
        <v>22</v>
      </c>
      <c r="J253" t="s">
        <v>19</v>
      </c>
      <c r="K253" t="s">
        <v>20</v>
      </c>
      <c r="L253" t="s">
        <v>92</v>
      </c>
      <c r="M253" s="3">
        <v>42</v>
      </c>
      <c r="N253" s="2">
        <v>6500</v>
      </c>
      <c r="O253" t="str">
        <f t="shared" si="6"/>
        <v>&lt;=100</v>
      </c>
      <c r="P253" t="str">
        <f t="shared" si="7"/>
        <v>&lt;= 10000$</v>
      </c>
    </row>
    <row r="254" spans="1:16" x14ac:dyDescent="0.25">
      <c r="A254">
        <v>279</v>
      </c>
      <c r="B254" t="s">
        <v>99</v>
      </c>
      <c r="C254" t="s">
        <v>354</v>
      </c>
      <c r="D254" t="s">
        <v>32</v>
      </c>
      <c r="E254" t="s">
        <v>17</v>
      </c>
      <c r="F254" s="3">
        <v>100</v>
      </c>
      <c r="G254">
        <v>42</v>
      </c>
      <c r="H254">
        <v>11.2</v>
      </c>
      <c r="I254">
        <v>22</v>
      </c>
      <c r="J254" t="s">
        <v>19</v>
      </c>
      <c r="K254" t="s">
        <v>20</v>
      </c>
      <c r="L254" t="s">
        <v>101</v>
      </c>
      <c r="M254" s="3">
        <v>42</v>
      </c>
      <c r="N254" s="2">
        <v>6200</v>
      </c>
      <c r="O254" t="str">
        <f t="shared" si="6"/>
        <v>&lt;=100</v>
      </c>
      <c r="P254" t="str">
        <f t="shared" si="7"/>
        <v>&lt;= 10000$</v>
      </c>
    </row>
    <row r="255" spans="1:16" x14ac:dyDescent="0.25">
      <c r="A255">
        <v>280</v>
      </c>
      <c r="B255" t="s">
        <v>99</v>
      </c>
      <c r="C255" t="s">
        <v>355</v>
      </c>
      <c r="D255" t="s">
        <v>32</v>
      </c>
      <c r="E255" t="s">
        <v>17</v>
      </c>
      <c r="F255" s="3">
        <v>100</v>
      </c>
      <c r="G255">
        <v>44</v>
      </c>
      <c r="H255">
        <v>12.8</v>
      </c>
      <c r="I255">
        <v>22</v>
      </c>
      <c r="J255" t="s">
        <v>19</v>
      </c>
      <c r="K255" t="s">
        <v>20</v>
      </c>
      <c r="L255" t="s">
        <v>45</v>
      </c>
      <c r="M255" s="3">
        <v>42</v>
      </c>
      <c r="N255" s="2">
        <v>5300</v>
      </c>
      <c r="O255" t="str">
        <f t="shared" si="6"/>
        <v>&lt;=100</v>
      </c>
      <c r="P255" t="str">
        <f t="shared" si="7"/>
        <v>&lt;= 10000$</v>
      </c>
    </row>
    <row r="256" spans="1:16" x14ac:dyDescent="0.25">
      <c r="A256">
        <v>281</v>
      </c>
      <c r="B256" t="s">
        <v>99</v>
      </c>
      <c r="C256" t="s">
        <v>356</v>
      </c>
      <c r="D256" t="s">
        <v>32</v>
      </c>
      <c r="E256" t="s">
        <v>17</v>
      </c>
      <c r="F256" s="3">
        <v>50</v>
      </c>
      <c r="G256">
        <v>42</v>
      </c>
      <c r="H256">
        <v>11.4</v>
      </c>
      <c r="I256">
        <v>22</v>
      </c>
      <c r="J256" t="s">
        <v>34</v>
      </c>
      <c r="K256" t="s">
        <v>20</v>
      </c>
      <c r="L256" t="s">
        <v>232</v>
      </c>
      <c r="M256" s="3">
        <v>42</v>
      </c>
      <c r="N256" s="2">
        <v>3900</v>
      </c>
      <c r="O256" t="str">
        <f t="shared" si="6"/>
        <v>&lt;=100</v>
      </c>
      <c r="P256" t="str">
        <f t="shared" si="7"/>
        <v>&lt;=5000$</v>
      </c>
    </row>
    <row r="257" spans="1:16" x14ac:dyDescent="0.25">
      <c r="A257">
        <v>282</v>
      </c>
      <c r="B257" t="s">
        <v>99</v>
      </c>
      <c r="C257" t="s">
        <v>357</v>
      </c>
      <c r="D257" t="s">
        <v>32</v>
      </c>
      <c r="E257" t="s">
        <v>17</v>
      </c>
      <c r="F257" s="3">
        <v>100</v>
      </c>
      <c r="G257">
        <v>42</v>
      </c>
      <c r="H257">
        <v>12.8</v>
      </c>
      <c r="I257">
        <v>22</v>
      </c>
      <c r="J257" t="s">
        <v>19</v>
      </c>
      <c r="K257" t="s">
        <v>20</v>
      </c>
      <c r="L257" t="s">
        <v>45</v>
      </c>
      <c r="M257" s="3">
        <v>38</v>
      </c>
      <c r="N257" s="2">
        <v>3600</v>
      </c>
      <c r="O257" t="str">
        <f t="shared" si="6"/>
        <v>&lt;=100</v>
      </c>
      <c r="P257" t="str">
        <f t="shared" si="7"/>
        <v>&lt;=5000$</v>
      </c>
    </row>
    <row r="258" spans="1:16" x14ac:dyDescent="0.25">
      <c r="A258">
        <v>284</v>
      </c>
      <c r="B258" t="s">
        <v>99</v>
      </c>
      <c r="C258" t="s">
        <v>359</v>
      </c>
      <c r="D258" t="s">
        <v>32</v>
      </c>
      <c r="E258" t="s">
        <v>17</v>
      </c>
      <c r="F258" s="3">
        <v>50</v>
      </c>
      <c r="G258">
        <v>39</v>
      </c>
      <c r="H258">
        <v>9.9</v>
      </c>
      <c r="I258">
        <v>19</v>
      </c>
      <c r="J258" t="s">
        <v>44</v>
      </c>
      <c r="K258" t="s">
        <v>20</v>
      </c>
      <c r="L258" t="s">
        <v>21</v>
      </c>
      <c r="M258" s="3">
        <v>42</v>
      </c>
      <c r="N258" s="2">
        <v>3500</v>
      </c>
      <c r="O258" t="str">
        <f t="shared" ref="O258:O321" si="8">IF($F258&lt;=100, "&lt;=100", IF($F258&lt;=200, "100-200", IF($F258&lt;=300, "200-300", IF($F258&lt;=500, "300-500", IF($F258&lt;1000, "500-1000", "1000+")))))</f>
        <v>&lt;=100</v>
      </c>
      <c r="P258" t="str">
        <f t="shared" ref="P258:P321" si="9">IF(N258&lt;=1000, "&lt;= 1000$", IF(N258&lt;=2000, " &lt;=2000$", IF(N258&lt;=5000, "&lt;=5000$", IF(N258&lt;=10000, "&lt;= 10000$", IF(N258&lt;=20000, "&lt;= 20000$", IF(N258&lt;40000, "&lt;= 40000$", "40000$ +"))))))</f>
        <v>&lt;=5000$</v>
      </c>
    </row>
    <row r="259" spans="1:16" x14ac:dyDescent="0.25">
      <c r="A259">
        <v>285</v>
      </c>
      <c r="B259" t="s">
        <v>99</v>
      </c>
      <c r="C259" t="s">
        <v>360</v>
      </c>
      <c r="D259" t="s">
        <v>32</v>
      </c>
      <c r="E259" t="s">
        <v>17</v>
      </c>
      <c r="F259" s="3">
        <v>50</v>
      </c>
      <c r="G259">
        <v>40</v>
      </c>
      <c r="H259">
        <v>9.85</v>
      </c>
      <c r="I259">
        <v>20</v>
      </c>
      <c r="J259" t="s">
        <v>44</v>
      </c>
      <c r="K259" t="s">
        <v>20</v>
      </c>
      <c r="L259" t="s">
        <v>21</v>
      </c>
      <c r="M259" s="3">
        <v>42</v>
      </c>
      <c r="N259" s="2">
        <v>2750</v>
      </c>
      <c r="O259" t="str">
        <f t="shared" si="8"/>
        <v>&lt;=100</v>
      </c>
      <c r="P259" t="str">
        <f t="shared" si="9"/>
        <v>&lt;=5000$</v>
      </c>
    </row>
    <row r="260" spans="1:16" x14ac:dyDescent="0.25">
      <c r="A260">
        <v>286</v>
      </c>
      <c r="B260" t="s">
        <v>99</v>
      </c>
      <c r="C260" t="s">
        <v>360</v>
      </c>
      <c r="D260" t="s">
        <v>32</v>
      </c>
      <c r="E260" t="s">
        <v>17</v>
      </c>
      <c r="F260" s="3">
        <v>50</v>
      </c>
      <c r="G260">
        <v>40</v>
      </c>
      <c r="H260">
        <v>9.85</v>
      </c>
      <c r="I260">
        <v>20</v>
      </c>
      <c r="J260" t="s">
        <v>19</v>
      </c>
      <c r="K260" t="s">
        <v>20</v>
      </c>
      <c r="L260" t="s">
        <v>21</v>
      </c>
      <c r="M260" s="3">
        <v>38</v>
      </c>
      <c r="N260" s="2">
        <v>2700</v>
      </c>
      <c r="O260" t="str">
        <f t="shared" si="8"/>
        <v>&lt;=100</v>
      </c>
      <c r="P260" t="str">
        <f t="shared" si="9"/>
        <v>&lt;=5000$</v>
      </c>
    </row>
    <row r="261" spans="1:16" x14ac:dyDescent="0.25">
      <c r="A261">
        <v>287</v>
      </c>
      <c r="B261" t="s">
        <v>23</v>
      </c>
      <c r="C261" t="s">
        <v>361</v>
      </c>
      <c r="D261" t="s">
        <v>16</v>
      </c>
      <c r="E261" t="s">
        <v>17</v>
      </c>
      <c r="F261" s="3">
        <v>50</v>
      </c>
      <c r="G261">
        <v>42</v>
      </c>
      <c r="H261">
        <v>13.5</v>
      </c>
      <c r="I261">
        <v>20</v>
      </c>
      <c r="J261" t="s">
        <v>19</v>
      </c>
      <c r="K261" t="s">
        <v>20</v>
      </c>
      <c r="L261" t="s">
        <v>35</v>
      </c>
      <c r="M261" s="3">
        <v>60</v>
      </c>
      <c r="N261" s="2">
        <v>6800</v>
      </c>
      <c r="O261" t="str">
        <f t="shared" si="8"/>
        <v>&lt;=100</v>
      </c>
      <c r="P261" t="str">
        <f t="shared" si="9"/>
        <v>&lt;= 10000$</v>
      </c>
    </row>
    <row r="262" spans="1:16" x14ac:dyDescent="0.25">
      <c r="A262">
        <v>288</v>
      </c>
      <c r="B262" t="s">
        <v>23</v>
      </c>
      <c r="C262" t="s">
        <v>361</v>
      </c>
      <c r="D262" t="s">
        <v>16</v>
      </c>
      <c r="E262" t="s">
        <v>17</v>
      </c>
      <c r="F262" s="3">
        <v>50</v>
      </c>
      <c r="G262">
        <v>42</v>
      </c>
      <c r="H262">
        <v>13.5</v>
      </c>
      <c r="I262">
        <v>20</v>
      </c>
      <c r="J262" t="s">
        <v>19</v>
      </c>
      <c r="K262" t="s">
        <v>20</v>
      </c>
      <c r="L262" t="s">
        <v>35</v>
      </c>
      <c r="M262" s="3">
        <v>60</v>
      </c>
      <c r="N262" s="2">
        <v>6500</v>
      </c>
      <c r="O262" t="str">
        <f t="shared" si="8"/>
        <v>&lt;=100</v>
      </c>
      <c r="P262" t="str">
        <f t="shared" si="9"/>
        <v>&lt;= 10000$</v>
      </c>
    </row>
    <row r="263" spans="1:16" x14ac:dyDescent="0.25">
      <c r="A263">
        <v>289</v>
      </c>
      <c r="B263" t="s">
        <v>23</v>
      </c>
      <c r="C263" t="s">
        <v>361</v>
      </c>
      <c r="D263" t="s">
        <v>16</v>
      </c>
      <c r="E263" t="s">
        <v>17</v>
      </c>
      <c r="F263" s="3">
        <v>50</v>
      </c>
      <c r="G263">
        <v>42</v>
      </c>
      <c r="H263">
        <v>13.7</v>
      </c>
      <c r="I263">
        <v>20</v>
      </c>
      <c r="J263" t="s">
        <v>19</v>
      </c>
      <c r="K263" t="s">
        <v>20</v>
      </c>
      <c r="L263" t="s">
        <v>83</v>
      </c>
      <c r="M263" s="3">
        <v>60</v>
      </c>
      <c r="N263" s="2">
        <v>6500</v>
      </c>
      <c r="O263" t="str">
        <f t="shared" si="8"/>
        <v>&lt;=100</v>
      </c>
      <c r="P263" t="str">
        <f t="shared" si="9"/>
        <v>&lt;= 10000$</v>
      </c>
    </row>
    <row r="264" spans="1:16" x14ac:dyDescent="0.25">
      <c r="A264">
        <v>290</v>
      </c>
      <c r="B264" t="s">
        <v>23</v>
      </c>
      <c r="C264" t="s">
        <v>362</v>
      </c>
      <c r="D264" t="s">
        <v>26</v>
      </c>
      <c r="E264" t="s">
        <v>17</v>
      </c>
      <c r="F264" s="3">
        <v>600</v>
      </c>
      <c r="G264">
        <v>43.5</v>
      </c>
      <c r="H264">
        <v>14.47</v>
      </c>
      <c r="I264">
        <v>21</v>
      </c>
      <c r="J264" t="s">
        <v>28</v>
      </c>
      <c r="K264" t="s">
        <v>20</v>
      </c>
      <c r="L264" t="s">
        <v>21</v>
      </c>
      <c r="M264" s="3">
        <v>60</v>
      </c>
      <c r="N264" s="2">
        <v>5800</v>
      </c>
      <c r="O264" t="str">
        <f t="shared" si="8"/>
        <v>500-1000</v>
      </c>
      <c r="P264" t="str">
        <f t="shared" si="9"/>
        <v>&lt;= 10000$</v>
      </c>
    </row>
    <row r="265" spans="1:16" x14ac:dyDescent="0.25">
      <c r="A265">
        <v>291</v>
      </c>
      <c r="B265" t="s">
        <v>23</v>
      </c>
      <c r="C265" t="s">
        <v>362</v>
      </c>
      <c r="D265" t="s">
        <v>26</v>
      </c>
      <c r="E265" t="s">
        <v>17</v>
      </c>
      <c r="F265" s="3">
        <v>600</v>
      </c>
      <c r="G265">
        <v>43.5</v>
      </c>
      <c r="H265">
        <v>14.47</v>
      </c>
      <c r="I265">
        <v>21</v>
      </c>
      <c r="J265" t="s">
        <v>28</v>
      </c>
      <c r="K265" t="s">
        <v>20</v>
      </c>
      <c r="L265" t="s">
        <v>21</v>
      </c>
      <c r="M265" s="3">
        <v>60</v>
      </c>
      <c r="N265" s="2">
        <v>5800</v>
      </c>
      <c r="O265" t="str">
        <f t="shared" si="8"/>
        <v>500-1000</v>
      </c>
      <c r="P265" t="str">
        <f t="shared" si="9"/>
        <v>&lt;= 10000$</v>
      </c>
    </row>
    <row r="266" spans="1:16" x14ac:dyDescent="0.25">
      <c r="A266">
        <v>299</v>
      </c>
      <c r="B266" t="s">
        <v>23</v>
      </c>
      <c r="C266" t="s">
        <v>361</v>
      </c>
      <c r="D266" t="s">
        <v>16</v>
      </c>
      <c r="E266" t="s">
        <v>17</v>
      </c>
      <c r="F266" s="3">
        <v>50</v>
      </c>
      <c r="G266">
        <v>42</v>
      </c>
      <c r="H266">
        <v>13.75</v>
      </c>
      <c r="I266">
        <v>20</v>
      </c>
      <c r="J266" t="s">
        <v>19</v>
      </c>
      <c r="K266" t="s">
        <v>20</v>
      </c>
      <c r="L266" t="s">
        <v>141</v>
      </c>
      <c r="M266" s="3">
        <v>48</v>
      </c>
      <c r="N266" s="2">
        <v>5300</v>
      </c>
      <c r="O266" t="str">
        <f t="shared" si="8"/>
        <v>&lt;=100</v>
      </c>
      <c r="P266" t="str">
        <f t="shared" si="9"/>
        <v>&lt;= 10000$</v>
      </c>
    </row>
    <row r="267" spans="1:16" x14ac:dyDescent="0.25">
      <c r="A267">
        <v>302</v>
      </c>
      <c r="B267" t="s">
        <v>23</v>
      </c>
      <c r="C267" t="s">
        <v>361</v>
      </c>
      <c r="D267" t="s">
        <v>16</v>
      </c>
      <c r="E267" t="s">
        <v>17</v>
      </c>
      <c r="F267" s="3">
        <v>50</v>
      </c>
      <c r="G267">
        <v>42</v>
      </c>
      <c r="H267">
        <v>14.3</v>
      </c>
      <c r="I267">
        <v>20</v>
      </c>
      <c r="J267" t="s">
        <v>19</v>
      </c>
      <c r="K267" t="s">
        <v>106</v>
      </c>
      <c r="L267" t="s">
        <v>35</v>
      </c>
      <c r="M267" s="3">
        <v>48</v>
      </c>
      <c r="N267" s="2">
        <v>5000</v>
      </c>
      <c r="O267" t="str">
        <f t="shared" si="8"/>
        <v>&lt;=100</v>
      </c>
      <c r="P267" t="str">
        <f t="shared" si="9"/>
        <v>&lt;=5000$</v>
      </c>
    </row>
    <row r="268" spans="1:16" x14ac:dyDescent="0.25">
      <c r="A268">
        <v>303</v>
      </c>
      <c r="B268" t="s">
        <v>23</v>
      </c>
      <c r="C268" t="s">
        <v>361</v>
      </c>
      <c r="D268" t="s">
        <v>16</v>
      </c>
      <c r="E268" t="s">
        <v>17</v>
      </c>
      <c r="F268" s="3">
        <v>50</v>
      </c>
      <c r="G268">
        <v>42</v>
      </c>
      <c r="H268">
        <v>13.7</v>
      </c>
      <c r="I268">
        <v>20</v>
      </c>
      <c r="J268" t="s">
        <v>19</v>
      </c>
      <c r="K268" t="s">
        <v>106</v>
      </c>
      <c r="L268" t="s">
        <v>35</v>
      </c>
      <c r="M268" s="3">
        <v>48</v>
      </c>
      <c r="N268" s="2">
        <v>4950</v>
      </c>
      <c r="O268" t="str">
        <f t="shared" si="8"/>
        <v>&lt;=100</v>
      </c>
      <c r="P268" t="str">
        <f t="shared" si="9"/>
        <v>&lt;=5000$</v>
      </c>
    </row>
    <row r="269" spans="1:16" x14ac:dyDescent="0.25">
      <c r="A269">
        <v>304</v>
      </c>
      <c r="B269" t="s">
        <v>23</v>
      </c>
      <c r="C269" t="s">
        <v>364</v>
      </c>
      <c r="D269" t="s">
        <v>16</v>
      </c>
      <c r="E269" t="s">
        <v>17</v>
      </c>
      <c r="F269" s="3">
        <v>100</v>
      </c>
      <c r="G269">
        <v>39</v>
      </c>
      <c r="H269">
        <v>10.6</v>
      </c>
      <c r="I269">
        <v>20</v>
      </c>
      <c r="J269" t="s">
        <v>19</v>
      </c>
      <c r="K269" t="s">
        <v>20</v>
      </c>
      <c r="L269" t="s">
        <v>21</v>
      </c>
      <c r="M269" s="3">
        <v>50</v>
      </c>
      <c r="N269" s="2">
        <v>4800</v>
      </c>
      <c r="O269" t="str">
        <f t="shared" si="8"/>
        <v>&lt;=100</v>
      </c>
      <c r="P269" t="str">
        <f t="shared" si="9"/>
        <v>&lt;=5000$</v>
      </c>
    </row>
    <row r="270" spans="1:16" x14ac:dyDescent="0.25">
      <c r="A270">
        <v>305</v>
      </c>
      <c r="B270" t="s">
        <v>23</v>
      </c>
      <c r="C270" t="s">
        <v>365</v>
      </c>
      <c r="D270" t="s">
        <v>16</v>
      </c>
      <c r="E270" t="s">
        <v>17</v>
      </c>
      <c r="F270" s="3">
        <v>150</v>
      </c>
      <c r="G270">
        <v>41.5</v>
      </c>
      <c r="H270">
        <v>13</v>
      </c>
      <c r="I270">
        <v>20</v>
      </c>
      <c r="J270" t="s">
        <v>44</v>
      </c>
      <c r="K270" t="s">
        <v>20</v>
      </c>
      <c r="L270" t="s">
        <v>21</v>
      </c>
      <c r="M270" s="3">
        <v>60</v>
      </c>
      <c r="N270" s="2">
        <v>4700</v>
      </c>
      <c r="O270" t="str">
        <f t="shared" si="8"/>
        <v>100-200</v>
      </c>
      <c r="P270" t="str">
        <f t="shared" si="9"/>
        <v>&lt;=5000$</v>
      </c>
    </row>
    <row r="271" spans="1:16" x14ac:dyDescent="0.25">
      <c r="A271">
        <v>306</v>
      </c>
      <c r="B271" t="s">
        <v>23</v>
      </c>
      <c r="C271" t="s">
        <v>361</v>
      </c>
      <c r="D271" t="s">
        <v>16</v>
      </c>
      <c r="E271" t="s">
        <v>17</v>
      </c>
      <c r="F271" s="3">
        <v>50</v>
      </c>
      <c r="G271">
        <v>42</v>
      </c>
      <c r="H271">
        <v>14.5</v>
      </c>
      <c r="I271">
        <v>20</v>
      </c>
      <c r="J271" t="s">
        <v>19</v>
      </c>
      <c r="K271" t="s">
        <v>20</v>
      </c>
      <c r="L271" t="s">
        <v>83</v>
      </c>
      <c r="M271" s="3">
        <v>60</v>
      </c>
      <c r="N271" s="2">
        <v>4500</v>
      </c>
      <c r="O271" t="str">
        <f t="shared" si="8"/>
        <v>&lt;=100</v>
      </c>
      <c r="P271" t="str">
        <f t="shared" si="9"/>
        <v>&lt;=5000$</v>
      </c>
    </row>
    <row r="272" spans="1:16" x14ac:dyDescent="0.25">
      <c r="A272">
        <v>310</v>
      </c>
      <c r="B272" t="s">
        <v>65</v>
      </c>
      <c r="C272" t="s">
        <v>366</v>
      </c>
      <c r="D272" t="s">
        <v>67</v>
      </c>
      <c r="E272" t="s">
        <v>17</v>
      </c>
      <c r="F272" s="3">
        <v>100</v>
      </c>
      <c r="G272">
        <v>41</v>
      </c>
      <c r="H272">
        <v>12</v>
      </c>
      <c r="I272">
        <v>20</v>
      </c>
      <c r="J272" t="s">
        <v>19</v>
      </c>
      <c r="K272" t="s">
        <v>20</v>
      </c>
      <c r="L272" t="s">
        <v>68</v>
      </c>
      <c r="M272" s="3">
        <v>38</v>
      </c>
      <c r="N272" s="2">
        <v>1800</v>
      </c>
      <c r="O272" t="str">
        <f t="shared" si="8"/>
        <v>&lt;=100</v>
      </c>
      <c r="P272" t="str">
        <f t="shared" si="9"/>
        <v xml:space="preserve"> &lt;=2000$</v>
      </c>
    </row>
    <row r="273" spans="1:16" x14ac:dyDescent="0.25">
      <c r="A273">
        <v>311</v>
      </c>
      <c r="B273" t="s">
        <v>65</v>
      </c>
      <c r="C273" t="s">
        <v>367</v>
      </c>
      <c r="D273" t="s">
        <v>32</v>
      </c>
      <c r="E273" t="s">
        <v>17</v>
      </c>
      <c r="F273" s="3">
        <v>100</v>
      </c>
      <c r="G273">
        <v>40</v>
      </c>
      <c r="H273">
        <v>12.9</v>
      </c>
      <c r="I273">
        <v>20</v>
      </c>
      <c r="J273" t="s">
        <v>28</v>
      </c>
      <c r="K273" t="s">
        <v>20</v>
      </c>
      <c r="L273" t="s">
        <v>21</v>
      </c>
      <c r="M273" s="3">
        <v>38</v>
      </c>
      <c r="N273" s="2">
        <v>1500</v>
      </c>
      <c r="O273" t="str">
        <f t="shared" si="8"/>
        <v>&lt;=100</v>
      </c>
      <c r="P273" t="str">
        <f t="shared" si="9"/>
        <v xml:space="preserve"> &lt;=2000$</v>
      </c>
    </row>
    <row r="274" spans="1:16" x14ac:dyDescent="0.25">
      <c r="A274">
        <v>312</v>
      </c>
      <c r="B274" t="s">
        <v>86</v>
      </c>
      <c r="C274" t="s">
        <v>368</v>
      </c>
      <c r="D274" t="s">
        <v>26</v>
      </c>
      <c r="E274" t="s">
        <v>17</v>
      </c>
      <c r="F274" s="3">
        <v>300</v>
      </c>
      <c r="G274">
        <v>44</v>
      </c>
      <c r="H274">
        <v>15.65</v>
      </c>
      <c r="I274">
        <v>24</v>
      </c>
      <c r="J274" t="s">
        <v>19</v>
      </c>
      <c r="K274" t="s">
        <v>20</v>
      </c>
      <c r="L274" t="s">
        <v>21</v>
      </c>
      <c r="M274" s="3">
        <v>72</v>
      </c>
      <c r="N274" s="2">
        <v>9600</v>
      </c>
      <c r="O274" t="str">
        <f t="shared" si="8"/>
        <v>200-300</v>
      </c>
      <c r="P274" t="str">
        <f t="shared" si="9"/>
        <v>&lt;= 10000$</v>
      </c>
    </row>
    <row r="275" spans="1:16" x14ac:dyDescent="0.25">
      <c r="A275">
        <v>313</v>
      </c>
      <c r="B275" t="s">
        <v>86</v>
      </c>
      <c r="C275" t="s">
        <v>368</v>
      </c>
      <c r="D275" t="s">
        <v>32</v>
      </c>
      <c r="E275" t="s">
        <v>17</v>
      </c>
      <c r="F275" s="3">
        <v>300</v>
      </c>
      <c r="G275">
        <v>44</v>
      </c>
      <c r="H275">
        <v>16.149999999999999</v>
      </c>
      <c r="I275">
        <v>24</v>
      </c>
      <c r="J275" t="s">
        <v>19</v>
      </c>
      <c r="K275" t="s">
        <v>20</v>
      </c>
      <c r="L275" t="s">
        <v>45</v>
      </c>
      <c r="M275" s="3">
        <v>72</v>
      </c>
      <c r="N275" s="2">
        <v>9500</v>
      </c>
      <c r="O275" t="str">
        <f t="shared" si="8"/>
        <v>200-300</v>
      </c>
      <c r="P275" t="str">
        <f t="shared" si="9"/>
        <v>&lt;= 10000$</v>
      </c>
    </row>
    <row r="276" spans="1:16" x14ac:dyDescent="0.25">
      <c r="A276">
        <v>314</v>
      </c>
      <c r="B276" t="s">
        <v>86</v>
      </c>
      <c r="C276" t="s">
        <v>369</v>
      </c>
      <c r="D276" t="s">
        <v>26</v>
      </c>
      <c r="E276" t="s">
        <v>17</v>
      </c>
      <c r="F276" s="3">
        <v>300</v>
      </c>
      <c r="G276">
        <v>44</v>
      </c>
      <c r="H276">
        <v>15.65</v>
      </c>
      <c r="I276">
        <v>24</v>
      </c>
      <c r="J276" t="s">
        <v>19</v>
      </c>
      <c r="K276" t="s">
        <v>20</v>
      </c>
      <c r="L276" t="s">
        <v>45</v>
      </c>
      <c r="M276" s="3">
        <v>72</v>
      </c>
      <c r="N276" s="2">
        <v>9500</v>
      </c>
      <c r="O276" t="str">
        <f t="shared" si="8"/>
        <v>200-300</v>
      </c>
      <c r="P276" t="str">
        <f t="shared" si="9"/>
        <v>&lt;= 10000$</v>
      </c>
    </row>
    <row r="277" spans="1:16" x14ac:dyDescent="0.25">
      <c r="A277">
        <v>315</v>
      </c>
      <c r="B277" t="s">
        <v>86</v>
      </c>
      <c r="C277" t="s">
        <v>370</v>
      </c>
      <c r="D277" t="s">
        <v>32</v>
      </c>
      <c r="E277" t="s">
        <v>17</v>
      </c>
      <c r="F277" s="3">
        <v>300</v>
      </c>
      <c r="G277">
        <v>44</v>
      </c>
      <c r="H277">
        <v>13.05</v>
      </c>
      <c r="I277">
        <v>24</v>
      </c>
      <c r="J277" t="s">
        <v>19</v>
      </c>
      <c r="K277" t="s">
        <v>20</v>
      </c>
      <c r="L277" t="s">
        <v>144</v>
      </c>
      <c r="M277" s="3">
        <v>72</v>
      </c>
      <c r="N277" s="2">
        <v>8900</v>
      </c>
      <c r="O277" t="str">
        <f t="shared" si="8"/>
        <v>200-300</v>
      </c>
      <c r="P277" t="str">
        <f t="shared" si="9"/>
        <v>&lt;= 10000$</v>
      </c>
    </row>
    <row r="278" spans="1:16" x14ac:dyDescent="0.25">
      <c r="A278">
        <v>316</v>
      </c>
      <c r="B278" t="s">
        <v>86</v>
      </c>
      <c r="C278" t="s">
        <v>370</v>
      </c>
      <c r="D278" t="s">
        <v>32</v>
      </c>
      <c r="E278" t="s">
        <v>17</v>
      </c>
      <c r="F278" s="3">
        <v>300</v>
      </c>
      <c r="G278">
        <v>44</v>
      </c>
      <c r="H278">
        <v>13.05</v>
      </c>
      <c r="I278">
        <v>22</v>
      </c>
      <c r="J278" t="s">
        <v>19</v>
      </c>
      <c r="K278" t="s">
        <v>20</v>
      </c>
      <c r="L278" t="s">
        <v>21</v>
      </c>
      <c r="M278" s="3">
        <v>72</v>
      </c>
      <c r="N278" s="2">
        <v>8900</v>
      </c>
      <c r="O278" t="str">
        <f t="shared" si="8"/>
        <v>200-300</v>
      </c>
      <c r="P278" t="str">
        <f t="shared" si="9"/>
        <v>&lt;= 10000$</v>
      </c>
    </row>
    <row r="279" spans="1:16" x14ac:dyDescent="0.25">
      <c r="A279">
        <v>317</v>
      </c>
      <c r="B279" t="s">
        <v>86</v>
      </c>
      <c r="C279" t="s">
        <v>370</v>
      </c>
      <c r="D279" t="s">
        <v>32</v>
      </c>
      <c r="E279" t="s">
        <v>17</v>
      </c>
      <c r="F279" s="3">
        <v>300</v>
      </c>
      <c r="G279">
        <v>44</v>
      </c>
      <c r="H279">
        <v>15.65</v>
      </c>
      <c r="I279">
        <v>24</v>
      </c>
      <c r="J279" t="s">
        <v>19</v>
      </c>
      <c r="K279" t="s">
        <v>20</v>
      </c>
      <c r="L279" t="s">
        <v>45</v>
      </c>
      <c r="M279" s="3">
        <v>72</v>
      </c>
      <c r="N279" s="2">
        <v>8500</v>
      </c>
      <c r="O279" t="str">
        <f t="shared" si="8"/>
        <v>200-300</v>
      </c>
      <c r="P279" t="str">
        <f t="shared" si="9"/>
        <v>&lt;= 10000$</v>
      </c>
    </row>
    <row r="280" spans="1:16" x14ac:dyDescent="0.25">
      <c r="A280">
        <v>318</v>
      </c>
      <c r="B280" t="s">
        <v>86</v>
      </c>
      <c r="C280" t="s">
        <v>368</v>
      </c>
      <c r="D280" t="s">
        <v>26</v>
      </c>
      <c r="E280" t="s">
        <v>17</v>
      </c>
      <c r="F280" s="3">
        <v>300</v>
      </c>
      <c r="G280">
        <v>44</v>
      </c>
      <c r="H280">
        <v>13.05</v>
      </c>
      <c r="I280">
        <v>24</v>
      </c>
      <c r="J280" t="s">
        <v>19</v>
      </c>
      <c r="K280" t="s">
        <v>20</v>
      </c>
      <c r="L280" t="s">
        <v>45</v>
      </c>
      <c r="M280" s="3">
        <v>72</v>
      </c>
      <c r="N280" s="2">
        <v>8500</v>
      </c>
      <c r="O280" t="str">
        <f t="shared" si="8"/>
        <v>200-300</v>
      </c>
      <c r="P280" t="str">
        <f t="shared" si="9"/>
        <v>&lt;= 10000$</v>
      </c>
    </row>
    <row r="281" spans="1:16" x14ac:dyDescent="0.25">
      <c r="A281">
        <v>320</v>
      </c>
      <c r="B281" t="s">
        <v>86</v>
      </c>
      <c r="C281" t="s">
        <v>370</v>
      </c>
      <c r="D281" t="s">
        <v>32</v>
      </c>
      <c r="E281" t="s">
        <v>17</v>
      </c>
      <c r="F281" s="3">
        <v>300</v>
      </c>
      <c r="G281">
        <v>44</v>
      </c>
      <c r="H281">
        <v>15.65</v>
      </c>
      <c r="I281">
        <v>24</v>
      </c>
      <c r="J281" t="s">
        <v>19</v>
      </c>
      <c r="K281" t="s">
        <v>20</v>
      </c>
      <c r="L281" t="s">
        <v>21</v>
      </c>
      <c r="M281" s="3">
        <v>72</v>
      </c>
      <c r="N281" s="2">
        <v>8000</v>
      </c>
      <c r="O281" t="str">
        <f t="shared" si="8"/>
        <v>200-300</v>
      </c>
      <c r="P281" t="str">
        <f t="shared" si="9"/>
        <v>&lt;= 10000$</v>
      </c>
    </row>
    <row r="282" spans="1:16" x14ac:dyDescent="0.25">
      <c r="A282">
        <v>322</v>
      </c>
      <c r="B282" t="s">
        <v>86</v>
      </c>
      <c r="C282" t="s">
        <v>372</v>
      </c>
      <c r="D282" t="s">
        <v>32</v>
      </c>
      <c r="E282" t="s">
        <v>17</v>
      </c>
      <c r="F282" s="3">
        <v>300</v>
      </c>
      <c r="G282">
        <v>42</v>
      </c>
      <c r="H282">
        <v>13.2</v>
      </c>
      <c r="I282">
        <v>22</v>
      </c>
      <c r="J282" t="s">
        <v>19</v>
      </c>
      <c r="K282" t="s">
        <v>20</v>
      </c>
      <c r="L282" t="s">
        <v>21</v>
      </c>
      <c r="M282" s="3">
        <v>72</v>
      </c>
      <c r="N282" s="2">
        <v>7500</v>
      </c>
      <c r="O282" t="str">
        <f t="shared" si="8"/>
        <v>200-300</v>
      </c>
      <c r="P282" t="str">
        <f t="shared" si="9"/>
        <v>&lt;= 10000$</v>
      </c>
    </row>
    <row r="283" spans="1:16" x14ac:dyDescent="0.25">
      <c r="A283">
        <v>323</v>
      </c>
      <c r="B283" t="s">
        <v>86</v>
      </c>
      <c r="C283" t="s">
        <v>368</v>
      </c>
      <c r="D283" t="s">
        <v>32</v>
      </c>
      <c r="E283" t="s">
        <v>17</v>
      </c>
      <c r="F283" s="3">
        <v>100</v>
      </c>
      <c r="G283">
        <v>44</v>
      </c>
      <c r="H283">
        <v>15.65</v>
      </c>
      <c r="I283">
        <v>24</v>
      </c>
      <c r="J283" t="s">
        <v>19</v>
      </c>
      <c r="K283" t="s">
        <v>20</v>
      </c>
      <c r="L283" t="s">
        <v>45</v>
      </c>
      <c r="M283" s="3">
        <v>72</v>
      </c>
      <c r="N283" s="2">
        <v>7500</v>
      </c>
      <c r="O283" t="str">
        <f t="shared" si="8"/>
        <v>&lt;=100</v>
      </c>
      <c r="P283" t="str">
        <f t="shared" si="9"/>
        <v>&lt;= 10000$</v>
      </c>
    </row>
    <row r="284" spans="1:16" x14ac:dyDescent="0.25">
      <c r="A284">
        <v>324</v>
      </c>
      <c r="B284" t="s">
        <v>86</v>
      </c>
      <c r="C284" t="s">
        <v>370</v>
      </c>
      <c r="D284" t="s">
        <v>32</v>
      </c>
      <c r="E284" t="s">
        <v>17</v>
      </c>
      <c r="F284" s="3">
        <v>300</v>
      </c>
      <c r="G284">
        <v>44</v>
      </c>
      <c r="H284">
        <v>15.65</v>
      </c>
      <c r="I284">
        <v>22</v>
      </c>
      <c r="J284" t="s">
        <v>19</v>
      </c>
      <c r="K284" t="s">
        <v>20</v>
      </c>
      <c r="L284" t="s">
        <v>68</v>
      </c>
      <c r="M284" s="3">
        <v>72</v>
      </c>
      <c r="N284" s="2">
        <v>7500</v>
      </c>
      <c r="O284" t="str">
        <f t="shared" si="8"/>
        <v>200-300</v>
      </c>
      <c r="P284" t="str">
        <f t="shared" si="9"/>
        <v>&lt;= 10000$</v>
      </c>
    </row>
    <row r="285" spans="1:16" x14ac:dyDescent="0.25">
      <c r="A285">
        <v>325</v>
      </c>
      <c r="B285" t="s">
        <v>86</v>
      </c>
      <c r="C285" t="s">
        <v>368</v>
      </c>
      <c r="D285" t="s">
        <v>26</v>
      </c>
      <c r="E285" t="s">
        <v>17</v>
      </c>
      <c r="F285" s="3">
        <v>300</v>
      </c>
      <c r="G285">
        <v>44</v>
      </c>
      <c r="H285">
        <v>13.05</v>
      </c>
      <c r="I285">
        <v>24</v>
      </c>
      <c r="J285" t="s">
        <v>19</v>
      </c>
      <c r="K285" t="s">
        <v>20</v>
      </c>
      <c r="L285" t="s">
        <v>238</v>
      </c>
      <c r="M285" s="3">
        <v>72</v>
      </c>
      <c r="N285" s="2">
        <v>7500</v>
      </c>
      <c r="O285" t="str">
        <f t="shared" si="8"/>
        <v>200-300</v>
      </c>
      <c r="P285" t="str">
        <f t="shared" si="9"/>
        <v>&lt;= 10000$</v>
      </c>
    </row>
    <row r="286" spans="1:16" x14ac:dyDescent="0.25">
      <c r="A286">
        <v>327</v>
      </c>
      <c r="B286" t="s">
        <v>86</v>
      </c>
      <c r="C286" t="s">
        <v>372</v>
      </c>
      <c r="D286" t="s">
        <v>32</v>
      </c>
      <c r="E286" t="s">
        <v>17</v>
      </c>
      <c r="F286" s="3">
        <v>300</v>
      </c>
      <c r="G286">
        <v>42</v>
      </c>
      <c r="H286">
        <v>14.5</v>
      </c>
      <c r="I286">
        <v>22</v>
      </c>
      <c r="J286" t="s">
        <v>19</v>
      </c>
      <c r="K286" t="s">
        <v>20</v>
      </c>
      <c r="L286" t="s">
        <v>21</v>
      </c>
      <c r="M286" s="3">
        <v>50</v>
      </c>
      <c r="N286" s="2">
        <v>7200</v>
      </c>
      <c r="O286" t="str">
        <f t="shared" si="8"/>
        <v>200-300</v>
      </c>
      <c r="P286" t="str">
        <f t="shared" si="9"/>
        <v>&lt;= 10000$</v>
      </c>
    </row>
    <row r="287" spans="1:16" x14ac:dyDescent="0.25">
      <c r="A287">
        <v>329</v>
      </c>
      <c r="B287" t="s">
        <v>86</v>
      </c>
      <c r="C287" t="s">
        <v>373</v>
      </c>
      <c r="D287" t="s">
        <v>32</v>
      </c>
      <c r="E287" t="s">
        <v>17</v>
      </c>
      <c r="F287" s="3">
        <v>30</v>
      </c>
      <c r="G287">
        <v>38</v>
      </c>
      <c r="H287">
        <v>11.2</v>
      </c>
      <c r="I287">
        <v>20</v>
      </c>
      <c r="J287" t="s">
        <v>19</v>
      </c>
      <c r="K287" t="s">
        <v>20</v>
      </c>
      <c r="L287" t="s">
        <v>45</v>
      </c>
      <c r="M287" s="3">
        <v>72</v>
      </c>
      <c r="N287" s="2">
        <v>6500</v>
      </c>
      <c r="O287" t="str">
        <f t="shared" si="8"/>
        <v>&lt;=100</v>
      </c>
      <c r="P287" t="str">
        <f t="shared" si="9"/>
        <v>&lt;= 10000$</v>
      </c>
    </row>
    <row r="288" spans="1:16" x14ac:dyDescent="0.25">
      <c r="A288">
        <v>330</v>
      </c>
      <c r="B288" t="s">
        <v>86</v>
      </c>
      <c r="C288" t="s">
        <v>370</v>
      </c>
      <c r="D288" t="s">
        <v>32</v>
      </c>
      <c r="E288" t="s">
        <v>17</v>
      </c>
      <c r="F288" s="3">
        <v>300</v>
      </c>
      <c r="G288">
        <v>44</v>
      </c>
      <c r="H288">
        <v>13.05</v>
      </c>
      <c r="I288">
        <v>24</v>
      </c>
      <c r="J288" t="s">
        <v>19</v>
      </c>
      <c r="K288" t="s">
        <v>20</v>
      </c>
      <c r="L288" t="s">
        <v>45</v>
      </c>
      <c r="M288" s="3">
        <v>72</v>
      </c>
      <c r="N288" s="2">
        <v>6500</v>
      </c>
      <c r="O288" t="str">
        <f t="shared" si="8"/>
        <v>200-300</v>
      </c>
      <c r="P288" t="str">
        <f t="shared" si="9"/>
        <v>&lt;= 10000$</v>
      </c>
    </row>
    <row r="289" spans="1:16" x14ac:dyDescent="0.25">
      <c r="A289">
        <v>331</v>
      </c>
      <c r="B289" t="s">
        <v>86</v>
      </c>
      <c r="C289" t="s">
        <v>370</v>
      </c>
      <c r="D289" t="s">
        <v>32</v>
      </c>
      <c r="E289" t="s">
        <v>17</v>
      </c>
      <c r="F289" s="3">
        <v>300</v>
      </c>
      <c r="G289">
        <v>44</v>
      </c>
      <c r="H289">
        <v>15.65</v>
      </c>
      <c r="I289">
        <v>24</v>
      </c>
      <c r="J289" t="s">
        <v>19</v>
      </c>
      <c r="K289" t="s">
        <v>20</v>
      </c>
      <c r="L289" t="s">
        <v>21</v>
      </c>
      <c r="M289" s="3">
        <v>72</v>
      </c>
      <c r="N289" s="2">
        <v>6500</v>
      </c>
      <c r="O289" t="str">
        <f t="shared" si="8"/>
        <v>200-300</v>
      </c>
      <c r="P289" t="str">
        <f t="shared" si="9"/>
        <v>&lt;= 10000$</v>
      </c>
    </row>
    <row r="290" spans="1:16" x14ac:dyDescent="0.25">
      <c r="A290">
        <v>337</v>
      </c>
      <c r="B290" t="s">
        <v>135</v>
      </c>
      <c r="C290" t="s">
        <v>376</v>
      </c>
      <c r="D290" t="s">
        <v>16</v>
      </c>
      <c r="E290" t="s">
        <v>17</v>
      </c>
      <c r="F290" s="3">
        <v>120</v>
      </c>
      <c r="G290">
        <v>40.5</v>
      </c>
      <c r="H290">
        <v>8.3000000000000007</v>
      </c>
      <c r="I290">
        <v>22</v>
      </c>
      <c r="J290" t="s">
        <v>28</v>
      </c>
      <c r="K290" t="s">
        <v>20</v>
      </c>
      <c r="L290" t="s">
        <v>139</v>
      </c>
      <c r="M290" s="3">
        <v>45</v>
      </c>
      <c r="N290" s="2">
        <v>70000</v>
      </c>
      <c r="O290" t="str">
        <f t="shared" si="8"/>
        <v>100-200</v>
      </c>
      <c r="P290" t="str">
        <f t="shared" si="9"/>
        <v>40000$ +</v>
      </c>
    </row>
    <row r="291" spans="1:16" x14ac:dyDescent="0.25">
      <c r="A291">
        <v>338</v>
      </c>
      <c r="B291" t="s">
        <v>135</v>
      </c>
      <c r="C291" t="s">
        <v>376</v>
      </c>
      <c r="D291" t="s">
        <v>16</v>
      </c>
      <c r="E291" t="s">
        <v>17</v>
      </c>
      <c r="F291" s="3">
        <v>120</v>
      </c>
      <c r="G291">
        <v>40.5</v>
      </c>
      <c r="H291">
        <v>8.3000000000000007</v>
      </c>
      <c r="I291">
        <v>20</v>
      </c>
      <c r="J291" t="s">
        <v>28</v>
      </c>
      <c r="K291" t="s">
        <v>20</v>
      </c>
      <c r="L291" t="s">
        <v>148</v>
      </c>
      <c r="M291" s="3">
        <v>55</v>
      </c>
      <c r="N291" s="2">
        <v>67000</v>
      </c>
      <c r="O291" t="str">
        <f t="shared" si="8"/>
        <v>100-200</v>
      </c>
      <c r="P291" t="str">
        <f t="shared" si="9"/>
        <v>40000$ +</v>
      </c>
    </row>
    <row r="292" spans="1:16" x14ac:dyDescent="0.25">
      <c r="A292">
        <v>339</v>
      </c>
      <c r="B292" t="s">
        <v>135</v>
      </c>
      <c r="C292" t="s">
        <v>377</v>
      </c>
      <c r="D292" t="s">
        <v>16</v>
      </c>
      <c r="E292" t="s">
        <v>17</v>
      </c>
      <c r="F292" s="3">
        <v>120</v>
      </c>
      <c r="G292">
        <v>40.799999999999997</v>
      </c>
      <c r="H292">
        <v>8.3000000000000007</v>
      </c>
      <c r="I292">
        <v>21</v>
      </c>
      <c r="J292" t="s">
        <v>28</v>
      </c>
      <c r="K292" t="s">
        <v>20</v>
      </c>
      <c r="L292" t="s">
        <v>21</v>
      </c>
      <c r="M292" s="3">
        <v>45</v>
      </c>
      <c r="N292" s="2">
        <v>62500</v>
      </c>
      <c r="O292" t="str">
        <f t="shared" si="8"/>
        <v>100-200</v>
      </c>
      <c r="P292" t="str">
        <f t="shared" si="9"/>
        <v>40000$ +</v>
      </c>
    </row>
    <row r="293" spans="1:16" x14ac:dyDescent="0.25">
      <c r="A293">
        <v>340</v>
      </c>
      <c r="B293" t="s">
        <v>135</v>
      </c>
      <c r="C293" t="s">
        <v>377</v>
      </c>
      <c r="D293" t="s">
        <v>16</v>
      </c>
      <c r="E293" t="s">
        <v>17</v>
      </c>
      <c r="F293" s="3">
        <v>120</v>
      </c>
      <c r="G293">
        <v>40.799999999999997</v>
      </c>
      <c r="H293">
        <v>8.3000000000000007</v>
      </c>
      <c r="I293">
        <v>20</v>
      </c>
      <c r="J293" t="s">
        <v>28</v>
      </c>
      <c r="K293" t="s">
        <v>20</v>
      </c>
      <c r="L293" t="s">
        <v>21</v>
      </c>
      <c r="M293" s="3">
        <v>45</v>
      </c>
      <c r="N293" s="2">
        <v>57000</v>
      </c>
      <c r="O293" t="str">
        <f t="shared" si="8"/>
        <v>100-200</v>
      </c>
      <c r="P293" t="str">
        <f t="shared" si="9"/>
        <v>40000$ +</v>
      </c>
    </row>
    <row r="294" spans="1:16" x14ac:dyDescent="0.25">
      <c r="A294">
        <v>341</v>
      </c>
      <c r="B294" t="s">
        <v>135</v>
      </c>
      <c r="C294" t="s">
        <v>377</v>
      </c>
      <c r="D294" t="s">
        <v>16</v>
      </c>
      <c r="E294" t="s">
        <v>17</v>
      </c>
      <c r="F294" s="3">
        <v>120</v>
      </c>
      <c r="G294">
        <v>40.799999999999997</v>
      </c>
      <c r="H294">
        <v>8.3000000000000007</v>
      </c>
      <c r="I294">
        <v>20</v>
      </c>
      <c r="J294" t="s">
        <v>28</v>
      </c>
      <c r="K294" t="s">
        <v>20</v>
      </c>
      <c r="L294" t="s">
        <v>21</v>
      </c>
      <c r="M294" s="3">
        <v>45</v>
      </c>
      <c r="N294" s="2">
        <v>52000</v>
      </c>
      <c r="O294" t="str">
        <f t="shared" si="8"/>
        <v>100-200</v>
      </c>
      <c r="P294" t="str">
        <f t="shared" si="9"/>
        <v>40000$ +</v>
      </c>
    </row>
    <row r="295" spans="1:16" x14ac:dyDescent="0.25">
      <c r="A295">
        <v>342</v>
      </c>
      <c r="B295" t="s">
        <v>135</v>
      </c>
      <c r="C295" t="s">
        <v>377</v>
      </c>
      <c r="D295" t="s">
        <v>16</v>
      </c>
      <c r="E295" t="s">
        <v>17</v>
      </c>
      <c r="F295" s="3">
        <v>120</v>
      </c>
      <c r="G295">
        <v>40.799999999999997</v>
      </c>
      <c r="H295">
        <v>8.3000000000000007</v>
      </c>
      <c r="I295">
        <v>21</v>
      </c>
      <c r="J295" t="s">
        <v>28</v>
      </c>
      <c r="K295" t="s">
        <v>20</v>
      </c>
      <c r="L295" t="s">
        <v>21</v>
      </c>
      <c r="M295" s="3">
        <v>55</v>
      </c>
      <c r="N295" s="2">
        <v>51000</v>
      </c>
      <c r="O295" t="str">
        <f t="shared" si="8"/>
        <v>100-200</v>
      </c>
      <c r="P295" t="str">
        <f t="shared" si="9"/>
        <v>40000$ +</v>
      </c>
    </row>
    <row r="296" spans="1:16" x14ac:dyDescent="0.25">
      <c r="A296">
        <v>343</v>
      </c>
      <c r="B296" t="s">
        <v>135</v>
      </c>
      <c r="C296" t="s">
        <v>376</v>
      </c>
      <c r="D296" t="s">
        <v>16</v>
      </c>
      <c r="E296" t="s">
        <v>17</v>
      </c>
      <c r="F296" s="3">
        <v>120</v>
      </c>
      <c r="G296">
        <v>40.5</v>
      </c>
      <c r="H296">
        <v>8.3000000000000007</v>
      </c>
      <c r="I296">
        <v>22</v>
      </c>
      <c r="J296" t="s">
        <v>28</v>
      </c>
      <c r="K296" t="s">
        <v>20</v>
      </c>
      <c r="L296" t="s">
        <v>21</v>
      </c>
      <c r="M296" s="3">
        <v>45</v>
      </c>
      <c r="N296" s="2">
        <v>51000</v>
      </c>
      <c r="O296" t="str">
        <f t="shared" si="8"/>
        <v>100-200</v>
      </c>
      <c r="P296" t="str">
        <f t="shared" si="9"/>
        <v>40000$ +</v>
      </c>
    </row>
    <row r="297" spans="1:16" x14ac:dyDescent="0.25">
      <c r="A297">
        <v>344</v>
      </c>
      <c r="B297" t="s">
        <v>135</v>
      </c>
      <c r="C297" t="s">
        <v>376</v>
      </c>
      <c r="D297" t="s">
        <v>16</v>
      </c>
      <c r="E297" t="s">
        <v>17</v>
      </c>
      <c r="F297" s="3">
        <v>120</v>
      </c>
      <c r="G297">
        <v>40.5</v>
      </c>
      <c r="H297">
        <v>8.3000000000000007</v>
      </c>
      <c r="I297">
        <v>20</v>
      </c>
      <c r="J297" t="s">
        <v>28</v>
      </c>
      <c r="K297" t="s">
        <v>20</v>
      </c>
      <c r="L297" t="s">
        <v>21</v>
      </c>
      <c r="M297" s="3">
        <v>45</v>
      </c>
      <c r="N297" s="2">
        <v>49800</v>
      </c>
      <c r="O297" t="str">
        <f t="shared" si="8"/>
        <v>100-200</v>
      </c>
      <c r="P297" t="str">
        <f t="shared" si="9"/>
        <v>40000$ +</v>
      </c>
    </row>
    <row r="298" spans="1:16" x14ac:dyDescent="0.25">
      <c r="A298">
        <v>345</v>
      </c>
      <c r="B298" t="s">
        <v>135</v>
      </c>
      <c r="C298" t="s">
        <v>377</v>
      </c>
      <c r="D298" t="s">
        <v>16</v>
      </c>
      <c r="E298" t="s">
        <v>17</v>
      </c>
      <c r="F298" s="3">
        <v>120</v>
      </c>
      <c r="G298">
        <v>40.799999999999997</v>
      </c>
      <c r="H298">
        <v>8.3000000000000007</v>
      </c>
      <c r="I298">
        <v>20</v>
      </c>
      <c r="J298" t="s">
        <v>28</v>
      </c>
      <c r="K298" t="s">
        <v>20</v>
      </c>
      <c r="L298" t="s">
        <v>21</v>
      </c>
      <c r="M298" s="3">
        <v>45</v>
      </c>
      <c r="N298" s="2">
        <v>47000</v>
      </c>
      <c r="O298" t="str">
        <f t="shared" si="8"/>
        <v>100-200</v>
      </c>
      <c r="P298" t="str">
        <f t="shared" si="9"/>
        <v>40000$ +</v>
      </c>
    </row>
    <row r="299" spans="1:16" x14ac:dyDescent="0.25">
      <c r="A299">
        <v>346</v>
      </c>
      <c r="B299" t="s">
        <v>135</v>
      </c>
      <c r="C299" t="s">
        <v>377</v>
      </c>
      <c r="D299" t="s">
        <v>16</v>
      </c>
      <c r="E299" t="s">
        <v>17</v>
      </c>
      <c r="F299" s="3">
        <v>120</v>
      </c>
      <c r="G299">
        <v>40.799999999999997</v>
      </c>
      <c r="H299">
        <v>8.3000000000000007</v>
      </c>
      <c r="I299">
        <v>20</v>
      </c>
      <c r="J299" t="s">
        <v>28</v>
      </c>
      <c r="K299" t="s">
        <v>20</v>
      </c>
      <c r="L299" t="s">
        <v>139</v>
      </c>
      <c r="M299" s="3">
        <v>48</v>
      </c>
      <c r="N299" s="2">
        <v>44500</v>
      </c>
      <c r="O299" t="str">
        <f t="shared" si="8"/>
        <v>100-200</v>
      </c>
      <c r="P299" t="str">
        <f t="shared" si="9"/>
        <v>40000$ +</v>
      </c>
    </row>
    <row r="300" spans="1:16" x14ac:dyDescent="0.25">
      <c r="A300">
        <v>347</v>
      </c>
      <c r="B300" t="s">
        <v>135</v>
      </c>
      <c r="C300" t="s">
        <v>376</v>
      </c>
      <c r="D300" t="s">
        <v>16</v>
      </c>
      <c r="E300" t="s">
        <v>17</v>
      </c>
      <c r="F300" s="3">
        <v>120</v>
      </c>
      <c r="G300">
        <v>40.5</v>
      </c>
      <c r="H300">
        <v>8.3000000000000007</v>
      </c>
      <c r="I300">
        <v>20</v>
      </c>
      <c r="J300" t="s">
        <v>28</v>
      </c>
      <c r="K300" t="s">
        <v>20</v>
      </c>
      <c r="L300" t="s">
        <v>21</v>
      </c>
      <c r="M300" s="3">
        <v>55</v>
      </c>
      <c r="N300" s="2">
        <v>44000</v>
      </c>
      <c r="O300" t="str">
        <f t="shared" si="8"/>
        <v>100-200</v>
      </c>
      <c r="P300" t="str">
        <f t="shared" si="9"/>
        <v>40000$ +</v>
      </c>
    </row>
    <row r="301" spans="1:16" x14ac:dyDescent="0.25">
      <c r="A301">
        <v>348</v>
      </c>
      <c r="B301" t="s">
        <v>135</v>
      </c>
      <c r="C301" t="s">
        <v>376</v>
      </c>
      <c r="D301" t="s">
        <v>16</v>
      </c>
      <c r="E301" t="s">
        <v>17</v>
      </c>
      <c r="F301" s="3">
        <v>120</v>
      </c>
      <c r="G301">
        <v>40.5</v>
      </c>
      <c r="H301">
        <v>8.3000000000000007</v>
      </c>
      <c r="I301">
        <v>21</v>
      </c>
      <c r="J301" t="s">
        <v>28</v>
      </c>
      <c r="K301" t="s">
        <v>20</v>
      </c>
      <c r="L301" t="s">
        <v>21</v>
      </c>
      <c r="M301" s="3">
        <v>45</v>
      </c>
      <c r="N301" s="2">
        <v>40000</v>
      </c>
      <c r="O301" t="str">
        <f t="shared" si="8"/>
        <v>100-200</v>
      </c>
      <c r="P301" t="str">
        <f t="shared" si="9"/>
        <v>40000$ +</v>
      </c>
    </row>
    <row r="302" spans="1:16" x14ac:dyDescent="0.25">
      <c r="A302">
        <v>349</v>
      </c>
      <c r="B302" t="s">
        <v>135</v>
      </c>
      <c r="C302" t="s">
        <v>376</v>
      </c>
      <c r="D302" t="s">
        <v>16</v>
      </c>
      <c r="E302" t="s">
        <v>17</v>
      </c>
      <c r="F302" s="3">
        <v>120</v>
      </c>
      <c r="G302">
        <v>40.5</v>
      </c>
      <c r="H302">
        <v>8.3000000000000007</v>
      </c>
      <c r="I302">
        <v>20</v>
      </c>
      <c r="J302" t="s">
        <v>28</v>
      </c>
      <c r="K302" t="s">
        <v>20</v>
      </c>
      <c r="L302" t="s">
        <v>21</v>
      </c>
      <c r="M302" s="3">
        <v>45</v>
      </c>
      <c r="N302" s="2">
        <v>39000</v>
      </c>
      <c r="O302" t="str">
        <f t="shared" si="8"/>
        <v>100-200</v>
      </c>
      <c r="P302" t="str">
        <f t="shared" si="9"/>
        <v>&lt;= 40000$</v>
      </c>
    </row>
    <row r="303" spans="1:16" x14ac:dyDescent="0.25">
      <c r="A303">
        <v>350</v>
      </c>
      <c r="B303" t="s">
        <v>135</v>
      </c>
      <c r="C303" t="s">
        <v>377</v>
      </c>
      <c r="D303" t="s">
        <v>16</v>
      </c>
      <c r="E303" t="s">
        <v>17</v>
      </c>
      <c r="F303" s="3">
        <v>120</v>
      </c>
      <c r="G303">
        <v>40.799999999999997</v>
      </c>
      <c r="H303">
        <v>8.3000000000000007</v>
      </c>
      <c r="I303">
        <v>20</v>
      </c>
      <c r="J303" t="s">
        <v>28</v>
      </c>
      <c r="K303" t="s">
        <v>20</v>
      </c>
      <c r="L303" t="s">
        <v>167</v>
      </c>
      <c r="M303" s="3">
        <v>45</v>
      </c>
      <c r="N303" s="2">
        <v>38000</v>
      </c>
      <c r="O303" t="str">
        <f t="shared" si="8"/>
        <v>100-200</v>
      </c>
      <c r="P303" t="str">
        <f t="shared" si="9"/>
        <v>&lt;= 40000$</v>
      </c>
    </row>
    <row r="304" spans="1:16" x14ac:dyDescent="0.25">
      <c r="A304">
        <v>351</v>
      </c>
      <c r="B304" t="s">
        <v>135</v>
      </c>
      <c r="C304" t="s">
        <v>377</v>
      </c>
      <c r="D304" t="s">
        <v>16</v>
      </c>
      <c r="E304" t="s">
        <v>17</v>
      </c>
      <c r="F304" s="3">
        <v>120</v>
      </c>
      <c r="G304">
        <v>40.799999999999997</v>
      </c>
      <c r="H304">
        <v>8.3000000000000007</v>
      </c>
      <c r="I304">
        <v>20</v>
      </c>
      <c r="J304" t="s">
        <v>28</v>
      </c>
      <c r="K304" t="s">
        <v>20</v>
      </c>
      <c r="L304" t="s">
        <v>21</v>
      </c>
      <c r="M304" s="3">
        <v>45</v>
      </c>
      <c r="N304" s="2">
        <v>38000</v>
      </c>
      <c r="O304" t="str">
        <f t="shared" si="8"/>
        <v>100-200</v>
      </c>
      <c r="P304" t="str">
        <f t="shared" si="9"/>
        <v>&lt;= 40000$</v>
      </c>
    </row>
    <row r="305" spans="1:16" x14ac:dyDescent="0.25">
      <c r="A305">
        <v>352</v>
      </c>
      <c r="B305" t="s">
        <v>135</v>
      </c>
      <c r="C305" t="s">
        <v>378</v>
      </c>
      <c r="D305" t="s">
        <v>16</v>
      </c>
      <c r="E305" t="s">
        <v>17</v>
      </c>
      <c r="F305" s="3">
        <v>120</v>
      </c>
      <c r="G305">
        <v>40</v>
      </c>
      <c r="H305">
        <v>8.3000000000000007</v>
      </c>
      <c r="I305">
        <v>22</v>
      </c>
      <c r="J305" t="s">
        <v>28</v>
      </c>
      <c r="K305" t="s">
        <v>20</v>
      </c>
      <c r="L305" t="s">
        <v>21</v>
      </c>
      <c r="M305" s="3">
        <v>45</v>
      </c>
      <c r="N305" s="2">
        <v>36000</v>
      </c>
      <c r="O305" t="str">
        <f t="shared" si="8"/>
        <v>100-200</v>
      </c>
      <c r="P305" t="str">
        <f t="shared" si="9"/>
        <v>&lt;= 40000$</v>
      </c>
    </row>
    <row r="306" spans="1:16" x14ac:dyDescent="0.25">
      <c r="A306">
        <v>353</v>
      </c>
      <c r="B306" t="s">
        <v>135</v>
      </c>
      <c r="C306" t="s">
        <v>376</v>
      </c>
      <c r="D306" t="s">
        <v>16</v>
      </c>
      <c r="E306" t="s">
        <v>17</v>
      </c>
      <c r="F306" s="3">
        <v>120</v>
      </c>
      <c r="G306">
        <v>40.5</v>
      </c>
      <c r="H306">
        <v>8.3000000000000007</v>
      </c>
      <c r="I306">
        <v>20</v>
      </c>
      <c r="J306" t="s">
        <v>28</v>
      </c>
      <c r="K306" t="s">
        <v>20</v>
      </c>
      <c r="L306" t="s">
        <v>21</v>
      </c>
      <c r="M306" s="3">
        <v>45</v>
      </c>
      <c r="N306" s="2">
        <v>35000</v>
      </c>
      <c r="O306" t="str">
        <f t="shared" si="8"/>
        <v>100-200</v>
      </c>
      <c r="P306" t="str">
        <f t="shared" si="9"/>
        <v>&lt;= 40000$</v>
      </c>
    </row>
    <row r="307" spans="1:16" x14ac:dyDescent="0.25">
      <c r="A307">
        <v>354</v>
      </c>
      <c r="B307" t="s">
        <v>135</v>
      </c>
      <c r="C307" t="s">
        <v>376</v>
      </c>
      <c r="D307" t="s">
        <v>16</v>
      </c>
      <c r="E307" t="s">
        <v>17</v>
      </c>
      <c r="F307" s="3">
        <v>120</v>
      </c>
      <c r="G307">
        <v>40.5</v>
      </c>
      <c r="H307">
        <v>8.3000000000000007</v>
      </c>
      <c r="I307">
        <v>22</v>
      </c>
      <c r="J307" t="s">
        <v>28</v>
      </c>
      <c r="K307" t="s">
        <v>20</v>
      </c>
      <c r="L307" t="s">
        <v>21</v>
      </c>
      <c r="M307" s="3">
        <v>45</v>
      </c>
      <c r="N307" s="2">
        <v>34000</v>
      </c>
      <c r="O307" t="str">
        <f t="shared" si="8"/>
        <v>100-200</v>
      </c>
      <c r="P307" t="str">
        <f t="shared" si="9"/>
        <v>&lt;= 40000$</v>
      </c>
    </row>
    <row r="308" spans="1:16" x14ac:dyDescent="0.25">
      <c r="A308">
        <v>355</v>
      </c>
      <c r="B308" t="s">
        <v>135</v>
      </c>
      <c r="C308" t="s">
        <v>376</v>
      </c>
      <c r="D308" t="s">
        <v>16</v>
      </c>
      <c r="E308" t="s">
        <v>17</v>
      </c>
      <c r="F308" s="3">
        <v>120</v>
      </c>
      <c r="G308">
        <v>40.5</v>
      </c>
      <c r="H308">
        <v>8.3000000000000007</v>
      </c>
      <c r="I308">
        <v>22</v>
      </c>
      <c r="J308" t="s">
        <v>28</v>
      </c>
      <c r="K308" t="s">
        <v>20</v>
      </c>
      <c r="L308" t="s">
        <v>21</v>
      </c>
      <c r="M308" s="3">
        <v>45</v>
      </c>
      <c r="N308" s="2">
        <v>34000</v>
      </c>
      <c r="O308" t="str">
        <f t="shared" si="8"/>
        <v>100-200</v>
      </c>
      <c r="P308" t="str">
        <f t="shared" si="9"/>
        <v>&lt;= 40000$</v>
      </c>
    </row>
    <row r="309" spans="1:16" x14ac:dyDescent="0.25">
      <c r="A309">
        <v>356</v>
      </c>
      <c r="B309" t="s">
        <v>135</v>
      </c>
      <c r="C309" t="s">
        <v>376</v>
      </c>
      <c r="D309" t="s">
        <v>16</v>
      </c>
      <c r="E309" t="s">
        <v>17</v>
      </c>
      <c r="F309" s="3">
        <v>120</v>
      </c>
      <c r="G309">
        <v>40.5</v>
      </c>
      <c r="H309">
        <v>8.3000000000000007</v>
      </c>
      <c r="I309">
        <v>21</v>
      </c>
      <c r="J309" t="s">
        <v>28</v>
      </c>
      <c r="K309" t="s">
        <v>20</v>
      </c>
      <c r="L309" t="s">
        <v>21</v>
      </c>
      <c r="M309" s="3">
        <v>45</v>
      </c>
      <c r="N309" s="2">
        <v>34000</v>
      </c>
      <c r="O309" t="str">
        <f t="shared" si="8"/>
        <v>100-200</v>
      </c>
      <c r="P309" t="str">
        <f t="shared" si="9"/>
        <v>&lt;= 40000$</v>
      </c>
    </row>
    <row r="310" spans="1:16" x14ac:dyDescent="0.25">
      <c r="A310">
        <v>357</v>
      </c>
      <c r="B310" t="s">
        <v>135</v>
      </c>
      <c r="C310" t="s">
        <v>376</v>
      </c>
      <c r="D310" t="s">
        <v>16</v>
      </c>
      <c r="E310" t="s">
        <v>17</v>
      </c>
      <c r="F310" s="3">
        <v>120</v>
      </c>
      <c r="G310">
        <v>40.5</v>
      </c>
      <c r="H310">
        <v>8.3000000000000007</v>
      </c>
      <c r="I310">
        <v>20</v>
      </c>
      <c r="J310" t="s">
        <v>28</v>
      </c>
      <c r="K310" t="s">
        <v>20</v>
      </c>
      <c r="L310" t="s">
        <v>21</v>
      </c>
      <c r="M310" s="3">
        <v>45</v>
      </c>
      <c r="N310" s="2">
        <v>29800</v>
      </c>
      <c r="O310" t="str">
        <f t="shared" si="8"/>
        <v>100-200</v>
      </c>
      <c r="P310" t="str">
        <f t="shared" si="9"/>
        <v>&lt;= 40000$</v>
      </c>
    </row>
    <row r="311" spans="1:16" x14ac:dyDescent="0.25">
      <c r="A311">
        <v>358</v>
      </c>
      <c r="B311" t="s">
        <v>135</v>
      </c>
      <c r="C311" t="s">
        <v>376</v>
      </c>
      <c r="D311" t="s">
        <v>16</v>
      </c>
      <c r="E311" t="s">
        <v>17</v>
      </c>
      <c r="F311" s="3">
        <v>120</v>
      </c>
      <c r="G311">
        <v>40.5</v>
      </c>
      <c r="H311">
        <v>8.3000000000000007</v>
      </c>
      <c r="I311">
        <v>22</v>
      </c>
      <c r="J311" t="s">
        <v>28</v>
      </c>
      <c r="K311" t="s">
        <v>20</v>
      </c>
      <c r="L311" t="s">
        <v>21</v>
      </c>
      <c r="M311" s="3">
        <v>45</v>
      </c>
      <c r="N311" s="2">
        <v>29800</v>
      </c>
      <c r="O311" t="str">
        <f t="shared" si="8"/>
        <v>100-200</v>
      </c>
      <c r="P311" t="str">
        <f t="shared" si="9"/>
        <v>&lt;= 40000$</v>
      </c>
    </row>
    <row r="312" spans="1:16" x14ac:dyDescent="0.25">
      <c r="A312">
        <v>359</v>
      </c>
      <c r="B312" t="s">
        <v>135</v>
      </c>
      <c r="C312" t="s">
        <v>376</v>
      </c>
      <c r="D312" t="s">
        <v>16</v>
      </c>
      <c r="E312" t="s">
        <v>17</v>
      </c>
      <c r="F312" s="3">
        <v>120</v>
      </c>
      <c r="G312">
        <v>40.5</v>
      </c>
      <c r="H312">
        <v>8.3000000000000007</v>
      </c>
      <c r="I312">
        <v>21</v>
      </c>
      <c r="J312" t="s">
        <v>28</v>
      </c>
      <c r="K312" t="s">
        <v>20</v>
      </c>
      <c r="L312" t="s">
        <v>21</v>
      </c>
      <c r="M312" s="3">
        <v>45</v>
      </c>
      <c r="N312" s="2">
        <v>29800</v>
      </c>
      <c r="O312" t="str">
        <f t="shared" si="8"/>
        <v>100-200</v>
      </c>
      <c r="P312" t="str">
        <f t="shared" si="9"/>
        <v>&lt;= 40000$</v>
      </c>
    </row>
    <row r="313" spans="1:16" x14ac:dyDescent="0.25">
      <c r="A313">
        <v>360</v>
      </c>
      <c r="B313" t="s">
        <v>135</v>
      </c>
      <c r="C313" t="s">
        <v>377</v>
      </c>
      <c r="D313" t="s">
        <v>16</v>
      </c>
      <c r="E313" t="s">
        <v>17</v>
      </c>
      <c r="F313" s="3">
        <v>120</v>
      </c>
      <c r="G313">
        <v>40.799999999999997</v>
      </c>
      <c r="H313">
        <v>8.3000000000000007</v>
      </c>
      <c r="I313">
        <v>21</v>
      </c>
      <c r="J313" t="s">
        <v>28</v>
      </c>
      <c r="K313" t="s">
        <v>20</v>
      </c>
      <c r="L313" t="s">
        <v>21</v>
      </c>
      <c r="M313" s="3">
        <v>55</v>
      </c>
      <c r="N313" s="2">
        <v>29800</v>
      </c>
      <c r="O313" t="str">
        <f t="shared" si="8"/>
        <v>100-200</v>
      </c>
      <c r="P313" t="str">
        <f t="shared" si="9"/>
        <v>&lt;= 40000$</v>
      </c>
    </row>
    <row r="314" spans="1:16" x14ac:dyDescent="0.25">
      <c r="A314">
        <v>361</v>
      </c>
      <c r="B314" t="s">
        <v>135</v>
      </c>
      <c r="C314" t="s">
        <v>376</v>
      </c>
      <c r="D314" t="s">
        <v>16</v>
      </c>
      <c r="E314" t="s">
        <v>17</v>
      </c>
      <c r="F314" s="3">
        <v>120</v>
      </c>
      <c r="G314">
        <v>40.5</v>
      </c>
      <c r="H314">
        <v>8.3000000000000007</v>
      </c>
      <c r="I314">
        <v>22</v>
      </c>
      <c r="J314" t="s">
        <v>28</v>
      </c>
      <c r="K314" t="s">
        <v>20</v>
      </c>
      <c r="L314" t="s">
        <v>21</v>
      </c>
      <c r="M314" s="3">
        <v>45</v>
      </c>
      <c r="N314" s="2">
        <v>29000</v>
      </c>
      <c r="O314" t="str">
        <f t="shared" si="8"/>
        <v>100-200</v>
      </c>
      <c r="P314" t="str">
        <f t="shared" si="9"/>
        <v>&lt;= 40000$</v>
      </c>
    </row>
    <row r="315" spans="1:16" x14ac:dyDescent="0.25">
      <c r="A315">
        <v>362</v>
      </c>
      <c r="B315" t="s">
        <v>135</v>
      </c>
      <c r="C315" t="s">
        <v>378</v>
      </c>
      <c r="D315" t="s">
        <v>16</v>
      </c>
      <c r="E315" t="s">
        <v>17</v>
      </c>
      <c r="F315" s="3">
        <v>120</v>
      </c>
      <c r="G315">
        <v>40</v>
      </c>
      <c r="H315">
        <v>8.3000000000000007</v>
      </c>
      <c r="I315">
        <v>20</v>
      </c>
      <c r="J315" t="s">
        <v>28</v>
      </c>
      <c r="K315" t="s">
        <v>20</v>
      </c>
      <c r="L315" t="s">
        <v>21</v>
      </c>
      <c r="M315" s="3">
        <v>45</v>
      </c>
      <c r="N315" s="2">
        <v>26000</v>
      </c>
      <c r="O315" t="str">
        <f t="shared" si="8"/>
        <v>100-200</v>
      </c>
      <c r="P315" t="str">
        <f t="shared" si="9"/>
        <v>&lt;= 40000$</v>
      </c>
    </row>
    <row r="316" spans="1:16" x14ac:dyDescent="0.25">
      <c r="A316">
        <v>363</v>
      </c>
      <c r="B316" t="s">
        <v>135</v>
      </c>
      <c r="C316" t="s">
        <v>379</v>
      </c>
      <c r="D316" t="s">
        <v>32</v>
      </c>
      <c r="E316" t="s">
        <v>17</v>
      </c>
      <c r="F316" s="3">
        <v>30</v>
      </c>
      <c r="G316">
        <v>39</v>
      </c>
      <c r="H316">
        <v>8.25</v>
      </c>
      <c r="I316">
        <v>20</v>
      </c>
      <c r="J316" t="s">
        <v>44</v>
      </c>
      <c r="K316" t="s">
        <v>20</v>
      </c>
      <c r="L316" t="s">
        <v>45</v>
      </c>
      <c r="M316" s="3">
        <v>48</v>
      </c>
      <c r="N316" s="2">
        <v>25800</v>
      </c>
      <c r="O316" t="str">
        <f t="shared" si="8"/>
        <v>&lt;=100</v>
      </c>
      <c r="P316" t="str">
        <f t="shared" si="9"/>
        <v>&lt;= 40000$</v>
      </c>
    </row>
    <row r="317" spans="1:16" x14ac:dyDescent="0.25">
      <c r="A317">
        <v>366</v>
      </c>
      <c r="B317" t="s">
        <v>135</v>
      </c>
      <c r="C317" t="s">
        <v>380</v>
      </c>
      <c r="D317" t="s">
        <v>32</v>
      </c>
      <c r="E317" t="s">
        <v>17</v>
      </c>
      <c r="F317" s="3">
        <v>30</v>
      </c>
      <c r="G317">
        <v>37</v>
      </c>
      <c r="H317">
        <v>8.5</v>
      </c>
      <c r="I317">
        <v>18</v>
      </c>
      <c r="J317" t="s">
        <v>34</v>
      </c>
      <c r="K317" t="s">
        <v>20</v>
      </c>
      <c r="L317" t="s">
        <v>21</v>
      </c>
      <c r="M317" s="3">
        <v>45</v>
      </c>
      <c r="N317" s="2">
        <v>25000</v>
      </c>
      <c r="O317" t="str">
        <f t="shared" si="8"/>
        <v>&lt;=100</v>
      </c>
      <c r="P317" t="str">
        <f t="shared" si="9"/>
        <v>&lt;= 40000$</v>
      </c>
    </row>
    <row r="318" spans="1:16" x14ac:dyDescent="0.25">
      <c r="A318">
        <v>368</v>
      </c>
      <c r="B318" t="s">
        <v>135</v>
      </c>
      <c r="C318" t="s">
        <v>383</v>
      </c>
      <c r="D318" t="s">
        <v>32</v>
      </c>
      <c r="E318" t="s">
        <v>17</v>
      </c>
      <c r="F318" s="3">
        <v>30</v>
      </c>
      <c r="G318">
        <v>39</v>
      </c>
      <c r="H318">
        <v>8.6</v>
      </c>
      <c r="I318">
        <v>20</v>
      </c>
      <c r="J318" t="s">
        <v>44</v>
      </c>
      <c r="K318" t="s">
        <v>20</v>
      </c>
      <c r="L318" t="s">
        <v>21</v>
      </c>
      <c r="M318" s="3">
        <v>48</v>
      </c>
      <c r="N318" s="2">
        <v>22000</v>
      </c>
      <c r="O318" t="str">
        <f t="shared" si="8"/>
        <v>&lt;=100</v>
      </c>
      <c r="P318" t="str">
        <f t="shared" si="9"/>
        <v>&lt;= 40000$</v>
      </c>
    </row>
    <row r="319" spans="1:16" x14ac:dyDescent="0.25">
      <c r="A319">
        <v>374</v>
      </c>
      <c r="B319" t="s">
        <v>116</v>
      </c>
      <c r="C319" t="s">
        <v>389</v>
      </c>
      <c r="D319" t="s">
        <v>16</v>
      </c>
      <c r="E319" t="s">
        <v>17</v>
      </c>
      <c r="F319" s="3">
        <v>100</v>
      </c>
      <c r="G319">
        <v>42</v>
      </c>
      <c r="H319">
        <v>9.4</v>
      </c>
      <c r="I319">
        <v>22</v>
      </c>
      <c r="J319" t="s">
        <v>28</v>
      </c>
      <c r="K319" t="s">
        <v>20</v>
      </c>
      <c r="L319" t="s">
        <v>21</v>
      </c>
      <c r="M319" s="3">
        <v>44</v>
      </c>
      <c r="N319" s="2">
        <v>10500</v>
      </c>
      <c r="O319" t="str">
        <f t="shared" si="8"/>
        <v>&lt;=100</v>
      </c>
      <c r="P319" t="str">
        <f t="shared" si="9"/>
        <v>&lt;= 20000$</v>
      </c>
    </row>
    <row r="320" spans="1:16" x14ac:dyDescent="0.25">
      <c r="A320">
        <v>375</v>
      </c>
      <c r="B320" t="s">
        <v>116</v>
      </c>
      <c r="C320" t="s">
        <v>390</v>
      </c>
      <c r="D320" t="s">
        <v>16</v>
      </c>
      <c r="E320" t="s">
        <v>17</v>
      </c>
      <c r="F320" s="3">
        <v>100</v>
      </c>
      <c r="G320">
        <v>42</v>
      </c>
      <c r="H320">
        <v>9.4</v>
      </c>
      <c r="I320">
        <v>24</v>
      </c>
      <c r="J320" t="s">
        <v>28</v>
      </c>
      <c r="K320" t="s">
        <v>20</v>
      </c>
      <c r="L320" t="s">
        <v>21</v>
      </c>
      <c r="M320" s="3">
        <v>50</v>
      </c>
      <c r="N320" s="2">
        <v>10000</v>
      </c>
      <c r="O320" t="str">
        <f t="shared" si="8"/>
        <v>&lt;=100</v>
      </c>
      <c r="P320" t="str">
        <f t="shared" si="9"/>
        <v>&lt;= 10000$</v>
      </c>
    </row>
    <row r="321" spans="1:16" x14ac:dyDescent="0.25">
      <c r="A321">
        <v>377</v>
      </c>
      <c r="B321" t="s">
        <v>14</v>
      </c>
      <c r="C321" t="s">
        <v>392</v>
      </c>
      <c r="D321" t="s">
        <v>32</v>
      </c>
      <c r="E321" t="s">
        <v>17</v>
      </c>
      <c r="F321" s="3">
        <v>100</v>
      </c>
      <c r="G321">
        <v>40</v>
      </c>
      <c r="H321">
        <v>12.4</v>
      </c>
      <c r="I321">
        <v>20</v>
      </c>
      <c r="J321" t="s">
        <v>219</v>
      </c>
      <c r="K321" t="s">
        <v>20</v>
      </c>
      <c r="L321" t="s">
        <v>35</v>
      </c>
      <c r="M321" s="3">
        <v>72</v>
      </c>
      <c r="N321" s="2">
        <v>39500</v>
      </c>
      <c r="O321" t="str">
        <f t="shared" si="8"/>
        <v>&lt;=100</v>
      </c>
      <c r="P321" t="str">
        <f t="shared" si="9"/>
        <v>&lt;= 40000$</v>
      </c>
    </row>
    <row r="322" spans="1:16" x14ac:dyDescent="0.25">
      <c r="A322">
        <v>378</v>
      </c>
      <c r="B322" t="s">
        <v>14</v>
      </c>
      <c r="C322" t="s">
        <v>393</v>
      </c>
      <c r="D322" t="s">
        <v>32</v>
      </c>
      <c r="E322" t="s">
        <v>17</v>
      </c>
      <c r="F322" s="3">
        <v>100</v>
      </c>
      <c r="G322">
        <v>40</v>
      </c>
      <c r="H322">
        <v>12.4</v>
      </c>
      <c r="I322">
        <v>20</v>
      </c>
      <c r="J322" t="s">
        <v>226</v>
      </c>
      <c r="K322" t="s">
        <v>20</v>
      </c>
      <c r="L322" t="s">
        <v>35</v>
      </c>
      <c r="M322" s="3">
        <v>72</v>
      </c>
      <c r="N322" s="2">
        <v>29500</v>
      </c>
      <c r="O322" t="str">
        <f t="shared" ref="O322:O385" si="10">IF($F322&lt;=100, "&lt;=100", IF($F322&lt;=200, "100-200", IF($F322&lt;=300, "200-300", IF($F322&lt;=500, "300-500", IF($F322&lt;1000, "500-1000", "1000+")))))</f>
        <v>&lt;=100</v>
      </c>
      <c r="P322" t="str">
        <f t="shared" ref="P322:P385" si="11">IF(N322&lt;=1000, "&lt;= 1000$", IF(N322&lt;=2000, " &lt;=2000$", IF(N322&lt;=5000, "&lt;=5000$", IF(N322&lt;=10000, "&lt;= 10000$", IF(N322&lt;=20000, "&lt;= 20000$", IF(N322&lt;40000, "&lt;= 40000$", "40000$ +"))))))</f>
        <v>&lt;= 40000$</v>
      </c>
    </row>
    <row r="323" spans="1:16" x14ac:dyDescent="0.25">
      <c r="A323">
        <v>379</v>
      </c>
      <c r="B323" t="s">
        <v>14</v>
      </c>
      <c r="C323" t="s">
        <v>394</v>
      </c>
      <c r="D323" t="s">
        <v>16</v>
      </c>
      <c r="E323" t="s">
        <v>17</v>
      </c>
      <c r="F323" s="3">
        <v>100</v>
      </c>
      <c r="G323">
        <v>40</v>
      </c>
      <c r="H323">
        <v>12.5</v>
      </c>
      <c r="I323">
        <v>20</v>
      </c>
      <c r="J323" t="s">
        <v>19</v>
      </c>
      <c r="K323" t="s">
        <v>20</v>
      </c>
      <c r="L323" t="s">
        <v>92</v>
      </c>
      <c r="M323" s="3">
        <v>48</v>
      </c>
      <c r="N323" s="2">
        <v>14000</v>
      </c>
      <c r="O323" t="str">
        <f t="shared" si="10"/>
        <v>&lt;=100</v>
      </c>
      <c r="P323" t="str">
        <f t="shared" si="11"/>
        <v>&lt;= 20000$</v>
      </c>
    </row>
    <row r="324" spans="1:16" x14ac:dyDescent="0.25">
      <c r="A324">
        <v>380</v>
      </c>
      <c r="B324" t="s">
        <v>14</v>
      </c>
      <c r="C324" t="s">
        <v>395</v>
      </c>
      <c r="D324" t="s">
        <v>16</v>
      </c>
      <c r="E324" t="s">
        <v>17</v>
      </c>
      <c r="F324" s="3">
        <v>100</v>
      </c>
      <c r="G324">
        <v>40</v>
      </c>
      <c r="H324">
        <v>12.4</v>
      </c>
      <c r="I324">
        <v>20</v>
      </c>
      <c r="J324" t="s">
        <v>34</v>
      </c>
      <c r="K324" t="s">
        <v>20</v>
      </c>
      <c r="L324" t="s">
        <v>35</v>
      </c>
      <c r="M324" s="3">
        <v>72</v>
      </c>
      <c r="N324" s="2">
        <v>13500</v>
      </c>
      <c r="O324" t="str">
        <f t="shared" si="10"/>
        <v>&lt;=100</v>
      </c>
      <c r="P324" t="str">
        <f t="shared" si="11"/>
        <v>&lt;= 20000$</v>
      </c>
    </row>
    <row r="325" spans="1:16" x14ac:dyDescent="0.25">
      <c r="A325">
        <v>381</v>
      </c>
      <c r="B325" t="s">
        <v>14</v>
      </c>
      <c r="C325" t="s">
        <v>394</v>
      </c>
      <c r="D325" t="s">
        <v>16</v>
      </c>
      <c r="E325" t="s">
        <v>17</v>
      </c>
      <c r="F325" s="3">
        <v>100</v>
      </c>
      <c r="G325">
        <v>40</v>
      </c>
      <c r="H325">
        <v>12.5</v>
      </c>
      <c r="I325">
        <v>20</v>
      </c>
      <c r="J325" t="s">
        <v>19</v>
      </c>
      <c r="K325" t="s">
        <v>20</v>
      </c>
      <c r="L325" t="s">
        <v>185</v>
      </c>
      <c r="M325" s="3">
        <v>70</v>
      </c>
      <c r="N325" s="2">
        <v>9950</v>
      </c>
      <c r="O325" t="str">
        <f t="shared" si="10"/>
        <v>&lt;=100</v>
      </c>
      <c r="P325" t="str">
        <f t="shared" si="11"/>
        <v>&lt;= 10000$</v>
      </c>
    </row>
    <row r="326" spans="1:16" x14ac:dyDescent="0.25">
      <c r="A326">
        <v>382</v>
      </c>
      <c r="B326" t="s">
        <v>14</v>
      </c>
      <c r="C326" t="s">
        <v>394</v>
      </c>
      <c r="D326" t="s">
        <v>16</v>
      </c>
      <c r="E326" t="s">
        <v>17</v>
      </c>
      <c r="F326" s="3">
        <v>100</v>
      </c>
      <c r="G326">
        <v>40</v>
      </c>
      <c r="H326">
        <v>12.5</v>
      </c>
      <c r="I326">
        <v>20</v>
      </c>
      <c r="J326" t="s">
        <v>19</v>
      </c>
      <c r="K326" t="s">
        <v>20</v>
      </c>
      <c r="L326" t="s">
        <v>185</v>
      </c>
      <c r="M326" s="3">
        <v>70</v>
      </c>
      <c r="N326" s="2">
        <v>9900</v>
      </c>
      <c r="O326" t="str">
        <f t="shared" si="10"/>
        <v>&lt;=100</v>
      </c>
      <c r="P326" t="str">
        <f t="shared" si="11"/>
        <v>&lt;= 10000$</v>
      </c>
    </row>
    <row r="327" spans="1:16" x14ac:dyDescent="0.25">
      <c r="A327">
        <v>383</v>
      </c>
      <c r="B327" t="s">
        <v>14</v>
      </c>
      <c r="C327" t="s">
        <v>394</v>
      </c>
      <c r="D327" t="s">
        <v>16</v>
      </c>
      <c r="E327" t="s">
        <v>17</v>
      </c>
      <c r="F327" s="3">
        <v>100</v>
      </c>
      <c r="G327">
        <v>40</v>
      </c>
      <c r="H327">
        <v>12.5</v>
      </c>
      <c r="I327">
        <v>20</v>
      </c>
      <c r="J327" t="s">
        <v>19</v>
      </c>
      <c r="K327" t="s">
        <v>20</v>
      </c>
      <c r="L327" t="s">
        <v>68</v>
      </c>
      <c r="M327" s="3">
        <v>70</v>
      </c>
      <c r="N327" s="2">
        <v>9700</v>
      </c>
      <c r="O327" t="str">
        <f t="shared" si="10"/>
        <v>&lt;=100</v>
      </c>
      <c r="P327" t="str">
        <f t="shared" si="11"/>
        <v>&lt;= 10000$</v>
      </c>
    </row>
    <row r="328" spans="1:16" x14ac:dyDescent="0.25">
      <c r="A328">
        <v>384</v>
      </c>
      <c r="B328" t="s">
        <v>14</v>
      </c>
      <c r="C328" t="s">
        <v>396</v>
      </c>
      <c r="D328" t="s">
        <v>16</v>
      </c>
      <c r="E328" t="s">
        <v>17</v>
      </c>
      <c r="F328" s="3">
        <v>300</v>
      </c>
      <c r="G328">
        <v>40</v>
      </c>
      <c r="H328">
        <v>13</v>
      </c>
      <c r="I328">
        <v>20</v>
      </c>
      <c r="J328" t="s">
        <v>19</v>
      </c>
      <c r="K328" t="s">
        <v>20</v>
      </c>
      <c r="L328" t="s">
        <v>21</v>
      </c>
      <c r="M328" s="3">
        <v>48</v>
      </c>
      <c r="N328" s="2">
        <v>9500</v>
      </c>
      <c r="O328" t="str">
        <f t="shared" si="10"/>
        <v>200-300</v>
      </c>
      <c r="P328" t="str">
        <f t="shared" si="11"/>
        <v>&lt;= 10000$</v>
      </c>
    </row>
    <row r="329" spans="1:16" x14ac:dyDescent="0.25">
      <c r="A329">
        <v>385</v>
      </c>
      <c r="B329" t="s">
        <v>14</v>
      </c>
      <c r="C329" t="s">
        <v>396</v>
      </c>
      <c r="D329" t="s">
        <v>16</v>
      </c>
      <c r="E329" t="s">
        <v>17</v>
      </c>
      <c r="F329" s="3">
        <v>300</v>
      </c>
      <c r="G329">
        <v>40</v>
      </c>
      <c r="H329">
        <v>13</v>
      </c>
      <c r="I329">
        <v>20</v>
      </c>
      <c r="J329" t="s">
        <v>19</v>
      </c>
      <c r="K329" t="s">
        <v>20</v>
      </c>
      <c r="L329" t="s">
        <v>21</v>
      </c>
      <c r="M329" s="3">
        <v>48</v>
      </c>
      <c r="N329" s="2">
        <v>9500</v>
      </c>
      <c r="O329" t="str">
        <f t="shared" si="10"/>
        <v>200-300</v>
      </c>
      <c r="P329" t="str">
        <f t="shared" si="11"/>
        <v>&lt;= 10000$</v>
      </c>
    </row>
    <row r="330" spans="1:16" x14ac:dyDescent="0.25">
      <c r="A330">
        <v>386</v>
      </c>
      <c r="B330" t="s">
        <v>14</v>
      </c>
      <c r="C330" t="s">
        <v>394</v>
      </c>
      <c r="D330" t="s">
        <v>16</v>
      </c>
      <c r="E330" t="s">
        <v>17</v>
      </c>
      <c r="F330" s="3">
        <v>100</v>
      </c>
      <c r="G330">
        <v>40</v>
      </c>
      <c r="H330">
        <v>12.5</v>
      </c>
      <c r="I330">
        <v>20</v>
      </c>
      <c r="J330" t="s">
        <v>19</v>
      </c>
      <c r="K330" t="s">
        <v>20</v>
      </c>
      <c r="L330" t="s">
        <v>185</v>
      </c>
      <c r="M330" s="3">
        <v>70</v>
      </c>
      <c r="N330" s="2">
        <v>9500</v>
      </c>
      <c r="O330" t="str">
        <f t="shared" si="10"/>
        <v>&lt;=100</v>
      </c>
      <c r="P330" t="str">
        <f t="shared" si="11"/>
        <v>&lt;= 10000$</v>
      </c>
    </row>
    <row r="331" spans="1:16" x14ac:dyDescent="0.25">
      <c r="A331">
        <v>387</v>
      </c>
      <c r="B331" t="s">
        <v>14</v>
      </c>
      <c r="C331" t="s">
        <v>397</v>
      </c>
      <c r="D331" t="s">
        <v>209</v>
      </c>
      <c r="E331" t="s">
        <v>17</v>
      </c>
      <c r="F331" s="3">
        <v>100</v>
      </c>
      <c r="G331">
        <v>41</v>
      </c>
      <c r="H331">
        <v>11.8</v>
      </c>
      <c r="I331">
        <v>20</v>
      </c>
      <c r="J331" t="s">
        <v>28</v>
      </c>
      <c r="K331" t="s">
        <v>20</v>
      </c>
      <c r="L331" t="s">
        <v>21</v>
      </c>
      <c r="M331" s="3">
        <v>70</v>
      </c>
      <c r="N331" s="2">
        <v>9500</v>
      </c>
      <c r="O331" t="str">
        <f t="shared" si="10"/>
        <v>&lt;=100</v>
      </c>
      <c r="P331" t="str">
        <f t="shared" si="11"/>
        <v>&lt;= 10000$</v>
      </c>
    </row>
    <row r="332" spans="1:16" x14ac:dyDescent="0.25">
      <c r="A332">
        <v>388</v>
      </c>
      <c r="B332" t="s">
        <v>14</v>
      </c>
      <c r="C332" t="s">
        <v>394</v>
      </c>
      <c r="D332" t="s">
        <v>16</v>
      </c>
      <c r="E332" t="s">
        <v>17</v>
      </c>
      <c r="F332" s="3">
        <v>100</v>
      </c>
      <c r="G332">
        <v>40</v>
      </c>
      <c r="H332">
        <v>12.5</v>
      </c>
      <c r="I332">
        <v>20</v>
      </c>
      <c r="J332" t="s">
        <v>19</v>
      </c>
      <c r="K332" t="s">
        <v>20</v>
      </c>
      <c r="L332" t="s">
        <v>241</v>
      </c>
      <c r="M332" s="3">
        <v>70</v>
      </c>
      <c r="N332" s="2">
        <v>9500</v>
      </c>
      <c r="O332" t="str">
        <f t="shared" si="10"/>
        <v>&lt;=100</v>
      </c>
      <c r="P332" t="str">
        <f t="shared" si="11"/>
        <v>&lt;= 10000$</v>
      </c>
    </row>
    <row r="333" spans="1:16" x14ac:dyDescent="0.25">
      <c r="A333">
        <v>389</v>
      </c>
      <c r="B333" t="s">
        <v>14</v>
      </c>
      <c r="C333" t="s">
        <v>394</v>
      </c>
      <c r="D333" t="s">
        <v>16</v>
      </c>
      <c r="E333" t="s">
        <v>17</v>
      </c>
      <c r="F333" s="3">
        <v>100</v>
      </c>
      <c r="G333">
        <v>40</v>
      </c>
      <c r="H333">
        <v>12.1</v>
      </c>
      <c r="I333">
        <v>20</v>
      </c>
      <c r="J333" t="s">
        <v>19</v>
      </c>
      <c r="K333" t="s">
        <v>20</v>
      </c>
      <c r="L333" t="s">
        <v>185</v>
      </c>
      <c r="M333" s="3">
        <v>70</v>
      </c>
      <c r="N333" s="2">
        <v>9450</v>
      </c>
      <c r="O333" t="str">
        <f t="shared" si="10"/>
        <v>&lt;=100</v>
      </c>
      <c r="P333" t="str">
        <f t="shared" si="11"/>
        <v>&lt;= 10000$</v>
      </c>
    </row>
    <row r="334" spans="1:16" x14ac:dyDescent="0.25">
      <c r="A334">
        <v>390</v>
      </c>
      <c r="B334" t="s">
        <v>14</v>
      </c>
      <c r="C334" t="s">
        <v>394</v>
      </c>
      <c r="D334" t="s">
        <v>16</v>
      </c>
      <c r="E334" t="s">
        <v>17</v>
      </c>
      <c r="F334" s="3">
        <v>100</v>
      </c>
      <c r="G334">
        <v>40</v>
      </c>
      <c r="H334">
        <v>12.4</v>
      </c>
      <c r="I334">
        <v>20</v>
      </c>
      <c r="J334" t="s">
        <v>19</v>
      </c>
      <c r="K334" t="s">
        <v>20</v>
      </c>
      <c r="L334" t="s">
        <v>185</v>
      </c>
      <c r="M334" s="3">
        <v>70</v>
      </c>
      <c r="N334" s="2">
        <v>9100</v>
      </c>
      <c r="O334" t="str">
        <f t="shared" si="10"/>
        <v>&lt;=100</v>
      </c>
      <c r="P334" t="str">
        <f t="shared" si="11"/>
        <v>&lt;= 10000$</v>
      </c>
    </row>
    <row r="335" spans="1:16" x14ac:dyDescent="0.25">
      <c r="A335">
        <v>391</v>
      </c>
      <c r="B335" t="s">
        <v>14</v>
      </c>
      <c r="C335" t="s">
        <v>398</v>
      </c>
      <c r="D335" t="s">
        <v>104</v>
      </c>
      <c r="E335" t="s">
        <v>17</v>
      </c>
      <c r="F335" s="3">
        <v>100</v>
      </c>
      <c r="G335">
        <v>36</v>
      </c>
      <c r="H335">
        <v>12</v>
      </c>
      <c r="I335">
        <v>20</v>
      </c>
      <c r="J335" t="s">
        <v>44</v>
      </c>
      <c r="K335" t="s">
        <v>20</v>
      </c>
      <c r="L335" t="s">
        <v>21</v>
      </c>
      <c r="M335" s="3">
        <v>70</v>
      </c>
      <c r="N335" s="2">
        <v>9000</v>
      </c>
      <c r="O335" t="str">
        <f t="shared" si="10"/>
        <v>&lt;=100</v>
      </c>
      <c r="P335" t="str">
        <f t="shared" si="11"/>
        <v>&lt;= 10000$</v>
      </c>
    </row>
    <row r="336" spans="1:16" x14ac:dyDescent="0.25">
      <c r="A336">
        <v>392</v>
      </c>
      <c r="B336" t="s">
        <v>14</v>
      </c>
      <c r="C336" t="s">
        <v>397</v>
      </c>
      <c r="D336" t="s">
        <v>16</v>
      </c>
      <c r="E336" t="s">
        <v>17</v>
      </c>
      <c r="F336" s="3">
        <v>100</v>
      </c>
      <c r="G336">
        <v>41</v>
      </c>
      <c r="H336">
        <v>11.2</v>
      </c>
      <c r="I336">
        <v>20</v>
      </c>
      <c r="J336" t="s">
        <v>44</v>
      </c>
      <c r="K336" t="s">
        <v>20</v>
      </c>
      <c r="L336" t="s">
        <v>21</v>
      </c>
      <c r="M336" s="3">
        <v>70</v>
      </c>
      <c r="N336" s="2">
        <v>8900</v>
      </c>
      <c r="O336" t="str">
        <f t="shared" si="10"/>
        <v>&lt;=100</v>
      </c>
      <c r="P336" t="str">
        <f t="shared" si="11"/>
        <v>&lt;= 10000$</v>
      </c>
    </row>
    <row r="337" spans="1:16" x14ac:dyDescent="0.25">
      <c r="A337">
        <v>393</v>
      </c>
      <c r="B337" t="s">
        <v>14</v>
      </c>
      <c r="C337" t="s">
        <v>398</v>
      </c>
      <c r="D337" t="s">
        <v>209</v>
      </c>
      <c r="E337" t="s">
        <v>17</v>
      </c>
      <c r="F337" s="3">
        <v>100</v>
      </c>
      <c r="G337">
        <v>36</v>
      </c>
      <c r="H337">
        <v>12.5</v>
      </c>
      <c r="I337">
        <v>20</v>
      </c>
      <c r="J337" t="s">
        <v>44</v>
      </c>
      <c r="K337" t="s">
        <v>20</v>
      </c>
      <c r="L337" t="s">
        <v>21</v>
      </c>
      <c r="M337" s="3">
        <v>70</v>
      </c>
      <c r="N337" s="2">
        <v>8900</v>
      </c>
      <c r="O337" t="str">
        <f t="shared" si="10"/>
        <v>&lt;=100</v>
      </c>
      <c r="P337" t="str">
        <f t="shared" si="11"/>
        <v>&lt;= 10000$</v>
      </c>
    </row>
    <row r="338" spans="1:16" x14ac:dyDescent="0.25">
      <c r="A338">
        <v>394</v>
      </c>
      <c r="B338" t="s">
        <v>14</v>
      </c>
      <c r="C338" t="s">
        <v>397</v>
      </c>
      <c r="D338" t="s">
        <v>16</v>
      </c>
      <c r="E338" t="s">
        <v>17</v>
      </c>
      <c r="F338" s="3">
        <v>100</v>
      </c>
      <c r="G338">
        <v>41</v>
      </c>
      <c r="H338">
        <v>11.8</v>
      </c>
      <c r="I338">
        <v>20</v>
      </c>
      <c r="J338" t="s">
        <v>19</v>
      </c>
      <c r="K338" t="s">
        <v>20</v>
      </c>
      <c r="L338" t="s">
        <v>21</v>
      </c>
      <c r="M338" s="3">
        <v>70</v>
      </c>
      <c r="N338" s="2">
        <v>8200</v>
      </c>
      <c r="O338" t="str">
        <f t="shared" si="10"/>
        <v>&lt;=100</v>
      </c>
      <c r="P338" t="str">
        <f t="shared" si="11"/>
        <v>&lt;= 10000$</v>
      </c>
    </row>
    <row r="339" spans="1:16" x14ac:dyDescent="0.25">
      <c r="A339">
        <v>395</v>
      </c>
      <c r="B339" t="s">
        <v>14</v>
      </c>
      <c r="C339" t="s">
        <v>398</v>
      </c>
      <c r="D339" t="s">
        <v>16</v>
      </c>
      <c r="E339" t="s">
        <v>17</v>
      </c>
      <c r="F339" s="3">
        <v>100</v>
      </c>
      <c r="G339">
        <v>36</v>
      </c>
      <c r="H339">
        <v>12</v>
      </c>
      <c r="I339">
        <v>20</v>
      </c>
      <c r="J339" t="s">
        <v>19</v>
      </c>
      <c r="K339" t="s">
        <v>20</v>
      </c>
      <c r="L339" t="s">
        <v>21</v>
      </c>
      <c r="M339" s="3">
        <v>70</v>
      </c>
      <c r="N339" s="2">
        <v>8100</v>
      </c>
      <c r="O339" t="str">
        <f t="shared" si="10"/>
        <v>&lt;=100</v>
      </c>
      <c r="P339" t="str">
        <f t="shared" si="11"/>
        <v>&lt;= 10000$</v>
      </c>
    </row>
    <row r="340" spans="1:16" x14ac:dyDescent="0.25">
      <c r="A340">
        <v>396</v>
      </c>
      <c r="B340" t="s">
        <v>14</v>
      </c>
      <c r="C340" t="s">
        <v>398</v>
      </c>
      <c r="D340" t="s">
        <v>104</v>
      </c>
      <c r="E340" t="s">
        <v>17</v>
      </c>
      <c r="F340" s="3">
        <v>100</v>
      </c>
      <c r="G340">
        <v>36</v>
      </c>
      <c r="H340">
        <v>12.5</v>
      </c>
      <c r="I340">
        <v>20</v>
      </c>
      <c r="J340" t="s">
        <v>19</v>
      </c>
      <c r="K340" t="s">
        <v>20</v>
      </c>
      <c r="L340" t="s">
        <v>21</v>
      </c>
      <c r="M340" s="3">
        <v>70</v>
      </c>
      <c r="N340" s="2">
        <v>8000</v>
      </c>
      <c r="O340" t="str">
        <f t="shared" si="10"/>
        <v>&lt;=100</v>
      </c>
      <c r="P340" t="str">
        <f t="shared" si="11"/>
        <v>&lt;= 10000$</v>
      </c>
    </row>
    <row r="341" spans="1:16" x14ac:dyDescent="0.25">
      <c r="A341">
        <v>397</v>
      </c>
      <c r="B341" t="s">
        <v>14</v>
      </c>
      <c r="C341" t="s">
        <v>398</v>
      </c>
      <c r="D341" t="s">
        <v>16</v>
      </c>
      <c r="E341" t="s">
        <v>17</v>
      </c>
      <c r="F341" s="3">
        <v>100</v>
      </c>
      <c r="G341">
        <v>36</v>
      </c>
      <c r="H341">
        <v>12.5</v>
      </c>
      <c r="I341">
        <v>20</v>
      </c>
      <c r="J341" t="s">
        <v>44</v>
      </c>
      <c r="K341" t="s">
        <v>20</v>
      </c>
      <c r="L341" t="s">
        <v>236</v>
      </c>
      <c r="M341" s="3">
        <v>70</v>
      </c>
      <c r="N341" s="2">
        <v>8000</v>
      </c>
      <c r="O341" t="str">
        <f t="shared" si="10"/>
        <v>&lt;=100</v>
      </c>
      <c r="P341" t="str">
        <f t="shared" si="11"/>
        <v>&lt;= 10000$</v>
      </c>
    </row>
    <row r="342" spans="1:16" x14ac:dyDescent="0.25">
      <c r="A342">
        <v>398</v>
      </c>
      <c r="B342" t="s">
        <v>14</v>
      </c>
      <c r="C342" t="s">
        <v>397</v>
      </c>
      <c r="D342" t="s">
        <v>16</v>
      </c>
      <c r="E342" t="s">
        <v>17</v>
      </c>
      <c r="F342" s="3">
        <v>100</v>
      </c>
      <c r="G342">
        <v>41</v>
      </c>
      <c r="H342">
        <v>11.7</v>
      </c>
      <c r="I342">
        <v>20</v>
      </c>
      <c r="J342" t="s">
        <v>34</v>
      </c>
      <c r="K342" t="s">
        <v>20</v>
      </c>
      <c r="L342" t="s">
        <v>21</v>
      </c>
      <c r="M342" s="3">
        <v>70</v>
      </c>
      <c r="N342" s="2">
        <v>8000</v>
      </c>
      <c r="O342" t="str">
        <f t="shared" si="10"/>
        <v>&lt;=100</v>
      </c>
      <c r="P342" t="str">
        <f t="shared" si="11"/>
        <v>&lt;= 10000$</v>
      </c>
    </row>
    <row r="343" spans="1:16" x14ac:dyDescent="0.25">
      <c r="A343">
        <v>399</v>
      </c>
      <c r="B343" t="s">
        <v>14</v>
      </c>
      <c r="C343" t="s">
        <v>397</v>
      </c>
      <c r="D343" t="s">
        <v>16</v>
      </c>
      <c r="E343" t="s">
        <v>17</v>
      </c>
      <c r="F343" s="3">
        <v>100</v>
      </c>
      <c r="G343">
        <v>41</v>
      </c>
      <c r="H343">
        <v>11.8</v>
      </c>
      <c r="I343">
        <v>21</v>
      </c>
      <c r="J343" t="s">
        <v>28</v>
      </c>
      <c r="K343" t="s">
        <v>20</v>
      </c>
      <c r="L343" t="s">
        <v>21</v>
      </c>
      <c r="M343" s="3">
        <v>70</v>
      </c>
      <c r="N343" s="2">
        <v>7800</v>
      </c>
      <c r="O343" t="str">
        <f t="shared" si="10"/>
        <v>&lt;=100</v>
      </c>
      <c r="P343" t="str">
        <f t="shared" si="11"/>
        <v>&lt;= 10000$</v>
      </c>
    </row>
    <row r="344" spans="1:16" x14ac:dyDescent="0.25">
      <c r="A344">
        <v>400</v>
      </c>
      <c r="B344" t="s">
        <v>14</v>
      </c>
      <c r="C344" t="s">
        <v>398</v>
      </c>
      <c r="D344" t="s">
        <v>209</v>
      </c>
      <c r="E344" t="s">
        <v>17</v>
      </c>
      <c r="F344" s="3">
        <v>100</v>
      </c>
      <c r="G344">
        <v>36</v>
      </c>
      <c r="H344">
        <v>12</v>
      </c>
      <c r="I344">
        <v>20</v>
      </c>
      <c r="J344" t="s">
        <v>28</v>
      </c>
      <c r="K344" t="s">
        <v>20</v>
      </c>
      <c r="L344" t="s">
        <v>21</v>
      </c>
      <c r="M344" s="3">
        <v>70</v>
      </c>
      <c r="N344" s="2">
        <v>7650</v>
      </c>
      <c r="O344" t="str">
        <f t="shared" si="10"/>
        <v>&lt;=100</v>
      </c>
      <c r="P344" t="str">
        <f t="shared" si="11"/>
        <v>&lt;= 10000$</v>
      </c>
    </row>
    <row r="345" spans="1:16" x14ac:dyDescent="0.25">
      <c r="A345">
        <v>401</v>
      </c>
      <c r="B345" t="s">
        <v>14</v>
      </c>
      <c r="C345" t="s">
        <v>398</v>
      </c>
      <c r="D345" t="s">
        <v>16</v>
      </c>
      <c r="E345" t="s">
        <v>17</v>
      </c>
      <c r="F345" s="3">
        <v>100</v>
      </c>
      <c r="G345">
        <v>36</v>
      </c>
      <c r="H345">
        <v>12</v>
      </c>
      <c r="I345">
        <v>20</v>
      </c>
      <c r="J345" t="s">
        <v>44</v>
      </c>
      <c r="K345" t="s">
        <v>20</v>
      </c>
      <c r="L345" t="s">
        <v>21</v>
      </c>
      <c r="M345" s="3">
        <v>70</v>
      </c>
      <c r="N345" s="2">
        <v>7500</v>
      </c>
      <c r="O345" t="str">
        <f t="shared" si="10"/>
        <v>&lt;=100</v>
      </c>
      <c r="P345" t="str">
        <f t="shared" si="11"/>
        <v>&lt;= 10000$</v>
      </c>
    </row>
    <row r="346" spans="1:16" x14ac:dyDescent="0.25">
      <c r="A346">
        <v>402</v>
      </c>
      <c r="B346" t="s">
        <v>14</v>
      </c>
      <c r="C346" t="s">
        <v>398</v>
      </c>
      <c r="D346" t="s">
        <v>16</v>
      </c>
      <c r="E346" t="s">
        <v>17</v>
      </c>
      <c r="F346" s="3">
        <v>100</v>
      </c>
      <c r="G346">
        <v>36</v>
      </c>
      <c r="H346">
        <v>12.5</v>
      </c>
      <c r="I346">
        <v>20</v>
      </c>
      <c r="J346" t="s">
        <v>28</v>
      </c>
      <c r="K346" t="s">
        <v>20</v>
      </c>
      <c r="L346" t="s">
        <v>228</v>
      </c>
      <c r="M346" s="3">
        <v>70</v>
      </c>
      <c r="N346" s="2">
        <v>7400</v>
      </c>
      <c r="O346" t="str">
        <f t="shared" si="10"/>
        <v>&lt;=100</v>
      </c>
      <c r="P346" t="str">
        <f t="shared" si="11"/>
        <v>&lt;= 10000$</v>
      </c>
    </row>
    <row r="347" spans="1:16" x14ac:dyDescent="0.25">
      <c r="A347">
        <v>403</v>
      </c>
      <c r="B347" t="s">
        <v>14</v>
      </c>
      <c r="C347" t="s">
        <v>398</v>
      </c>
      <c r="D347" t="s">
        <v>16</v>
      </c>
      <c r="E347" t="s">
        <v>17</v>
      </c>
      <c r="F347" s="3">
        <v>100</v>
      </c>
      <c r="G347">
        <v>36</v>
      </c>
      <c r="H347">
        <v>12.5</v>
      </c>
      <c r="I347">
        <v>20</v>
      </c>
      <c r="J347" t="s">
        <v>19</v>
      </c>
      <c r="K347" t="s">
        <v>20</v>
      </c>
      <c r="L347" t="s">
        <v>21</v>
      </c>
      <c r="M347" s="3">
        <v>70</v>
      </c>
      <c r="N347" s="2">
        <v>6500</v>
      </c>
      <c r="O347" t="str">
        <f t="shared" si="10"/>
        <v>&lt;=100</v>
      </c>
      <c r="P347" t="str">
        <f t="shared" si="11"/>
        <v>&lt;= 10000$</v>
      </c>
    </row>
    <row r="348" spans="1:16" x14ac:dyDescent="0.25">
      <c r="A348">
        <v>404</v>
      </c>
      <c r="B348" t="s">
        <v>51</v>
      </c>
      <c r="C348" t="s">
        <v>399</v>
      </c>
      <c r="D348" t="s">
        <v>26</v>
      </c>
      <c r="E348" t="s">
        <v>17</v>
      </c>
      <c r="F348" s="3">
        <v>200</v>
      </c>
      <c r="G348">
        <v>44.3</v>
      </c>
      <c r="H348">
        <v>12.9</v>
      </c>
      <c r="I348">
        <v>20</v>
      </c>
      <c r="J348" t="s">
        <v>19</v>
      </c>
      <c r="K348" t="s">
        <v>20</v>
      </c>
      <c r="L348" t="s">
        <v>21</v>
      </c>
      <c r="M348" s="3">
        <v>50</v>
      </c>
      <c r="N348" s="2">
        <v>1400</v>
      </c>
      <c r="O348" t="str">
        <f t="shared" si="10"/>
        <v>100-200</v>
      </c>
      <c r="P348" t="str">
        <f t="shared" si="11"/>
        <v xml:space="preserve"> &lt;=2000$</v>
      </c>
    </row>
    <row r="349" spans="1:16" x14ac:dyDescent="0.25">
      <c r="A349">
        <v>405</v>
      </c>
      <c r="B349" t="s">
        <v>51</v>
      </c>
      <c r="C349" t="s">
        <v>400</v>
      </c>
      <c r="D349" t="s">
        <v>154</v>
      </c>
      <c r="E349" t="s">
        <v>17</v>
      </c>
      <c r="F349" s="3">
        <v>200</v>
      </c>
      <c r="G349">
        <v>43</v>
      </c>
      <c r="H349">
        <v>13.2</v>
      </c>
      <c r="I349">
        <v>22</v>
      </c>
      <c r="J349" t="s">
        <v>28</v>
      </c>
      <c r="K349" t="s">
        <v>155</v>
      </c>
      <c r="L349" t="s">
        <v>21</v>
      </c>
      <c r="M349" s="3">
        <v>50</v>
      </c>
      <c r="N349" s="2">
        <v>1300</v>
      </c>
      <c r="O349" t="str">
        <f t="shared" si="10"/>
        <v>100-200</v>
      </c>
      <c r="P349" t="str">
        <f t="shared" si="11"/>
        <v xml:space="preserve"> &lt;=2000$</v>
      </c>
    </row>
    <row r="350" spans="1:16" x14ac:dyDescent="0.25">
      <c r="A350">
        <v>406</v>
      </c>
      <c r="B350" t="s">
        <v>51</v>
      </c>
      <c r="C350" t="s">
        <v>399</v>
      </c>
      <c r="D350" t="s">
        <v>154</v>
      </c>
      <c r="E350" t="s">
        <v>17</v>
      </c>
      <c r="F350" s="3">
        <v>200</v>
      </c>
      <c r="G350">
        <v>44.3</v>
      </c>
      <c r="H350">
        <v>12.7</v>
      </c>
      <c r="I350">
        <v>20</v>
      </c>
      <c r="J350" t="s">
        <v>28</v>
      </c>
      <c r="K350" t="s">
        <v>20</v>
      </c>
      <c r="L350" t="s">
        <v>177</v>
      </c>
      <c r="M350" s="3">
        <v>41</v>
      </c>
      <c r="N350" s="2">
        <v>1200</v>
      </c>
      <c r="O350" t="str">
        <f t="shared" si="10"/>
        <v>100-200</v>
      </c>
      <c r="P350" t="str">
        <f t="shared" si="11"/>
        <v xml:space="preserve"> &lt;=2000$</v>
      </c>
    </row>
    <row r="351" spans="1:16" x14ac:dyDescent="0.25">
      <c r="A351">
        <v>407</v>
      </c>
      <c r="B351" t="s">
        <v>51</v>
      </c>
      <c r="C351" t="s">
        <v>399</v>
      </c>
      <c r="D351" t="s">
        <v>154</v>
      </c>
      <c r="E351" t="s">
        <v>17</v>
      </c>
      <c r="F351" s="3">
        <v>200</v>
      </c>
      <c r="G351">
        <v>44.3</v>
      </c>
      <c r="H351">
        <v>13.1</v>
      </c>
      <c r="I351">
        <v>22</v>
      </c>
      <c r="J351" t="s">
        <v>19</v>
      </c>
      <c r="K351" t="s">
        <v>155</v>
      </c>
      <c r="L351" t="s">
        <v>68</v>
      </c>
      <c r="M351" s="3">
        <v>50</v>
      </c>
      <c r="N351" s="2">
        <v>1200</v>
      </c>
      <c r="O351" t="str">
        <f t="shared" si="10"/>
        <v>100-200</v>
      </c>
      <c r="P351" t="str">
        <f t="shared" si="11"/>
        <v xml:space="preserve"> &lt;=2000$</v>
      </c>
    </row>
    <row r="352" spans="1:16" x14ac:dyDescent="0.25">
      <c r="A352">
        <v>408</v>
      </c>
      <c r="B352" t="s">
        <v>51</v>
      </c>
      <c r="C352" t="s">
        <v>401</v>
      </c>
      <c r="D352" t="s">
        <v>154</v>
      </c>
      <c r="E352" t="s">
        <v>17</v>
      </c>
      <c r="F352" s="3">
        <v>200</v>
      </c>
      <c r="G352">
        <v>42.3</v>
      </c>
      <c r="H352">
        <v>13.4</v>
      </c>
      <c r="I352">
        <v>22</v>
      </c>
      <c r="J352" t="s">
        <v>28</v>
      </c>
      <c r="K352" t="s">
        <v>155</v>
      </c>
      <c r="L352" t="s">
        <v>45</v>
      </c>
      <c r="M352" s="3">
        <v>50</v>
      </c>
      <c r="N352" s="2">
        <v>650</v>
      </c>
      <c r="O352" t="str">
        <f t="shared" si="10"/>
        <v>100-200</v>
      </c>
      <c r="P352" t="str">
        <f t="shared" si="11"/>
        <v>&lt;= 1000$</v>
      </c>
    </row>
    <row r="353" spans="1:16" x14ac:dyDescent="0.25">
      <c r="A353">
        <v>409</v>
      </c>
      <c r="B353" t="s">
        <v>71</v>
      </c>
      <c r="C353" t="s">
        <v>402</v>
      </c>
      <c r="D353" t="s">
        <v>154</v>
      </c>
      <c r="E353" t="s">
        <v>17</v>
      </c>
      <c r="F353" s="3">
        <v>500</v>
      </c>
      <c r="G353">
        <v>45</v>
      </c>
      <c r="H353">
        <v>14.7</v>
      </c>
      <c r="I353">
        <v>22</v>
      </c>
      <c r="J353" t="s">
        <v>19</v>
      </c>
      <c r="K353" t="s">
        <v>20</v>
      </c>
      <c r="L353" t="s">
        <v>45</v>
      </c>
      <c r="M353" s="3">
        <v>38</v>
      </c>
      <c r="N353" s="2">
        <v>3350</v>
      </c>
      <c r="O353" t="str">
        <f t="shared" si="10"/>
        <v>300-500</v>
      </c>
      <c r="P353" t="str">
        <f t="shared" si="11"/>
        <v>&lt;=5000$</v>
      </c>
    </row>
    <row r="354" spans="1:16" x14ac:dyDescent="0.25">
      <c r="A354">
        <v>410</v>
      </c>
      <c r="B354" t="s">
        <v>71</v>
      </c>
      <c r="C354" t="s">
        <v>403</v>
      </c>
      <c r="D354" t="s">
        <v>26</v>
      </c>
      <c r="E354" t="s">
        <v>17</v>
      </c>
      <c r="F354" s="3">
        <v>1000</v>
      </c>
      <c r="G354">
        <v>44</v>
      </c>
      <c r="H354">
        <v>14.3</v>
      </c>
      <c r="I354">
        <v>22</v>
      </c>
      <c r="J354" t="s">
        <v>19</v>
      </c>
      <c r="K354" t="s">
        <v>20</v>
      </c>
      <c r="L354" t="s">
        <v>45</v>
      </c>
      <c r="M354" s="3">
        <v>38</v>
      </c>
      <c r="N354" s="2">
        <v>2500</v>
      </c>
      <c r="O354" t="str">
        <f t="shared" si="10"/>
        <v>1000+</v>
      </c>
      <c r="P354" t="str">
        <f t="shared" si="11"/>
        <v>&lt;=5000$</v>
      </c>
    </row>
    <row r="355" spans="1:16" x14ac:dyDescent="0.25">
      <c r="A355">
        <v>411</v>
      </c>
      <c r="B355" t="s">
        <v>71</v>
      </c>
      <c r="C355" t="s">
        <v>404</v>
      </c>
      <c r="D355" t="s">
        <v>32</v>
      </c>
      <c r="E355" t="s">
        <v>17</v>
      </c>
      <c r="F355" s="3">
        <v>200</v>
      </c>
      <c r="G355">
        <v>41</v>
      </c>
      <c r="H355">
        <v>11.5</v>
      </c>
      <c r="I355">
        <v>20</v>
      </c>
      <c r="J355" t="s">
        <v>19</v>
      </c>
      <c r="K355" t="s">
        <v>20</v>
      </c>
      <c r="L355" t="s">
        <v>21</v>
      </c>
      <c r="M355" s="3">
        <v>42</v>
      </c>
      <c r="N355" s="2">
        <v>1400</v>
      </c>
      <c r="O355" t="str">
        <f t="shared" si="10"/>
        <v>100-200</v>
      </c>
      <c r="P355" t="str">
        <f t="shared" si="11"/>
        <v xml:space="preserve"> &lt;=2000$</v>
      </c>
    </row>
    <row r="356" spans="1:16" x14ac:dyDescent="0.25">
      <c r="A356">
        <v>412</v>
      </c>
      <c r="B356" t="s">
        <v>220</v>
      </c>
      <c r="C356" t="s">
        <v>405</v>
      </c>
      <c r="D356" t="s">
        <v>32</v>
      </c>
      <c r="E356" t="s">
        <v>17</v>
      </c>
      <c r="F356" s="3">
        <v>100</v>
      </c>
      <c r="G356">
        <v>39</v>
      </c>
      <c r="H356">
        <v>14</v>
      </c>
      <c r="I356">
        <v>22</v>
      </c>
      <c r="J356" t="s">
        <v>28</v>
      </c>
      <c r="K356" t="s">
        <v>20</v>
      </c>
      <c r="L356" t="s">
        <v>35</v>
      </c>
      <c r="M356" s="3">
        <v>42</v>
      </c>
      <c r="N356" s="2">
        <v>6550</v>
      </c>
      <c r="O356" t="str">
        <f t="shared" si="10"/>
        <v>&lt;=100</v>
      </c>
      <c r="P356" t="str">
        <f t="shared" si="11"/>
        <v>&lt;= 10000$</v>
      </c>
    </row>
    <row r="357" spans="1:16" x14ac:dyDescent="0.25">
      <c r="A357">
        <v>413</v>
      </c>
      <c r="B357" t="s">
        <v>30</v>
      </c>
      <c r="C357" t="s">
        <v>405</v>
      </c>
      <c r="D357" t="s">
        <v>32</v>
      </c>
      <c r="E357" t="s">
        <v>17</v>
      </c>
      <c r="F357" s="3">
        <v>100</v>
      </c>
      <c r="G357">
        <v>39</v>
      </c>
      <c r="H357">
        <v>14.5</v>
      </c>
      <c r="I357">
        <v>22</v>
      </c>
      <c r="J357" t="s">
        <v>28</v>
      </c>
      <c r="K357" t="s">
        <v>20</v>
      </c>
      <c r="L357" t="s">
        <v>35</v>
      </c>
      <c r="M357" s="3">
        <v>42</v>
      </c>
      <c r="N357" s="2">
        <v>5900</v>
      </c>
      <c r="O357" t="str">
        <f t="shared" si="10"/>
        <v>&lt;=100</v>
      </c>
      <c r="P357" t="str">
        <f t="shared" si="11"/>
        <v>&lt;= 10000$</v>
      </c>
    </row>
    <row r="358" spans="1:16" x14ac:dyDescent="0.25">
      <c r="A358">
        <v>414</v>
      </c>
      <c r="B358" t="s">
        <v>30</v>
      </c>
      <c r="C358" t="s">
        <v>405</v>
      </c>
      <c r="D358" t="s">
        <v>32</v>
      </c>
      <c r="E358" t="s">
        <v>17</v>
      </c>
      <c r="F358" s="3">
        <v>100</v>
      </c>
      <c r="G358">
        <v>39</v>
      </c>
      <c r="H358">
        <v>14.5</v>
      </c>
      <c r="I358">
        <v>22</v>
      </c>
      <c r="J358" t="s">
        <v>28</v>
      </c>
      <c r="K358" t="s">
        <v>20</v>
      </c>
      <c r="L358" t="s">
        <v>35</v>
      </c>
      <c r="M358" s="3">
        <v>40</v>
      </c>
      <c r="N358" s="2">
        <v>5200</v>
      </c>
      <c r="O358" t="str">
        <f t="shared" si="10"/>
        <v>&lt;=100</v>
      </c>
      <c r="P358" t="str">
        <f t="shared" si="11"/>
        <v>&lt;= 10000$</v>
      </c>
    </row>
    <row r="359" spans="1:16" x14ac:dyDescent="0.25">
      <c r="A359">
        <v>415</v>
      </c>
      <c r="B359" t="s">
        <v>30</v>
      </c>
      <c r="C359" t="s">
        <v>405</v>
      </c>
      <c r="D359" t="s">
        <v>32</v>
      </c>
      <c r="E359" t="s">
        <v>17</v>
      </c>
      <c r="F359" s="3">
        <v>100</v>
      </c>
      <c r="G359">
        <v>39</v>
      </c>
      <c r="H359">
        <v>14</v>
      </c>
      <c r="I359">
        <v>22</v>
      </c>
      <c r="J359" t="s">
        <v>28</v>
      </c>
      <c r="K359" t="s">
        <v>20</v>
      </c>
      <c r="L359" t="s">
        <v>35</v>
      </c>
      <c r="M359" s="3">
        <v>40</v>
      </c>
      <c r="N359" s="2">
        <v>4950</v>
      </c>
      <c r="O359" t="str">
        <f t="shared" si="10"/>
        <v>&lt;=100</v>
      </c>
      <c r="P359" t="str">
        <f t="shared" si="11"/>
        <v>&lt;=5000$</v>
      </c>
    </row>
    <row r="360" spans="1:16" x14ac:dyDescent="0.25">
      <c r="A360">
        <v>416</v>
      </c>
      <c r="B360" t="s">
        <v>30</v>
      </c>
      <c r="C360" t="s">
        <v>406</v>
      </c>
      <c r="D360" t="s">
        <v>32</v>
      </c>
      <c r="E360" t="s">
        <v>17</v>
      </c>
      <c r="F360" s="3">
        <v>100</v>
      </c>
      <c r="G360">
        <v>41</v>
      </c>
      <c r="H360">
        <v>13</v>
      </c>
      <c r="I360">
        <v>20</v>
      </c>
      <c r="J360" t="s">
        <v>34</v>
      </c>
      <c r="K360" t="s">
        <v>20</v>
      </c>
      <c r="L360" t="s">
        <v>35</v>
      </c>
      <c r="M360" s="3">
        <v>42</v>
      </c>
      <c r="N360" s="2">
        <v>4200</v>
      </c>
      <c r="O360" t="str">
        <f t="shared" si="10"/>
        <v>&lt;=100</v>
      </c>
      <c r="P360" t="str">
        <f t="shared" si="11"/>
        <v>&lt;=5000$</v>
      </c>
    </row>
    <row r="361" spans="1:16" x14ac:dyDescent="0.25">
      <c r="A361">
        <v>417</v>
      </c>
      <c r="B361" t="s">
        <v>30</v>
      </c>
      <c r="C361" t="s">
        <v>406</v>
      </c>
      <c r="D361" t="s">
        <v>32</v>
      </c>
      <c r="E361" t="s">
        <v>17</v>
      </c>
      <c r="F361" s="3">
        <v>100</v>
      </c>
      <c r="G361">
        <v>41</v>
      </c>
      <c r="H361">
        <v>13</v>
      </c>
      <c r="I361">
        <v>20</v>
      </c>
      <c r="J361" t="s">
        <v>34</v>
      </c>
      <c r="K361" t="s">
        <v>20</v>
      </c>
      <c r="L361" t="s">
        <v>35</v>
      </c>
      <c r="M361" s="3">
        <v>42</v>
      </c>
      <c r="N361" s="2">
        <v>4200</v>
      </c>
      <c r="O361" t="str">
        <f t="shared" si="10"/>
        <v>&lt;=100</v>
      </c>
      <c r="P361" t="str">
        <f t="shared" si="11"/>
        <v>&lt;=5000$</v>
      </c>
    </row>
    <row r="362" spans="1:16" x14ac:dyDescent="0.25">
      <c r="A362">
        <v>418</v>
      </c>
      <c r="B362" t="s">
        <v>30</v>
      </c>
      <c r="C362" t="s">
        <v>407</v>
      </c>
      <c r="D362" t="s">
        <v>16</v>
      </c>
      <c r="E362" t="s">
        <v>17</v>
      </c>
      <c r="F362" s="3">
        <v>300</v>
      </c>
      <c r="G362">
        <v>43</v>
      </c>
      <c r="H362">
        <v>13</v>
      </c>
      <c r="I362">
        <v>21</v>
      </c>
      <c r="J362" t="s">
        <v>28</v>
      </c>
      <c r="K362" t="s">
        <v>20</v>
      </c>
      <c r="L362" t="s">
        <v>21</v>
      </c>
      <c r="M362" s="3">
        <v>38</v>
      </c>
      <c r="N362" s="2">
        <v>3700</v>
      </c>
      <c r="O362" t="str">
        <f t="shared" si="10"/>
        <v>200-300</v>
      </c>
      <c r="P362" t="str">
        <f t="shared" si="11"/>
        <v>&lt;=5000$</v>
      </c>
    </row>
    <row r="363" spans="1:16" x14ac:dyDescent="0.25">
      <c r="A363">
        <v>419</v>
      </c>
      <c r="B363" t="s">
        <v>220</v>
      </c>
      <c r="C363" t="s">
        <v>407</v>
      </c>
      <c r="D363" t="s">
        <v>16</v>
      </c>
      <c r="E363" t="s">
        <v>17</v>
      </c>
      <c r="F363" s="3">
        <v>300</v>
      </c>
      <c r="G363">
        <v>43</v>
      </c>
      <c r="H363">
        <v>12.5</v>
      </c>
      <c r="I363">
        <v>21</v>
      </c>
      <c r="J363" t="s">
        <v>19</v>
      </c>
      <c r="K363" t="s">
        <v>20</v>
      </c>
      <c r="L363" t="s">
        <v>21</v>
      </c>
      <c r="M363" s="3">
        <v>38</v>
      </c>
      <c r="N363" s="2">
        <v>3100</v>
      </c>
      <c r="O363" t="str">
        <f t="shared" si="10"/>
        <v>200-300</v>
      </c>
      <c r="P363" t="str">
        <f t="shared" si="11"/>
        <v>&lt;=5000$</v>
      </c>
    </row>
    <row r="364" spans="1:16" x14ac:dyDescent="0.25">
      <c r="A364">
        <v>420</v>
      </c>
      <c r="B364" t="s">
        <v>30</v>
      </c>
      <c r="C364" t="s">
        <v>408</v>
      </c>
      <c r="D364" t="s">
        <v>16</v>
      </c>
      <c r="E364" t="s">
        <v>17</v>
      </c>
      <c r="F364" s="3">
        <v>300</v>
      </c>
      <c r="G364">
        <v>41</v>
      </c>
      <c r="H364">
        <v>12</v>
      </c>
      <c r="I364">
        <v>20</v>
      </c>
      <c r="J364" t="s">
        <v>28</v>
      </c>
      <c r="K364" t="s">
        <v>20</v>
      </c>
      <c r="L364" t="s">
        <v>21</v>
      </c>
      <c r="M364" s="3">
        <v>38</v>
      </c>
      <c r="N364" s="2">
        <v>2800</v>
      </c>
      <c r="O364" t="str">
        <f t="shared" si="10"/>
        <v>200-300</v>
      </c>
      <c r="P364" t="str">
        <f t="shared" si="11"/>
        <v>&lt;=5000$</v>
      </c>
    </row>
    <row r="365" spans="1:16" x14ac:dyDescent="0.25">
      <c r="A365">
        <v>421</v>
      </c>
      <c r="B365" t="s">
        <v>30</v>
      </c>
      <c r="C365" t="s">
        <v>408</v>
      </c>
      <c r="D365" t="s">
        <v>16</v>
      </c>
      <c r="E365" t="s">
        <v>17</v>
      </c>
      <c r="F365" s="3">
        <v>300</v>
      </c>
      <c r="G365">
        <v>41</v>
      </c>
      <c r="H365">
        <v>12.5</v>
      </c>
      <c r="I365">
        <v>20</v>
      </c>
      <c r="J365" t="s">
        <v>19</v>
      </c>
      <c r="K365" t="s">
        <v>20</v>
      </c>
      <c r="L365" t="s">
        <v>21</v>
      </c>
      <c r="M365" s="3">
        <v>38</v>
      </c>
      <c r="N365" s="2">
        <v>2700</v>
      </c>
      <c r="O365" t="str">
        <f t="shared" si="10"/>
        <v>200-300</v>
      </c>
      <c r="P365" t="str">
        <f t="shared" si="11"/>
        <v>&lt;=5000$</v>
      </c>
    </row>
    <row r="366" spans="1:16" x14ac:dyDescent="0.25">
      <c r="A366">
        <v>425</v>
      </c>
      <c r="B366" t="s">
        <v>56</v>
      </c>
      <c r="C366" t="s">
        <v>410</v>
      </c>
      <c r="D366" t="s">
        <v>32</v>
      </c>
      <c r="E366" t="s">
        <v>17</v>
      </c>
      <c r="F366" s="3">
        <v>30</v>
      </c>
      <c r="G366">
        <v>39.299999999999997</v>
      </c>
      <c r="H366">
        <v>9.75</v>
      </c>
      <c r="I366">
        <v>19</v>
      </c>
      <c r="J366" t="s">
        <v>34</v>
      </c>
      <c r="K366" t="s">
        <v>20</v>
      </c>
      <c r="L366" t="s">
        <v>21</v>
      </c>
      <c r="M366" s="3">
        <v>38</v>
      </c>
      <c r="N366" s="2">
        <v>650</v>
      </c>
      <c r="O366" t="str">
        <f t="shared" si="10"/>
        <v>&lt;=100</v>
      </c>
      <c r="P366" t="str">
        <f t="shared" si="11"/>
        <v>&lt;= 1000$</v>
      </c>
    </row>
    <row r="367" spans="1:16" x14ac:dyDescent="0.25">
      <c r="A367">
        <v>426</v>
      </c>
      <c r="B367" t="s">
        <v>56</v>
      </c>
      <c r="C367" t="s">
        <v>410</v>
      </c>
      <c r="D367" t="s">
        <v>32</v>
      </c>
      <c r="E367" t="s">
        <v>17</v>
      </c>
      <c r="F367" s="3">
        <v>30</v>
      </c>
      <c r="G367">
        <v>39.299999999999997</v>
      </c>
      <c r="H367">
        <v>9.75</v>
      </c>
      <c r="I367">
        <v>20</v>
      </c>
      <c r="J367" t="s">
        <v>44</v>
      </c>
      <c r="K367" t="s">
        <v>20</v>
      </c>
      <c r="L367" t="s">
        <v>21</v>
      </c>
      <c r="M367" s="3">
        <v>38</v>
      </c>
      <c r="N367" s="2">
        <v>650</v>
      </c>
      <c r="O367" t="str">
        <f t="shared" si="10"/>
        <v>&lt;=100</v>
      </c>
      <c r="P367" t="str">
        <f t="shared" si="11"/>
        <v>&lt;= 1000$</v>
      </c>
    </row>
    <row r="368" spans="1:16" x14ac:dyDescent="0.25">
      <c r="A368">
        <v>427</v>
      </c>
      <c r="B368" t="s">
        <v>89</v>
      </c>
      <c r="C368" t="s">
        <v>411</v>
      </c>
      <c r="D368" t="s">
        <v>140</v>
      </c>
      <c r="E368" t="s">
        <v>17</v>
      </c>
      <c r="F368" s="3">
        <v>200</v>
      </c>
      <c r="G368">
        <v>41</v>
      </c>
      <c r="H368">
        <v>12.7</v>
      </c>
      <c r="I368">
        <v>22</v>
      </c>
      <c r="J368" t="s">
        <v>19</v>
      </c>
      <c r="K368" t="s">
        <v>20</v>
      </c>
      <c r="L368" t="s">
        <v>45</v>
      </c>
      <c r="M368" s="3">
        <v>70</v>
      </c>
      <c r="N368" s="2">
        <v>4500</v>
      </c>
      <c r="O368" t="str">
        <f t="shared" si="10"/>
        <v>100-200</v>
      </c>
      <c r="P368" t="str">
        <f t="shared" si="11"/>
        <v>&lt;=5000$</v>
      </c>
    </row>
    <row r="369" spans="1:16" x14ac:dyDescent="0.25">
      <c r="A369">
        <v>428</v>
      </c>
      <c r="B369" t="s">
        <v>89</v>
      </c>
      <c r="C369" t="s">
        <v>412</v>
      </c>
      <c r="D369" t="s">
        <v>16</v>
      </c>
      <c r="E369" t="s">
        <v>17</v>
      </c>
      <c r="F369" s="3">
        <v>200</v>
      </c>
      <c r="G369">
        <v>41</v>
      </c>
      <c r="H369">
        <v>14.5</v>
      </c>
      <c r="I369">
        <v>22</v>
      </c>
      <c r="J369" t="s">
        <v>19</v>
      </c>
      <c r="K369" t="s">
        <v>20</v>
      </c>
      <c r="L369" t="s">
        <v>92</v>
      </c>
      <c r="M369" s="3">
        <v>70</v>
      </c>
      <c r="N369" s="2">
        <v>4500</v>
      </c>
      <c r="O369" t="str">
        <f t="shared" si="10"/>
        <v>100-200</v>
      </c>
      <c r="P369" t="str">
        <f t="shared" si="11"/>
        <v>&lt;=5000$</v>
      </c>
    </row>
    <row r="370" spans="1:16" x14ac:dyDescent="0.25">
      <c r="A370">
        <v>429</v>
      </c>
      <c r="B370" t="s">
        <v>89</v>
      </c>
      <c r="C370" t="s">
        <v>411</v>
      </c>
      <c r="D370" t="s">
        <v>140</v>
      </c>
      <c r="E370" t="s">
        <v>17</v>
      </c>
      <c r="F370" s="3">
        <v>200</v>
      </c>
      <c r="G370">
        <v>41</v>
      </c>
      <c r="H370">
        <v>11.9</v>
      </c>
      <c r="I370">
        <v>22</v>
      </c>
      <c r="J370" t="s">
        <v>19</v>
      </c>
      <c r="K370" t="s">
        <v>20</v>
      </c>
      <c r="L370" t="s">
        <v>21</v>
      </c>
      <c r="M370" s="3">
        <v>70</v>
      </c>
      <c r="N370" s="2">
        <v>4100</v>
      </c>
      <c r="O370" t="str">
        <f t="shared" si="10"/>
        <v>100-200</v>
      </c>
      <c r="P370" t="str">
        <f t="shared" si="11"/>
        <v>&lt;=5000$</v>
      </c>
    </row>
    <row r="371" spans="1:16" x14ac:dyDescent="0.25">
      <c r="A371">
        <v>430</v>
      </c>
      <c r="B371" t="s">
        <v>89</v>
      </c>
      <c r="C371" t="s">
        <v>412</v>
      </c>
      <c r="D371" t="s">
        <v>16</v>
      </c>
      <c r="E371" t="s">
        <v>17</v>
      </c>
      <c r="F371" s="3">
        <v>200</v>
      </c>
      <c r="G371">
        <v>41</v>
      </c>
      <c r="H371">
        <v>14.5</v>
      </c>
      <c r="I371">
        <v>22</v>
      </c>
      <c r="J371" t="s">
        <v>19</v>
      </c>
      <c r="K371" t="s">
        <v>20</v>
      </c>
      <c r="L371" t="s">
        <v>92</v>
      </c>
      <c r="M371" s="3">
        <v>70</v>
      </c>
      <c r="N371" s="2">
        <v>4000</v>
      </c>
      <c r="O371" t="str">
        <f t="shared" si="10"/>
        <v>100-200</v>
      </c>
      <c r="P371" t="str">
        <f t="shared" si="11"/>
        <v>&lt;=5000$</v>
      </c>
    </row>
    <row r="372" spans="1:16" x14ac:dyDescent="0.25">
      <c r="A372">
        <v>431</v>
      </c>
      <c r="B372" t="s">
        <v>89</v>
      </c>
      <c r="C372" t="s">
        <v>411</v>
      </c>
      <c r="D372" t="s">
        <v>32</v>
      </c>
      <c r="E372" t="s">
        <v>17</v>
      </c>
      <c r="F372" s="3">
        <v>200</v>
      </c>
      <c r="G372">
        <v>41</v>
      </c>
      <c r="H372">
        <v>12.7</v>
      </c>
      <c r="I372">
        <v>22</v>
      </c>
      <c r="J372" t="s">
        <v>19</v>
      </c>
      <c r="K372" t="s">
        <v>20</v>
      </c>
      <c r="L372" t="s">
        <v>21</v>
      </c>
      <c r="M372" s="3">
        <v>70</v>
      </c>
      <c r="N372" s="2">
        <v>3900</v>
      </c>
      <c r="O372" t="str">
        <f t="shared" si="10"/>
        <v>100-200</v>
      </c>
      <c r="P372" t="str">
        <f t="shared" si="11"/>
        <v>&lt;=5000$</v>
      </c>
    </row>
    <row r="373" spans="1:16" x14ac:dyDescent="0.25">
      <c r="A373">
        <v>432</v>
      </c>
      <c r="B373" t="s">
        <v>89</v>
      </c>
      <c r="C373" t="s">
        <v>411</v>
      </c>
      <c r="D373" t="s">
        <v>32</v>
      </c>
      <c r="E373" t="s">
        <v>17</v>
      </c>
      <c r="F373" s="3">
        <v>200</v>
      </c>
      <c r="G373">
        <v>41</v>
      </c>
      <c r="H373">
        <v>12.7</v>
      </c>
      <c r="I373">
        <v>22</v>
      </c>
      <c r="J373" t="s">
        <v>19</v>
      </c>
      <c r="K373" t="s">
        <v>20</v>
      </c>
      <c r="L373" t="s">
        <v>21</v>
      </c>
      <c r="M373" s="3">
        <v>70</v>
      </c>
      <c r="N373" s="2">
        <v>3800</v>
      </c>
      <c r="O373" t="str">
        <f t="shared" si="10"/>
        <v>100-200</v>
      </c>
      <c r="P373" t="str">
        <f t="shared" si="11"/>
        <v>&lt;=5000$</v>
      </c>
    </row>
    <row r="374" spans="1:16" x14ac:dyDescent="0.25">
      <c r="A374">
        <v>433</v>
      </c>
      <c r="B374" t="s">
        <v>89</v>
      </c>
      <c r="C374" t="s">
        <v>411</v>
      </c>
      <c r="D374" t="s">
        <v>32</v>
      </c>
      <c r="E374" t="s">
        <v>17</v>
      </c>
      <c r="F374" s="3">
        <v>200</v>
      </c>
      <c r="G374">
        <v>41</v>
      </c>
      <c r="H374">
        <v>14.75</v>
      </c>
      <c r="I374">
        <v>22</v>
      </c>
      <c r="J374" t="s">
        <v>19</v>
      </c>
      <c r="K374" t="s">
        <v>20</v>
      </c>
      <c r="L374" t="s">
        <v>45</v>
      </c>
      <c r="M374" s="3">
        <v>70</v>
      </c>
      <c r="N374" s="2">
        <v>3800</v>
      </c>
      <c r="O374" t="str">
        <f t="shared" si="10"/>
        <v>100-200</v>
      </c>
      <c r="P374" t="str">
        <f t="shared" si="11"/>
        <v>&lt;=5000$</v>
      </c>
    </row>
    <row r="375" spans="1:16" x14ac:dyDescent="0.25">
      <c r="A375">
        <v>434</v>
      </c>
      <c r="B375" t="s">
        <v>89</v>
      </c>
      <c r="C375" t="s">
        <v>411</v>
      </c>
      <c r="D375" t="s">
        <v>32</v>
      </c>
      <c r="E375" t="s">
        <v>17</v>
      </c>
      <c r="F375" s="3">
        <v>200</v>
      </c>
      <c r="G375">
        <v>41</v>
      </c>
      <c r="H375">
        <v>12.7</v>
      </c>
      <c r="I375">
        <v>22</v>
      </c>
      <c r="J375" t="s">
        <v>19</v>
      </c>
      <c r="K375" t="s">
        <v>20</v>
      </c>
      <c r="L375" t="s">
        <v>21</v>
      </c>
      <c r="M375" s="3">
        <v>70</v>
      </c>
      <c r="N375" s="2">
        <v>3800</v>
      </c>
      <c r="O375" t="str">
        <f t="shared" si="10"/>
        <v>100-200</v>
      </c>
      <c r="P375" t="str">
        <f t="shared" si="11"/>
        <v>&lt;=5000$</v>
      </c>
    </row>
    <row r="376" spans="1:16" x14ac:dyDescent="0.25">
      <c r="A376">
        <v>435</v>
      </c>
      <c r="B376" t="s">
        <v>89</v>
      </c>
      <c r="C376" t="s">
        <v>411</v>
      </c>
      <c r="D376" t="s">
        <v>32</v>
      </c>
      <c r="E376" t="s">
        <v>17</v>
      </c>
      <c r="F376" s="3">
        <v>200</v>
      </c>
      <c r="G376">
        <v>41</v>
      </c>
      <c r="H376">
        <v>14.75</v>
      </c>
      <c r="I376">
        <v>22</v>
      </c>
      <c r="J376" t="s">
        <v>19</v>
      </c>
      <c r="K376" t="s">
        <v>20</v>
      </c>
      <c r="L376" t="s">
        <v>45</v>
      </c>
      <c r="M376" s="3">
        <v>70</v>
      </c>
      <c r="N376" s="2">
        <v>3800</v>
      </c>
      <c r="O376" t="str">
        <f t="shared" si="10"/>
        <v>100-200</v>
      </c>
      <c r="P376" t="str">
        <f t="shared" si="11"/>
        <v>&lt;=5000$</v>
      </c>
    </row>
    <row r="377" spans="1:16" x14ac:dyDescent="0.25">
      <c r="A377">
        <v>436</v>
      </c>
      <c r="B377" t="s">
        <v>89</v>
      </c>
      <c r="C377" t="s">
        <v>411</v>
      </c>
      <c r="D377" t="s">
        <v>32</v>
      </c>
      <c r="E377" t="s">
        <v>17</v>
      </c>
      <c r="F377" s="3">
        <v>200</v>
      </c>
      <c r="G377">
        <v>41</v>
      </c>
      <c r="H377">
        <v>12.7</v>
      </c>
      <c r="I377">
        <v>22</v>
      </c>
      <c r="J377" t="s">
        <v>19</v>
      </c>
      <c r="K377" t="s">
        <v>20</v>
      </c>
      <c r="L377" t="s">
        <v>21</v>
      </c>
      <c r="M377" s="3">
        <v>70</v>
      </c>
      <c r="N377" s="2">
        <v>3600</v>
      </c>
      <c r="O377" t="str">
        <f t="shared" si="10"/>
        <v>100-200</v>
      </c>
      <c r="P377" t="str">
        <f t="shared" si="11"/>
        <v>&lt;=5000$</v>
      </c>
    </row>
    <row r="378" spans="1:16" x14ac:dyDescent="0.25">
      <c r="A378">
        <v>437</v>
      </c>
      <c r="B378" t="s">
        <v>89</v>
      </c>
      <c r="C378" t="s">
        <v>411</v>
      </c>
      <c r="D378" t="s">
        <v>32</v>
      </c>
      <c r="E378" t="s">
        <v>17</v>
      </c>
      <c r="F378" s="3">
        <v>200</v>
      </c>
      <c r="G378">
        <v>41</v>
      </c>
      <c r="H378">
        <v>11.9</v>
      </c>
      <c r="I378">
        <v>22</v>
      </c>
      <c r="J378" t="s">
        <v>19</v>
      </c>
      <c r="K378" t="s">
        <v>20</v>
      </c>
      <c r="L378" t="s">
        <v>45</v>
      </c>
      <c r="M378" s="3">
        <v>70</v>
      </c>
      <c r="N378" s="2">
        <v>3500</v>
      </c>
      <c r="O378" t="str">
        <f t="shared" si="10"/>
        <v>100-200</v>
      </c>
      <c r="P378" t="str">
        <f t="shared" si="11"/>
        <v>&lt;=5000$</v>
      </c>
    </row>
    <row r="379" spans="1:16" x14ac:dyDescent="0.25">
      <c r="A379">
        <v>438</v>
      </c>
      <c r="B379" t="s">
        <v>89</v>
      </c>
      <c r="C379" t="s">
        <v>411</v>
      </c>
      <c r="D379" t="s">
        <v>32</v>
      </c>
      <c r="E379" t="s">
        <v>17</v>
      </c>
      <c r="F379" s="3">
        <v>200</v>
      </c>
      <c r="G379">
        <v>41</v>
      </c>
      <c r="H379">
        <v>12.75</v>
      </c>
      <c r="I379">
        <v>22</v>
      </c>
      <c r="J379" t="s">
        <v>19</v>
      </c>
      <c r="K379" t="s">
        <v>20</v>
      </c>
      <c r="L379" t="s">
        <v>21</v>
      </c>
      <c r="M379" s="3">
        <v>70</v>
      </c>
      <c r="N379" s="2">
        <v>3500</v>
      </c>
      <c r="O379" t="str">
        <f t="shared" si="10"/>
        <v>100-200</v>
      </c>
      <c r="P379" t="str">
        <f t="shared" si="11"/>
        <v>&lt;=5000$</v>
      </c>
    </row>
    <row r="380" spans="1:16" x14ac:dyDescent="0.25">
      <c r="A380">
        <v>439</v>
      </c>
      <c r="B380" t="s">
        <v>89</v>
      </c>
      <c r="C380" t="s">
        <v>411</v>
      </c>
      <c r="D380" t="s">
        <v>32</v>
      </c>
      <c r="E380" t="s">
        <v>17</v>
      </c>
      <c r="F380" s="3">
        <v>200</v>
      </c>
      <c r="G380">
        <v>41</v>
      </c>
      <c r="H380">
        <v>12.7</v>
      </c>
      <c r="I380">
        <v>22</v>
      </c>
      <c r="J380" t="s">
        <v>19</v>
      </c>
      <c r="K380" t="s">
        <v>20</v>
      </c>
      <c r="L380" t="s">
        <v>45</v>
      </c>
      <c r="M380" s="3">
        <v>70</v>
      </c>
      <c r="N380" s="2">
        <v>3500</v>
      </c>
      <c r="O380" t="str">
        <f t="shared" si="10"/>
        <v>100-200</v>
      </c>
      <c r="P380" t="str">
        <f t="shared" si="11"/>
        <v>&lt;=5000$</v>
      </c>
    </row>
    <row r="381" spans="1:16" x14ac:dyDescent="0.25">
      <c r="A381">
        <v>440</v>
      </c>
      <c r="B381" t="s">
        <v>89</v>
      </c>
      <c r="C381" t="s">
        <v>411</v>
      </c>
      <c r="D381" t="s">
        <v>205</v>
      </c>
      <c r="E381" t="s">
        <v>17</v>
      </c>
      <c r="F381" s="3">
        <v>200</v>
      </c>
      <c r="G381">
        <v>41</v>
      </c>
      <c r="H381">
        <v>11.9</v>
      </c>
      <c r="I381">
        <v>22</v>
      </c>
      <c r="J381" t="s">
        <v>19</v>
      </c>
      <c r="K381" t="s">
        <v>20</v>
      </c>
      <c r="L381" t="s">
        <v>45</v>
      </c>
      <c r="M381" s="3">
        <v>70</v>
      </c>
      <c r="N381" s="2">
        <v>3500</v>
      </c>
      <c r="O381" t="str">
        <f t="shared" si="10"/>
        <v>100-200</v>
      </c>
      <c r="P381" t="str">
        <f t="shared" si="11"/>
        <v>&lt;=5000$</v>
      </c>
    </row>
    <row r="382" spans="1:16" x14ac:dyDescent="0.25">
      <c r="A382">
        <v>441</v>
      </c>
      <c r="B382" t="s">
        <v>118</v>
      </c>
      <c r="C382" t="s">
        <v>413</v>
      </c>
      <c r="D382" t="s">
        <v>26</v>
      </c>
      <c r="E382" t="s">
        <v>17</v>
      </c>
      <c r="F382" s="3">
        <v>100</v>
      </c>
      <c r="G382">
        <v>44</v>
      </c>
      <c r="H382">
        <v>12.5</v>
      </c>
      <c r="I382">
        <v>22</v>
      </c>
      <c r="J382" t="s">
        <v>28</v>
      </c>
      <c r="K382" t="s">
        <v>20</v>
      </c>
      <c r="L382" t="s">
        <v>21</v>
      </c>
      <c r="M382" s="3">
        <v>60</v>
      </c>
      <c r="N382" s="2">
        <v>9500</v>
      </c>
      <c r="O382" t="str">
        <f t="shared" si="10"/>
        <v>&lt;=100</v>
      </c>
      <c r="P382" t="str">
        <f t="shared" si="11"/>
        <v>&lt;= 10000$</v>
      </c>
    </row>
    <row r="383" spans="1:16" x14ac:dyDescent="0.25">
      <c r="A383">
        <v>442</v>
      </c>
      <c r="B383" t="s">
        <v>118</v>
      </c>
      <c r="C383" t="s">
        <v>413</v>
      </c>
      <c r="D383" t="s">
        <v>26</v>
      </c>
      <c r="E383" t="s">
        <v>17</v>
      </c>
      <c r="F383" s="3">
        <v>300</v>
      </c>
      <c r="G383">
        <v>44</v>
      </c>
      <c r="H383">
        <v>12.5</v>
      </c>
      <c r="I383">
        <v>22</v>
      </c>
      <c r="J383" t="s">
        <v>19</v>
      </c>
      <c r="K383" t="s">
        <v>20</v>
      </c>
      <c r="L383" t="s">
        <v>21</v>
      </c>
      <c r="M383" s="3">
        <v>60</v>
      </c>
      <c r="N383" s="2">
        <v>9500</v>
      </c>
      <c r="O383" t="str">
        <f t="shared" si="10"/>
        <v>200-300</v>
      </c>
      <c r="P383" t="str">
        <f t="shared" si="11"/>
        <v>&lt;= 10000$</v>
      </c>
    </row>
    <row r="384" spans="1:16" x14ac:dyDescent="0.25">
      <c r="A384">
        <v>443</v>
      </c>
      <c r="B384" t="s">
        <v>118</v>
      </c>
      <c r="C384" t="s">
        <v>414</v>
      </c>
      <c r="D384" t="s">
        <v>26</v>
      </c>
      <c r="E384" t="s">
        <v>17</v>
      </c>
      <c r="F384" s="3">
        <v>300</v>
      </c>
      <c r="G384">
        <v>44</v>
      </c>
      <c r="H384">
        <v>14.5</v>
      </c>
      <c r="I384">
        <v>22</v>
      </c>
      <c r="J384" t="s">
        <v>28</v>
      </c>
      <c r="K384" t="s">
        <v>20</v>
      </c>
      <c r="L384" t="s">
        <v>21</v>
      </c>
      <c r="M384" s="3">
        <v>60</v>
      </c>
      <c r="N384" s="2">
        <v>9500</v>
      </c>
      <c r="O384" t="str">
        <f t="shared" si="10"/>
        <v>200-300</v>
      </c>
      <c r="P384" t="str">
        <f t="shared" si="11"/>
        <v>&lt;= 10000$</v>
      </c>
    </row>
    <row r="385" spans="1:16" x14ac:dyDescent="0.25">
      <c r="A385">
        <v>444</v>
      </c>
      <c r="B385" t="s">
        <v>118</v>
      </c>
      <c r="C385" t="s">
        <v>415</v>
      </c>
      <c r="D385" t="s">
        <v>26</v>
      </c>
      <c r="E385" t="s">
        <v>17</v>
      </c>
      <c r="F385" s="3">
        <v>100</v>
      </c>
      <c r="G385">
        <v>42.2</v>
      </c>
      <c r="H385">
        <v>12.6</v>
      </c>
      <c r="I385">
        <v>22</v>
      </c>
      <c r="J385" t="s">
        <v>28</v>
      </c>
      <c r="K385" t="s">
        <v>20</v>
      </c>
      <c r="L385" t="s">
        <v>21</v>
      </c>
      <c r="M385" s="3">
        <v>60</v>
      </c>
      <c r="N385" s="2">
        <v>8900</v>
      </c>
      <c r="O385" t="str">
        <f t="shared" si="10"/>
        <v>&lt;=100</v>
      </c>
      <c r="P385" t="str">
        <f t="shared" si="11"/>
        <v>&lt;= 10000$</v>
      </c>
    </row>
    <row r="386" spans="1:16" x14ac:dyDescent="0.25">
      <c r="A386">
        <v>445</v>
      </c>
      <c r="B386" t="s">
        <v>118</v>
      </c>
      <c r="C386" t="s">
        <v>416</v>
      </c>
      <c r="D386" t="s">
        <v>26</v>
      </c>
      <c r="E386" t="s">
        <v>17</v>
      </c>
      <c r="F386" s="3">
        <v>100</v>
      </c>
      <c r="G386">
        <v>42</v>
      </c>
      <c r="H386">
        <v>12.8</v>
      </c>
      <c r="I386">
        <v>22</v>
      </c>
      <c r="J386" t="s">
        <v>28</v>
      </c>
      <c r="K386" t="s">
        <v>20</v>
      </c>
      <c r="L386" t="s">
        <v>21</v>
      </c>
      <c r="M386" s="3">
        <v>60</v>
      </c>
      <c r="N386" s="2">
        <v>8500</v>
      </c>
      <c r="O386" t="str">
        <f t="shared" ref="O386:O449" si="12">IF($F386&lt;=100, "&lt;=100", IF($F386&lt;=200, "100-200", IF($F386&lt;=300, "200-300", IF($F386&lt;=500, "300-500", IF($F386&lt;1000, "500-1000", "1000+")))))</f>
        <v>&lt;=100</v>
      </c>
      <c r="P386" t="str">
        <f t="shared" ref="P386:P449" si="13">IF(N386&lt;=1000, "&lt;= 1000$", IF(N386&lt;=2000, " &lt;=2000$", IF(N386&lt;=5000, "&lt;=5000$", IF(N386&lt;=10000, "&lt;= 10000$", IF(N386&lt;=20000, "&lt;= 20000$", IF(N386&lt;40000, "&lt;= 40000$", "40000$ +"))))))</f>
        <v>&lt;= 10000$</v>
      </c>
    </row>
    <row r="387" spans="1:16" x14ac:dyDescent="0.25">
      <c r="A387">
        <v>446</v>
      </c>
      <c r="B387" t="s">
        <v>118</v>
      </c>
      <c r="C387" t="s">
        <v>415</v>
      </c>
      <c r="D387" t="s">
        <v>32</v>
      </c>
      <c r="E387" t="s">
        <v>17</v>
      </c>
      <c r="F387" s="3">
        <v>100</v>
      </c>
      <c r="G387">
        <v>42.2</v>
      </c>
      <c r="H387">
        <v>14.2</v>
      </c>
      <c r="I387">
        <v>22</v>
      </c>
      <c r="J387" t="s">
        <v>28</v>
      </c>
      <c r="K387" t="s">
        <v>20</v>
      </c>
      <c r="L387" t="s">
        <v>21</v>
      </c>
      <c r="M387" s="3">
        <v>60</v>
      </c>
      <c r="N387" s="2">
        <v>8400</v>
      </c>
      <c r="O387" t="str">
        <f t="shared" si="12"/>
        <v>&lt;=100</v>
      </c>
      <c r="P387" t="str">
        <f t="shared" si="13"/>
        <v>&lt;= 10000$</v>
      </c>
    </row>
    <row r="388" spans="1:16" x14ac:dyDescent="0.25">
      <c r="A388">
        <v>447</v>
      </c>
      <c r="B388" t="s">
        <v>118</v>
      </c>
      <c r="C388" t="s">
        <v>417</v>
      </c>
      <c r="D388" t="s">
        <v>32</v>
      </c>
      <c r="E388" t="s">
        <v>17</v>
      </c>
      <c r="F388" s="3">
        <v>50</v>
      </c>
      <c r="G388">
        <v>42</v>
      </c>
      <c r="H388">
        <v>11.15</v>
      </c>
      <c r="I388">
        <v>20</v>
      </c>
      <c r="J388" t="s">
        <v>28</v>
      </c>
      <c r="K388" t="s">
        <v>20</v>
      </c>
      <c r="L388" t="s">
        <v>21</v>
      </c>
      <c r="M388" s="3">
        <v>60</v>
      </c>
      <c r="N388" s="2">
        <v>7900</v>
      </c>
      <c r="O388" t="str">
        <f t="shared" si="12"/>
        <v>&lt;=100</v>
      </c>
      <c r="P388" t="str">
        <f t="shared" si="13"/>
        <v>&lt;= 10000$</v>
      </c>
    </row>
    <row r="389" spans="1:16" x14ac:dyDescent="0.25">
      <c r="A389">
        <v>448</v>
      </c>
      <c r="B389" t="s">
        <v>118</v>
      </c>
      <c r="C389" t="s">
        <v>413</v>
      </c>
      <c r="D389" t="s">
        <v>26</v>
      </c>
      <c r="E389" t="s">
        <v>17</v>
      </c>
      <c r="F389" s="3">
        <v>100</v>
      </c>
      <c r="G389">
        <v>44</v>
      </c>
      <c r="H389">
        <v>14.4</v>
      </c>
      <c r="I389">
        <v>22</v>
      </c>
      <c r="J389" t="s">
        <v>28</v>
      </c>
      <c r="K389" t="s">
        <v>20</v>
      </c>
      <c r="L389" t="s">
        <v>169</v>
      </c>
      <c r="M389" s="3">
        <v>60</v>
      </c>
      <c r="N389" s="2">
        <v>7500</v>
      </c>
      <c r="O389" t="str">
        <f t="shared" si="12"/>
        <v>&lt;=100</v>
      </c>
      <c r="P389" t="str">
        <f t="shared" si="13"/>
        <v>&lt;= 10000$</v>
      </c>
    </row>
    <row r="390" spans="1:16" x14ac:dyDescent="0.25">
      <c r="A390">
        <v>449</v>
      </c>
      <c r="B390" t="s">
        <v>118</v>
      </c>
      <c r="C390" t="s">
        <v>415</v>
      </c>
      <c r="D390" t="s">
        <v>32</v>
      </c>
      <c r="E390" t="s">
        <v>17</v>
      </c>
      <c r="F390" s="3">
        <v>100</v>
      </c>
      <c r="G390">
        <v>42.2</v>
      </c>
      <c r="H390">
        <v>12.6</v>
      </c>
      <c r="I390">
        <v>20</v>
      </c>
      <c r="J390" t="s">
        <v>28</v>
      </c>
      <c r="K390" t="s">
        <v>20</v>
      </c>
      <c r="L390" t="s">
        <v>21</v>
      </c>
      <c r="M390" s="3">
        <v>60</v>
      </c>
      <c r="N390" s="2">
        <v>7500</v>
      </c>
      <c r="O390" t="str">
        <f t="shared" si="12"/>
        <v>&lt;=100</v>
      </c>
      <c r="P390" t="str">
        <f t="shared" si="13"/>
        <v>&lt;= 10000$</v>
      </c>
    </row>
    <row r="391" spans="1:16" x14ac:dyDescent="0.25">
      <c r="A391">
        <v>450</v>
      </c>
      <c r="B391" t="s">
        <v>118</v>
      </c>
      <c r="C391" t="s">
        <v>418</v>
      </c>
      <c r="D391" t="s">
        <v>26</v>
      </c>
      <c r="E391" t="s">
        <v>17</v>
      </c>
      <c r="F391" s="3">
        <v>100</v>
      </c>
      <c r="G391">
        <v>43</v>
      </c>
      <c r="H391">
        <v>12.6</v>
      </c>
      <c r="I391">
        <v>22</v>
      </c>
      <c r="J391" t="s">
        <v>28</v>
      </c>
      <c r="K391" t="s">
        <v>20</v>
      </c>
      <c r="L391" t="s">
        <v>21</v>
      </c>
      <c r="M391" s="3">
        <v>60</v>
      </c>
      <c r="N391" s="2">
        <v>7000</v>
      </c>
      <c r="O391" t="str">
        <f t="shared" si="12"/>
        <v>&lt;=100</v>
      </c>
      <c r="P391" t="str">
        <f t="shared" si="13"/>
        <v>&lt;= 10000$</v>
      </c>
    </row>
    <row r="392" spans="1:16" x14ac:dyDescent="0.25">
      <c r="A392">
        <v>452</v>
      </c>
      <c r="B392" t="s">
        <v>79</v>
      </c>
      <c r="C392" t="s">
        <v>420</v>
      </c>
      <c r="D392" t="s">
        <v>16</v>
      </c>
      <c r="E392" t="s">
        <v>17</v>
      </c>
      <c r="F392" s="3">
        <v>150</v>
      </c>
      <c r="G392">
        <v>41</v>
      </c>
      <c r="H392">
        <v>11</v>
      </c>
      <c r="I392">
        <v>22</v>
      </c>
      <c r="J392" t="s">
        <v>28</v>
      </c>
      <c r="K392" t="s">
        <v>20</v>
      </c>
      <c r="L392" t="s">
        <v>240</v>
      </c>
      <c r="M392" s="3">
        <v>60</v>
      </c>
      <c r="N392" s="2">
        <v>23000</v>
      </c>
      <c r="O392" t="str">
        <f t="shared" si="12"/>
        <v>100-200</v>
      </c>
      <c r="P392" t="str">
        <f t="shared" si="13"/>
        <v>&lt;= 40000$</v>
      </c>
    </row>
    <row r="393" spans="1:16" x14ac:dyDescent="0.25">
      <c r="A393">
        <v>454</v>
      </c>
      <c r="B393" t="s">
        <v>79</v>
      </c>
      <c r="C393" t="s">
        <v>420</v>
      </c>
      <c r="D393" t="s">
        <v>26</v>
      </c>
      <c r="E393" t="s">
        <v>17</v>
      </c>
      <c r="F393" s="3">
        <v>150</v>
      </c>
      <c r="G393">
        <v>41</v>
      </c>
      <c r="H393">
        <v>11</v>
      </c>
      <c r="I393">
        <v>21</v>
      </c>
      <c r="J393" t="s">
        <v>28</v>
      </c>
      <c r="K393" t="s">
        <v>20</v>
      </c>
      <c r="L393" t="s">
        <v>21</v>
      </c>
      <c r="M393" s="3">
        <v>60</v>
      </c>
      <c r="N393" s="2">
        <v>22000</v>
      </c>
      <c r="O393" t="str">
        <f t="shared" si="12"/>
        <v>100-200</v>
      </c>
      <c r="P393" t="str">
        <f t="shared" si="13"/>
        <v>&lt;= 40000$</v>
      </c>
    </row>
    <row r="394" spans="1:16" x14ac:dyDescent="0.25">
      <c r="A394">
        <v>455</v>
      </c>
      <c r="B394" t="s">
        <v>79</v>
      </c>
      <c r="C394" t="s">
        <v>420</v>
      </c>
      <c r="D394" t="s">
        <v>16</v>
      </c>
      <c r="E394" t="s">
        <v>17</v>
      </c>
      <c r="F394" s="3">
        <v>150</v>
      </c>
      <c r="G394">
        <v>41</v>
      </c>
      <c r="H394">
        <v>11</v>
      </c>
      <c r="I394">
        <v>20</v>
      </c>
      <c r="J394" t="s">
        <v>44</v>
      </c>
      <c r="K394" t="s">
        <v>20</v>
      </c>
      <c r="L394" t="s">
        <v>21</v>
      </c>
      <c r="M394" s="3">
        <v>60</v>
      </c>
      <c r="N394" s="2">
        <v>21500</v>
      </c>
      <c r="O394" t="str">
        <f t="shared" si="12"/>
        <v>100-200</v>
      </c>
      <c r="P394" t="str">
        <f t="shared" si="13"/>
        <v>&lt;= 40000$</v>
      </c>
    </row>
    <row r="395" spans="1:16" x14ac:dyDescent="0.25">
      <c r="A395">
        <v>456</v>
      </c>
      <c r="B395" t="s">
        <v>79</v>
      </c>
      <c r="C395" t="s">
        <v>420</v>
      </c>
      <c r="D395" t="s">
        <v>16</v>
      </c>
      <c r="E395" t="s">
        <v>17</v>
      </c>
      <c r="F395" s="3">
        <v>150</v>
      </c>
      <c r="G395">
        <v>41</v>
      </c>
      <c r="H395">
        <v>11</v>
      </c>
      <c r="I395">
        <v>22</v>
      </c>
      <c r="J395" t="s">
        <v>44</v>
      </c>
      <c r="K395" t="s">
        <v>20</v>
      </c>
      <c r="L395" t="s">
        <v>21</v>
      </c>
      <c r="M395" s="3">
        <v>60</v>
      </c>
      <c r="N395" s="2">
        <v>21500</v>
      </c>
      <c r="O395" t="str">
        <f t="shared" si="12"/>
        <v>100-200</v>
      </c>
      <c r="P395" t="str">
        <f t="shared" si="13"/>
        <v>&lt;= 40000$</v>
      </c>
    </row>
    <row r="396" spans="1:16" x14ac:dyDescent="0.25">
      <c r="A396">
        <v>457</v>
      </c>
      <c r="B396" t="s">
        <v>79</v>
      </c>
      <c r="C396" t="s">
        <v>420</v>
      </c>
      <c r="D396" t="s">
        <v>16</v>
      </c>
      <c r="E396" t="s">
        <v>17</v>
      </c>
      <c r="F396" s="3">
        <v>150</v>
      </c>
      <c r="G396">
        <v>41</v>
      </c>
      <c r="H396">
        <v>11</v>
      </c>
      <c r="I396">
        <v>22</v>
      </c>
      <c r="J396" t="s">
        <v>28</v>
      </c>
      <c r="K396" t="s">
        <v>20</v>
      </c>
      <c r="L396" t="s">
        <v>169</v>
      </c>
      <c r="M396" s="3">
        <v>40</v>
      </c>
      <c r="N396" s="2">
        <v>21000</v>
      </c>
      <c r="O396" t="str">
        <f t="shared" si="12"/>
        <v>100-200</v>
      </c>
      <c r="P396" t="str">
        <f t="shared" si="13"/>
        <v>&lt;= 40000$</v>
      </c>
    </row>
    <row r="397" spans="1:16" x14ac:dyDescent="0.25">
      <c r="A397">
        <v>458</v>
      </c>
      <c r="B397" t="s">
        <v>79</v>
      </c>
      <c r="C397" t="s">
        <v>422</v>
      </c>
      <c r="D397" t="s">
        <v>16</v>
      </c>
      <c r="E397" t="s">
        <v>17</v>
      </c>
      <c r="F397" s="3">
        <v>150</v>
      </c>
      <c r="G397">
        <v>41.5</v>
      </c>
      <c r="H397">
        <v>11</v>
      </c>
      <c r="I397">
        <v>22</v>
      </c>
      <c r="J397" t="s">
        <v>28</v>
      </c>
      <c r="K397" t="s">
        <v>20</v>
      </c>
      <c r="L397" t="s">
        <v>21</v>
      </c>
      <c r="M397" s="3">
        <v>60</v>
      </c>
      <c r="N397" s="2">
        <v>21000</v>
      </c>
      <c r="O397" t="str">
        <f t="shared" si="12"/>
        <v>100-200</v>
      </c>
      <c r="P397" t="str">
        <f t="shared" si="13"/>
        <v>&lt;= 40000$</v>
      </c>
    </row>
    <row r="398" spans="1:16" x14ac:dyDescent="0.25">
      <c r="A398">
        <v>459</v>
      </c>
      <c r="B398" t="s">
        <v>79</v>
      </c>
      <c r="C398" t="s">
        <v>420</v>
      </c>
      <c r="D398" t="s">
        <v>16</v>
      </c>
      <c r="E398" t="s">
        <v>17</v>
      </c>
      <c r="F398" s="3">
        <v>150</v>
      </c>
      <c r="G398">
        <v>41</v>
      </c>
      <c r="H398">
        <v>11</v>
      </c>
      <c r="I398">
        <v>20</v>
      </c>
      <c r="J398" t="s">
        <v>19</v>
      </c>
      <c r="K398" t="s">
        <v>20</v>
      </c>
      <c r="L398" t="s">
        <v>240</v>
      </c>
      <c r="M398" s="3">
        <v>60</v>
      </c>
      <c r="N398" s="2">
        <v>20200</v>
      </c>
      <c r="O398" t="str">
        <f t="shared" si="12"/>
        <v>100-200</v>
      </c>
      <c r="P398" t="str">
        <f t="shared" si="13"/>
        <v>&lt;= 40000$</v>
      </c>
    </row>
    <row r="399" spans="1:16" x14ac:dyDescent="0.25">
      <c r="A399">
        <v>460</v>
      </c>
      <c r="B399" t="s">
        <v>79</v>
      </c>
      <c r="C399" t="s">
        <v>422</v>
      </c>
      <c r="D399" t="s">
        <v>16</v>
      </c>
      <c r="E399" t="s">
        <v>17</v>
      </c>
      <c r="F399" s="3">
        <v>150</v>
      </c>
      <c r="G399">
        <v>41.5</v>
      </c>
      <c r="H399">
        <v>11</v>
      </c>
      <c r="I399">
        <v>22</v>
      </c>
      <c r="J399" t="s">
        <v>44</v>
      </c>
      <c r="K399" t="s">
        <v>20</v>
      </c>
      <c r="L399" t="s">
        <v>21</v>
      </c>
      <c r="M399" s="3">
        <v>60</v>
      </c>
      <c r="N399" s="2">
        <v>20000</v>
      </c>
      <c r="O399" t="str">
        <f t="shared" si="12"/>
        <v>100-200</v>
      </c>
      <c r="P399" t="str">
        <f t="shared" si="13"/>
        <v>&lt;= 20000$</v>
      </c>
    </row>
    <row r="400" spans="1:16" x14ac:dyDescent="0.25">
      <c r="A400">
        <v>461</v>
      </c>
      <c r="B400" t="s">
        <v>79</v>
      </c>
      <c r="C400" t="s">
        <v>423</v>
      </c>
      <c r="D400" t="s">
        <v>26</v>
      </c>
      <c r="E400" t="s">
        <v>17</v>
      </c>
      <c r="F400" s="3">
        <v>150</v>
      </c>
      <c r="G400">
        <v>42.5</v>
      </c>
      <c r="H400">
        <v>13.7</v>
      </c>
      <c r="I400">
        <v>22</v>
      </c>
      <c r="J400" t="s">
        <v>28</v>
      </c>
      <c r="K400" t="s">
        <v>20</v>
      </c>
      <c r="L400" t="s">
        <v>21</v>
      </c>
      <c r="M400" s="3">
        <v>40</v>
      </c>
      <c r="N400" s="2">
        <v>20000</v>
      </c>
      <c r="O400" t="str">
        <f t="shared" si="12"/>
        <v>100-200</v>
      </c>
      <c r="P400" t="str">
        <f t="shared" si="13"/>
        <v>&lt;= 20000$</v>
      </c>
    </row>
    <row r="401" spans="1:16" x14ac:dyDescent="0.25">
      <c r="A401">
        <v>462</v>
      </c>
      <c r="B401" t="s">
        <v>79</v>
      </c>
      <c r="C401" t="s">
        <v>420</v>
      </c>
      <c r="D401" t="s">
        <v>26</v>
      </c>
      <c r="E401" t="s">
        <v>17</v>
      </c>
      <c r="F401" s="3">
        <v>150</v>
      </c>
      <c r="G401">
        <v>41</v>
      </c>
      <c r="H401">
        <v>11</v>
      </c>
      <c r="I401">
        <v>22</v>
      </c>
      <c r="J401" t="s">
        <v>28</v>
      </c>
      <c r="K401" t="s">
        <v>20</v>
      </c>
      <c r="L401" t="s">
        <v>21</v>
      </c>
      <c r="M401" s="3">
        <v>40</v>
      </c>
      <c r="N401" s="2">
        <v>19800</v>
      </c>
      <c r="O401" t="str">
        <f t="shared" si="12"/>
        <v>100-200</v>
      </c>
      <c r="P401" t="str">
        <f t="shared" si="13"/>
        <v>&lt;= 20000$</v>
      </c>
    </row>
    <row r="402" spans="1:16" x14ac:dyDescent="0.25">
      <c r="A402">
        <v>463</v>
      </c>
      <c r="B402" t="s">
        <v>79</v>
      </c>
      <c r="C402" t="s">
        <v>422</v>
      </c>
      <c r="D402" t="s">
        <v>26</v>
      </c>
      <c r="E402" t="s">
        <v>17</v>
      </c>
      <c r="F402" s="3">
        <v>150</v>
      </c>
      <c r="G402">
        <v>41.5</v>
      </c>
      <c r="H402">
        <v>11</v>
      </c>
      <c r="I402">
        <v>21</v>
      </c>
      <c r="J402" t="s">
        <v>44</v>
      </c>
      <c r="K402" t="s">
        <v>20</v>
      </c>
      <c r="L402" t="s">
        <v>21</v>
      </c>
      <c r="M402" s="3">
        <v>40</v>
      </c>
      <c r="N402" s="2">
        <v>19500</v>
      </c>
      <c r="O402" t="str">
        <f t="shared" si="12"/>
        <v>100-200</v>
      </c>
      <c r="P402" t="str">
        <f t="shared" si="13"/>
        <v>&lt;= 20000$</v>
      </c>
    </row>
    <row r="403" spans="1:16" x14ac:dyDescent="0.25">
      <c r="A403">
        <v>464</v>
      </c>
      <c r="B403" t="s">
        <v>79</v>
      </c>
      <c r="C403" t="s">
        <v>420</v>
      </c>
      <c r="D403" t="s">
        <v>16</v>
      </c>
      <c r="E403" t="s">
        <v>17</v>
      </c>
      <c r="F403" s="3">
        <v>150</v>
      </c>
      <c r="G403">
        <v>41</v>
      </c>
      <c r="H403">
        <v>11</v>
      </c>
      <c r="I403">
        <v>20</v>
      </c>
      <c r="J403" t="s">
        <v>19</v>
      </c>
      <c r="K403" t="s">
        <v>20</v>
      </c>
      <c r="L403" t="s">
        <v>21</v>
      </c>
      <c r="M403" s="3">
        <v>60</v>
      </c>
      <c r="N403" s="2">
        <v>19200</v>
      </c>
      <c r="O403" t="str">
        <f t="shared" si="12"/>
        <v>100-200</v>
      </c>
      <c r="P403" t="str">
        <f t="shared" si="13"/>
        <v>&lt;= 20000$</v>
      </c>
    </row>
    <row r="404" spans="1:16" x14ac:dyDescent="0.25">
      <c r="A404">
        <v>465</v>
      </c>
      <c r="B404" t="s">
        <v>79</v>
      </c>
      <c r="C404" t="s">
        <v>420</v>
      </c>
      <c r="D404" t="s">
        <v>26</v>
      </c>
      <c r="E404" t="s">
        <v>17</v>
      </c>
      <c r="F404" s="3">
        <v>150</v>
      </c>
      <c r="G404">
        <v>41</v>
      </c>
      <c r="H404">
        <v>11</v>
      </c>
      <c r="I404">
        <v>22</v>
      </c>
      <c r="J404" t="s">
        <v>28</v>
      </c>
      <c r="K404" t="s">
        <v>20</v>
      </c>
      <c r="L404" t="s">
        <v>21</v>
      </c>
      <c r="M404" s="3">
        <v>40</v>
      </c>
      <c r="N404" s="2">
        <v>19000</v>
      </c>
      <c r="O404" t="str">
        <f t="shared" si="12"/>
        <v>100-200</v>
      </c>
      <c r="P404" t="str">
        <f t="shared" si="13"/>
        <v>&lt;= 20000$</v>
      </c>
    </row>
    <row r="405" spans="1:16" x14ac:dyDescent="0.25">
      <c r="A405">
        <v>466</v>
      </c>
      <c r="B405" t="s">
        <v>79</v>
      </c>
      <c r="C405" t="s">
        <v>422</v>
      </c>
      <c r="D405" t="s">
        <v>16</v>
      </c>
      <c r="E405" t="s">
        <v>17</v>
      </c>
      <c r="F405" s="3">
        <v>150</v>
      </c>
      <c r="G405">
        <v>41.5</v>
      </c>
      <c r="H405">
        <v>11</v>
      </c>
      <c r="I405">
        <v>22</v>
      </c>
      <c r="J405" t="s">
        <v>28</v>
      </c>
      <c r="K405" t="s">
        <v>20</v>
      </c>
      <c r="L405" t="s">
        <v>21</v>
      </c>
      <c r="M405" s="3">
        <v>40</v>
      </c>
      <c r="N405" s="2">
        <v>19000</v>
      </c>
      <c r="O405" t="str">
        <f t="shared" si="12"/>
        <v>100-200</v>
      </c>
      <c r="P405" t="str">
        <f t="shared" si="13"/>
        <v>&lt;= 20000$</v>
      </c>
    </row>
    <row r="406" spans="1:16" x14ac:dyDescent="0.25">
      <c r="A406">
        <v>467</v>
      </c>
      <c r="B406" t="s">
        <v>79</v>
      </c>
      <c r="C406" t="s">
        <v>422</v>
      </c>
      <c r="D406" t="s">
        <v>26</v>
      </c>
      <c r="E406" t="s">
        <v>17</v>
      </c>
      <c r="F406" s="3">
        <v>150</v>
      </c>
      <c r="G406">
        <v>41.5</v>
      </c>
      <c r="H406">
        <v>11</v>
      </c>
      <c r="I406">
        <v>22</v>
      </c>
      <c r="J406" t="s">
        <v>28</v>
      </c>
      <c r="K406" t="s">
        <v>20</v>
      </c>
      <c r="L406" t="s">
        <v>21</v>
      </c>
      <c r="M406" s="3">
        <v>40</v>
      </c>
      <c r="N406" s="2">
        <v>18900</v>
      </c>
      <c r="O406" t="str">
        <f t="shared" si="12"/>
        <v>100-200</v>
      </c>
      <c r="P406" t="str">
        <f t="shared" si="13"/>
        <v>&lt;= 20000$</v>
      </c>
    </row>
    <row r="407" spans="1:16" x14ac:dyDescent="0.25">
      <c r="A407">
        <v>469</v>
      </c>
      <c r="B407" t="s">
        <v>79</v>
      </c>
      <c r="C407" t="s">
        <v>420</v>
      </c>
      <c r="D407" t="s">
        <v>16</v>
      </c>
      <c r="E407" t="s">
        <v>17</v>
      </c>
      <c r="F407" s="3">
        <v>50</v>
      </c>
      <c r="G407">
        <v>41</v>
      </c>
      <c r="H407">
        <v>11</v>
      </c>
      <c r="I407">
        <v>22</v>
      </c>
      <c r="J407" t="s">
        <v>28</v>
      </c>
      <c r="K407" t="s">
        <v>20</v>
      </c>
      <c r="L407" t="s">
        <v>21</v>
      </c>
      <c r="M407" s="3">
        <v>40</v>
      </c>
      <c r="N407" s="2">
        <v>18000</v>
      </c>
      <c r="O407" t="str">
        <f t="shared" si="12"/>
        <v>&lt;=100</v>
      </c>
      <c r="P407" t="str">
        <f t="shared" si="13"/>
        <v>&lt;= 20000$</v>
      </c>
    </row>
    <row r="408" spans="1:16" x14ac:dyDescent="0.25">
      <c r="A408">
        <v>470</v>
      </c>
      <c r="B408" t="s">
        <v>79</v>
      </c>
      <c r="C408" t="s">
        <v>420</v>
      </c>
      <c r="D408" t="s">
        <v>26</v>
      </c>
      <c r="E408" t="s">
        <v>17</v>
      </c>
      <c r="F408" s="3">
        <v>150</v>
      </c>
      <c r="G408">
        <v>41</v>
      </c>
      <c r="H408">
        <v>11</v>
      </c>
      <c r="I408">
        <v>21</v>
      </c>
      <c r="J408" t="s">
        <v>28</v>
      </c>
      <c r="K408" t="s">
        <v>20</v>
      </c>
      <c r="L408" t="s">
        <v>21</v>
      </c>
      <c r="M408" s="3">
        <v>60</v>
      </c>
      <c r="N408" s="2">
        <v>17500</v>
      </c>
      <c r="O408" t="str">
        <f t="shared" si="12"/>
        <v>100-200</v>
      </c>
      <c r="P408" t="str">
        <f t="shared" si="13"/>
        <v>&lt;= 20000$</v>
      </c>
    </row>
    <row r="409" spans="1:16" x14ac:dyDescent="0.25">
      <c r="A409">
        <v>471</v>
      </c>
      <c r="B409" t="s">
        <v>79</v>
      </c>
      <c r="C409" t="s">
        <v>420</v>
      </c>
      <c r="D409" t="s">
        <v>16</v>
      </c>
      <c r="E409" t="s">
        <v>17</v>
      </c>
      <c r="F409" s="3">
        <v>150</v>
      </c>
      <c r="G409">
        <v>41</v>
      </c>
      <c r="H409">
        <v>11</v>
      </c>
      <c r="I409">
        <v>22</v>
      </c>
      <c r="J409" t="s">
        <v>28</v>
      </c>
      <c r="K409" t="s">
        <v>20</v>
      </c>
      <c r="L409" t="s">
        <v>21</v>
      </c>
      <c r="M409" s="3">
        <v>60</v>
      </c>
      <c r="N409" s="2">
        <v>16300</v>
      </c>
      <c r="O409" t="str">
        <f t="shared" si="12"/>
        <v>100-200</v>
      </c>
      <c r="P409" t="str">
        <f t="shared" si="13"/>
        <v>&lt;= 20000$</v>
      </c>
    </row>
    <row r="410" spans="1:16" x14ac:dyDescent="0.25">
      <c r="A410">
        <v>472</v>
      </c>
      <c r="B410" t="s">
        <v>79</v>
      </c>
      <c r="C410" t="s">
        <v>420</v>
      </c>
      <c r="D410" t="s">
        <v>16</v>
      </c>
      <c r="E410" t="s">
        <v>17</v>
      </c>
      <c r="F410" s="3">
        <v>50</v>
      </c>
      <c r="G410">
        <v>41</v>
      </c>
      <c r="H410">
        <v>11</v>
      </c>
      <c r="I410">
        <v>20</v>
      </c>
      <c r="J410" t="s">
        <v>28</v>
      </c>
      <c r="K410" t="s">
        <v>20</v>
      </c>
      <c r="L410" t="s">
        <v>144</v>
      </c>
      <c r="M410" s="3">
        <v>60</v>
      </c>
      <c r="N410" s="2">
        <v>15500</v>
      </c>
      <c r="O410" t="str">
        <f t="shared" si="12"/>
        <v>&lt;=100</v>
      </c>
      <c r="P410" t="str">
        <f t="shared" si="13"/>
        <v>&lt;= 20000$</v>
      </c>
    </row>
    <row r="411" spans="1:16" x14ac:dyDescent="0.25">
      <c r="A411">
        <v>473</v>
      </c>
      <c r="B411" t="s">
        <v>79</v>
      </c>
      <c r="C411" t="s">
        <v>420</v>
      </c>
      <c r="D411" t="s">
        <v>16</v>
      </c>
      <c r="E411" t="s">
        <v>17</v>
      </c>
      <c r="F411" s="3">
        <v>150</v>
      </c>
      <c r="G411">
        <v>41</v>
      </c>
      <c r="H411">
        <v>11</v>
      </c>
      <c r="I411">
        <v>22</v>
      </c>
      <c r="J411" t="s">
        <v>28</v>
      </c>
      <c r="K411" t="s">
        <v>20</v>
      </c>
      <c r="L411" t="s">
        <v>21</v>
      </c>
      <c r="M411" s="3">
        <v>60</v>
      </c>
      <c r="N411" s="2">
        <v>15000</v>
      </c>
      <c r="O411" t="str">
        <f t="shared" si="12"/>
        <v>100-200</v>
      </c>
      <c r="P411" t="str">
        <f t="shared" si="13"/>
        <v>&lt;= 20000$</v>
      </c>
    </row>
    <row r="412" spans="1:16" x14ac:dyDescent="0.25">
      <c r="A412">
        <v>474</v>
      </c>
      <c r="B412" t="s">
        <v>79</v>
      </c>
      <c r="C412" t="s">
        <v>425</v>
      </c>
      <c r="D412" t="s">
        <v>32</v>
      </c>
      <c r="E412" t="s">
        <v>17</v>
      </c>
      <c r="F412" s="3">
        <v>30</v>
      </c>
      <c r="G412">
        <v>40</v>
      </c>
      <c r="H412">
        <v>6.79</v>
      </c>
      <c r="I412">
        <v>20</v>
      </c>
      <c r="J412" t="s">
        <v>34</v>
      </c>
      <c r="K412" t="s">
        <v>20</v>
      </c>
      <c r="L412" t="s">
        <v>45</v>
      </c>
      <c r="M412" s="3">
        <v>40</v>
      </c>
      <c r="N412" s="2">
        <v>15000</v>
      </c>
      <c r="O412" t="str">
        <f t="shared" si="12"/>
        <v>&lt;=100</v>
      </c>
      <c r="P412" t="str">
        <f t="shared" si="13"/>
        <v>&lt;= 20000$</v>
      </c>
    </row>
    <row r="413" spans="1:16" x14ac:dyDescent="0.25">
      <c r="A413">
        <v>475</v>
      </c>
      <c r="B413" t="s">
        <v>79</v>
      </c>
      <c r="C413" t="s">
        <v>420</v>
      </c>
      <c r="D413" t="s">
        <v>26</v>
      </c>
      <c r="E413" t="s">
        <v>17</v>
      </c>
      <c r="F413" s="3">
        <v>150</v>
      </c>
      <c r="G413">
        <v>41</v>
      </c>
      <c r="H413">
        <v>11</v>
      </c>
      <c r="I413">
        <v>22</v>
      </c>
      <c r="J413" t="s">
        <v>28</v>
      </c>
      <c r="K413" t="s">
        <v>20</v>
      </c>
      <c r="L413" t="s">
        <v>21</v>
      </c>
      <c r="M413" s="3">
        <v>40</v>
      </c>
      <c r="N413" s="2">
        <v>12000</v>
      </c>
      <c r="O413" t="str">
        <f t="shared" si="12"/>
        <v>100-200</v>
      </c>
      <c r="P413" t="str">
        <f t="shared" si="13"/>
        <v>&lt;= 20000$</v>
      </c>
    </row>
    <row r="414" spans="1:16" x14ac:dyDescent="0.25">
      <c r="A414">
        <v>476</v>
      </c>
      <c r="B414" t="s">
        <v>113</v>
      </c>
      <c r="C414" t="s">
        <v>426</v>
      </c>
      <c r="D414" t="s">
        <v>26</v>
      </c>
      <c r="E414" t="s">
        <v>17</v>
      </c>
      <c r="F414" s="3">
        <v>100</v>
      </c>
      <c r="G414">
        <v>41</v>
      </c>
      <c r="H414">
        <v>10.75</v>
      </c>
      <c r="I414">
        <v>22</v>
      </c>
      <c r="J414" t="s">
        <v>28</v>
      </c>
      <c r="K414" t="s">
        <v>20</v>
      </c>
      <c r="L414" t="s">
        <v>35</v>
      </c>
      <c r="M414" s="3">
        <v>50</v>
      </c>
      <c r="N414" s="2">
        <v>9500</v>
      </c>
      <c r="O414" t="str">
        <f t="shared" si="12"/>
        <v>&lt;=100</v>
      </c>
      <c r="P414" t="str">
        <f t="shared" si="13"/>
        <v>&lt;= 10000$</v>
      </c>
    </row>
    <row r="415" spans="1:16" x14ac:dyDescent="0.25">
      <c r="A415">
        <v>477</v>
      </c>
      <c r="B415" t="s">
        <v>113</v>
      </c>
      <c r="C415" t="s">
        <v>427</v>
      </c>
      <c r="D415" t="s">
        <v>32</v>
      </c>
      <c r="E415" t="s">
        <v>17</v>
      </c>
      <c r="F415" s="3">
        <v>100</v>
      </c>
      <c r="G415">
        <v>42</v>
      </c>
      <c r="H415">
        <v>13.1</v>
      </c>
      <c r="I415">
        <v>22</v>
      </c>
      <c r="J415" t="s">
        <v>44</v>
      </c>
      <c r="K415" t="s">
        <v>20</v>
      </c>
      <c r="L415" t="s">
        <v>35</v>
      </c>
      <c r="M415" s="3">
        <v>50</v>
      </c>
      <c r="N415" s="2">
        <v>9400</v>
      </c>
      <c r="O415" t="str">
        <f t="shared" si="12"/>
        <v>&lt;=100</v>
      </c>
      <c r="P415" t="str">
        <f t="shared" si="13"/>
        <v>&lt;= 10000$</v>
      </c>
    </row>
    <row r="416" spans="1:16" x14ac:dyDescent="0.25">
      <c r="A416">
        <v>478</v>
      </c>
      <c r="B416" t="s">
        <v>113</v>
      </c>
      <c r="C416" t="s">
        <v>428</v>
      </c>
      <c r="D416" t="s">
        <v>32</v>
      </c>
      <c r="E416" t="s">
        <v>17</v>
      </c>
      <c r="F416" s="3">
        <v>100</v>
      </c>
      <c r="G416">
        <v>42</v>
      </c>
      <c r="H416">
        <v>12.75</v>
      </c>
      <c r="I416">
        <v>20</v>
      </c>
      <c r="J416" t="s">
        <v>34</v>
      </c>
      <c r="K416" t="s">
        <v>20</v>
      </c>
      <c r="L416" t="s">
        <v>141</v>
      </c>
      <c r="M416" s="3">
        <v>50</v>
      </c>
      <c r="N416" s="2">
        <v>7900</v>
      </c>
      <c r="O416" t="str">
        <f t="shared" si="12"/>
        <v>&lt;=100</v>
      </c>
      <c r="P416" t="str">
        <f t="shared" si="13"/>
        <v>&lt;= 10000$</v>
      </c>
    </row>
    <row r="417" spans="1:16" x14ac:dyDescent="0.25">
      <c r="A417">
        <v>479</v>
      </c>
      <c r="B417" t="s">
        <v>113</v>
      </c>
      <c r="C417" t="s">
        <v>429</v>
      </c>
      <c r="D417" t="s">
        <v>32</v>
      </c>
      <c r="E417" t="s">
        <v>17</v>
      </c>
      <c r="F417" s="3">
        <v>100</v>
      </c>
      <c r="G417">
        <v>38</v>
      </c>
      <c r="H417">
        <v>12.15</v>
      </c>
      <c r="I417">
        <v>19</v>
      </c>
      <c r="J417" t="s">
        <v>44</v>
      </c>
      <c r="K417" t="s">
        <v>20</v>
      </c>
      <c r="L417" t="s">
        <v>35</v>
      </c>
      <c r="M417" s="3">
        <v>50</v>
      </c>
      <c r="N417" s="2">
        <v>7500</v>
      </c>
      <c r="O417" t="str">
        <f t="shared" si="12"/>
        <v>&lt;=100</v>
      </c>
      <c r="P417" t="str">
        <f t="shared" si="13"/>
        <v>&lt;= 10000$</v>
      </c>
    </row>
    <row r="418" spans="1:16" x14ac:dyDescent="0.25">
      <c r="A418">
        <v>480</v>
      </c>
      <c r="B418" t="s">
        <v>113</v>
      </c>
      <c r="C418" t="s">
        <v>430</v>
      </c>
      <c r="D418" t="s">
        <v>32</v>
      </c>
      <c r="E418" t="s">
        <v>17</v>
      </c>
      <c r="F418" s="3">
        <v>50</v>
      </c>
      <c r="G418">
        <v>38</v>
      </c>
      <c r="H418">
        <v>12.6</v>
      </c>
      <c r="I418">
        <v>20</v>
      </c>
      <c r="J418" t="s">
        <v>44</v>
      </c>
      <c r="K418" t="s">
        <v>20</v>
      </c>
      <c r="L418" t="s">
        <v>35</v>
      </c>
      <c r="M418" s="3">
        <v>50</v>
      </c>
      <c r="N418" s="2">
        <v>7500</v>
      </c>
      <c r="O418" t="str">
        <f t="shared" si="12"/>
        <v>&lt;=100</v>
      </c>
      <c r="P418" t="str">
        <f t="shared" si="13"/>
        <v>&lt;= 10000$</v>
      </c>
    </row>
    <row r="419" spans="1:16" x14ac:dyDescent="0.25">
      <c r="A419">
        <v>481</v>
      </c>
      <c r="B419" t="s">
        <v>113</v>
      </c>
      <c r="C419" t="s">
        <v>428</v>
      </c>
      <c r="D419" t="s">
        <v>32</v>
      </c>
      <c r="E419" t="s">
        <v>17</v>
      </c>
      <c r="F419" s="3">
        <v>100</v>
      </c>
      <c r="G419">
        <v>42</v>
      </c>
      <c r="H419">
        <v>12.75</v>
      </c>
      <c r="I419">
        <v>20</v>
      </c>
      <c r="J419" t="s">
        <v>19</v>
      </c>
      <c r="K419" t="s">
        <v>20</v>
      </c>
      <c r="L419" t="s">
        <v>35</v>
      </c>
      <c r="M419" s="3">
        <v>50</v>
      </c>
      <c r="N419" s="2">
        <v>7500</v>
      </c>
      <c r="O419" t="str">
        <f t="shared" si="12"/>
        <v>&lt;=100</v>
      </c>
      <c r="P419" t="str">
        <f t="shared" si="13"/>
        <v>&lt;= 10000$</v>
      </c>
    </row>
    <row r="420" spans="1:16" x14ac:dyDescent="0.25">
      <c r="A420">
        <v>482</v>
      </c>
      <c r="B420" t="s">
        <v>113</v>
      </c>
      <c r="C420" t="s">
        <v>428</v>
      </c>
      <c r="D420" t="s">
        <v>32</v>
      </c>
      <c r="E420" t="s">
        <v>17</v>
      </c>
      <c r="F420" s="3">
        <v>100</v>
      </c>
      <c r="G420">
        <v>42</v>
      </c>
      <c r="H420">
        <v>12.75</v>
      </c>
      <c r="I420">
        <v>20</v>
      </c>
      <c r="J420" t="s">
        <v>34</v>
      </c>
      <c r="K420" t="s">
        <v>20</v>
      </c>
      <c r="L420" t="s">
        <v>239</v>
      </c>
      <c r="M420" s="3">
        <v>50</v>
      </c>
      <c r="N420" s="2">
        <v>7500</v>
      </c>
      <c r="O420" t="str">
        <f t="shared" si="12"/>
        <v>&lt;=100</v>
      </c>
      <c r="P420" t="str">
        <f t="shared" si="13"/>
        <v>&lt;= 10000$</v>
      </c>
    </row>
    <row r="421" spans="1:16" x14ac:dyDescent="0.25">
      <c r="A421">
        <v>483</v>
      </c>
      <c r="B421" t="s">
        <v>113</v>
      </c>
      <c r="C421" t="s">
        <v>428</v>
      </c>
      <c r="D421" t="s">
        <v>32</v>
      </c>
      <c r="E421" t="s">
        <v>17</v>
      </c>
      <c r="F421" s="3">
        <v>100</v>
      </c>
      <c r="G421">
        <v>42</v>
      </c>
      <c r="H421">
        <v>12.75</v>
      </c>
      <c r="I421">
        <v>22</v>
      </c>
      <c r="J421" t="s">
        <v>44</v>
      </c>
      <c r="K421" t="s">
        <v>20</v>
      </c>
      <c r="L421" t="s">
        <v>35</v>
      </c>
      <c r="M421" s="3">
        <v>50</v>
      </c>
      <c r="N421" s="2">
        <v>7500</v>
      </c>
      <c r="O421" t="str">
        <f t="shared" si="12"/>
        <v>&lt;=100</v>
      </c>
      <c r="P421" t="str">
        <f t="shared" si="13"/>
        <v>&lt;= 10000$</v>
      </c>
    </row>
    <row r="422" spans="1:16" x14ac:dyDescent="0.25">
      <c r="A422">
        <v>484</v>
      </c>
      <c r="B422" t="s">
        <v>113</v>
      </c>
      <c r="C422" t="s">
        <v>427</v>
      </c>
      <c r="D422" t="s">
        <v>32</v>
      </c>
      <c r="E422" t="s">
        <v>17</v>
      </c>
      <c r="F422" s="3">
        <v>50</v>
      </c>
      <c r="G422">
        <v>42</v>
      </c>
      <c r="H422">
        <v>14.05</v>
      </c>
      <c r="I422">
        <v>22</v>
      </c>
      <c r="J422" t="s">
        <v>44</v>
      </c>
      <c r="K422" t="s">
        <v>20</v>
      </c>
      <c r="L422" t="s">
        <v>35</v>
      </c>
      <c r="M422" s="3">
        <v>50</v>
      </c>
      <c r="N422" s="2">
        <v>7400</v>
      </c>
      <c r="O422" t="str">
        <f t="shared" si="12"/>
        <v>&lt;=100</v>
      </c>
      <c r="P422" t="str">
        <f t="shared" si="13"/>
        <v>&lt;= 10000$</v>
      </c>
    </row>
    <row r="423" spans="1:16" x14ac:dyDescent="0.25">
      <c r="A423">
        <v>485</v>
      </c>
      <c r="B423" t="s">
        <v>113</v>
      </c>
      <c r="C423" t="s">
        <v>428</v>
      </c>
      <c r="D423" t="s">
        <v>16</v>
      </c>
      <c r="E423" t="s">
        <v>17</v>
      </c>
      <c r="F423" s="3">
        <v>100</v>
      </c>
      <c r="G423">
        <v>42</v>
      </c>
      <c r="H423">
        <v>12.75</v>
      </c>
      <c r="I423">
        <v>20</v>
      </c>
      <c r="J423" t="s">
        <v>28</v>
      </c>
      <c r="K423" t="s">
        <v>20</v>
      </c>
      <c r="L423" t="s">
        <v>35</v>
      </c>
      <c r="M423" s="3">
        <v>50</v>
      </c>
      <c r="N423" s="2">
        <v>7000</v>
      </c>
      <c r="O423" t="str">
        <f t="shared" si="12"/>
        <v>&lt;=100</v>
      </c>
      <c r="P423" t="str">
        <f t="shared" si="13"/>
        <v>&lt;= 10000$</v>
      </c>
    </row>
    <row r="424" spans="1:16" x14ac:dyDescent="0.25">
      <c r="A424">
        <v>486</v>
      </c>
      <c r="B424" t="s">
        <v>113</v>
      </c>
      <c r="C424" t="s">
        <v>429</v>
      </c>
      <c r="D424" t="s">
        <v>32</v>
      </c>
      <c r="E424" t="s">
        <v>17</v>
      </c>
      <c r="F424" s="3">
        <v>100</v>
      </c>
      <c r="G424">
        <v>38</v>
      </c>
      <c r="H424">
        <v>12.5</v>
      </c>
      <c r="I424">
        <v>20</v>
      </c>
      <c r="J424" t="s">
        <v>44</v>
      </c>
      <c r="K424" t="s">
        <v>20</v>
      </c>
      <c r="L424" t="s">
        <v>35</v>
      </c>
      <c r="M424" s="3">
        <v>50</v>
      </c>
      <c r="N424" s="2">
        <v>7000</v>
      </c>
      <c r="O424" t="str">
        <f t="shared" si="12"/>
        <v>&lt;=100</v>
      </c>
      <c r="P424" t="str">
        <f t="shared" si="13"/>
        <v>&lt;= 10000$</v>
      </c>
    </row>
    <row r="425" spans="1:16" x14ac:dyDescent="0.25">
      <c r="A425">
        <v>487</v>
      </c>
      <c r="B425" t="s">
        <v>113</v>
      </c>
      <c r="C425" t="s">
        <v>427</v>
      </c>
      <c r="D425" t="s">
        <v>32</v>
      </c>
      <c r="E425" t="s">
        <v>17</v>
      </c>
      <c r="F425" s="3">
        <v>50</v>
      </c>
      <c r="G425">
        <v>42</v>
      </c>
      <c r="H425">
        <v>14.05</v>
      </c>
      <c r="I425">
        <v>22</v>
      </c>
      <c r="J425" t="s">
        <v>44</v>
      </c>
      <c r="K425" t="s">
        <v>20</v>
      </c>
      <c r="L425" t="s">
        <v>141</v>
      </c>
      <c r="M425" s="3">
        <v>50</v>
      </c>
      <c r="N425" s="2">
        <v>6900</v>
      </c>
      <c r="O425" t="str">
        <f t="shared" si="12"/>
        <v>&lt;=100</v>
      </c>
      <c r="P425" t="str">
        <f t="shared" si="13"/>
        <v>&lt;= 10000$</v>
      </c>
    </row>
    <row r="426" spans="1:16" x14ac:dyDescent="0.25">
      <c r="A426">
        <v>488</v>
      </c>
      <c r="B426" t="s">
        <v>113</v>
      </c>
      <c r="C426" t="s">
        <v>429</v>
      </c>
      <c r="D426" t="s">
        <v>32</v>
      </c>
      <c r="E426" t="s">
        <v>17</v>
      </c>
      <c r="F426" s="3">
        <v>100</v>
      </c>
      <c r="G426">
        <v>38</v>
      </c>
      <c r="H426">
        <v>12.45</v>
      </c>
      <c r="I426">
        <v>19</v>
      </c>
      <c r="J426" t="s">
        <v>34</v>
      </c>
      <c r="K426" t="s">
        <v>20</v>
      </c>
      <c r="L426" t="s">
        <v>35</v>
      </c>
      <c r="M426" s="3">
        <v>50</v>
      </c>
      <c r="N426" s="2">
        <v>6900</v>
      </c>
      <c r="O426" t="str">
        <f t="shared" si="12"/>
        <v>&lt;=100</v>
      </c>
      <c r="P426" t="str">
        <f t="shared" si="13"/>
        <v>&lt;= 10000$</v>
      </c>
    </row>
    <row r="427" spans="1:16" x14ac:dyDescent="0.25">
      <c r="A427">
        <v>489</v>
      </c>
      <c r="B427" t="s">
        <v>113</v>
      </c>
      <c r="C427" t="s">
        <v>428</v>
      </c>
      <c r="D427" t="s">
        <v>16</v>
      </c>
      <c r="E427" t="s">
        <v>17</v>
      </c>
      <c r="F427" s="3">
        <v>100</v>
      </c>
      <c r="G427">
        <v>42</v>
      </c>
      <c r="H427">
        <v>12.75</v>
      </c>
      <c r="I427">
        <v>20</v>
      </c>
      <c r="J427" t="s">
        <v>28</v>
      </c>
      <c r="K427" t="s">
        <v>20</v>
      </c>
      <c r="L427" t="s">
        <v>35</v>
      </c>
      <c r="M427" s="3">
        <v>50</v>
      </c>
      <c r="N427" s="2">
        <v>6900</v>
      </c>
      <c r="O427" t="str">
        <f t="shared" si="12"/>
        <v>&lt;=100</v>
      </c>
      <c r="P427" t="str">
        <f t="shared" si="13"/>
        <v>&lt;= 10000$</v>
      </c>
    </row>
    <row r="428" spans="1:16" x14ac:dyDescent="0.25">
      <c r="A428">
        <v>490</v>
      </c>
      <c r="B428" t="s">
        <v>113</v>
      </c>
      <c r="C428" t="s">
        <v>428</v>
      </c>
      <c r="D428" t="s">
        <v>108</v>
      </c>
      <c r="E428" t="s">
        <v>17</v>
      </c>
      <c r="F428" s="3">
        <v>100</v>
      </c>
      <c r="G428">
        <v>42</v>
      </c>
      <c r="H428">
        <v>12.75</v>
      </c>
      <c r="I428">
        <v>20</v>
      </c>
      <c r="J428" t="s">
        <v>44</v>
      </c>
      <c r="K428" t="s">
        <v>20</v>
      </c>
      <c r="L428" t="s">
        <v>35</v>
      </c>
      <c r="M428" s="3">
        <v>50</v>
      </c>
      <c r="N428" s="2">
        <v>6500</v>
      </c>
      <c r="O428" t="str">
        <f t="shared" si="12"/>
        <v>&lt;=100</v>
      </c>
      <c r="P428" t="str">
        <f t="shared" si="13"/>
        <v>&lt;= 10000$</v>
      </c>
    </row>
    <row r="429" spans="1:16" x14ac:dyDescent="0.25">
      <c r="A429">
        <v>491</v>
      </c>
      <c r="B429" t="s">
        <v>113</v>
      </c>
      <c r="C429" t="s">
        <v>428</v>
      </c>
      <c r="D429" t="s">
        <v>32</v>
      </c>
      <c r="E429" t="s">
        <v>17</v>
      </c>
      <c r="F429" s="3">
        <v>100</v>
      </c>
      <c r="G429">
        <v>42</v>
      </c>
      <c r="H429">
        <v>12.75</v>
      </c>
      <c r="I429">
        <v>22</v>
      </c>
      <c r="J429" t="s">
        <v>19</v>
      </c>
      <c r="K429" t="s">
        <v>20</v>
      </c>
      <c r="L429" t="s">
        <v>35</v>
      </c>
      <c r="M429" s="3">
        <v>50</v>
      </c>
      <c r="N429" s="2">
        <v>6500</v>
      </c>
      <c r="O429" t="str">
        <f t="shared" si="12"/>
        <v>&lt;=100</v>
      </c>
      <c r="P429" t="str">
        <f t="shared" si="13"/>
        <v>&lt;= 10000$</v>
      </c>
    </row>
    <row r="430" spans="1:16" x14ac:dyDescent="0.25">
      <c r="A430">
        <v>492</v>
      </c>
      <c r="B430" t="s">
        <v>113</v>
      </c>
      <c r="C430" t="s">
        <v>428</v>
      </c>
      <c r="D430" t="s">
        <v>32</v>
      </c>
      <c r="E430" t="s">
        <v>17</v>
      </c>
      <c r="F430" s="3">
        <v>100</v>
      </c>
      <c r="G430">
        <v>42</v>
      </c>
      <c r="H430">
        <v>12.75</v>
      </c>
      <c r="I430">
        <v>20</v>
      </c>
      <c r="J430" t="s">
        <v>19</v>
      </c>
      <c r="K430" t="s">
        <v>20</v>
      </c>
      <c r="L430" t="s">
        <v>35</v>
      </c>
      <c r="M430" s="3">
        <v>50</v>
      </c>
      <c r="N430" s="2">
        <v>6500</v>
      </c>
      <c r="O430" t="str">
        <f t="shared" si="12"/>
        <v>&lt;=100</v>
      </c>
      <c r="P430" t="str">
        <f t="shared" si="13"/>
        <v>&lt;= 10000$</v>
      </c>
    </row>
    <row r="431" spans="1:16" x14ac:dyDescent="0.25">
      <c r="A431">
        <v>493</v>
      </c>
      <c r="B431" t="s">
        <v>113</v>
      </c>
      <c r="C431" t="s">
        <v>428</v>
      </c>
      <c r="D431" t="s">
        <v>32</v>
      </c>
      <c r="E431" t="s">
        <v>17</v>
      </c>
      <c r="F431" s="3">
        <v>100</v>
      </c>
      <c r="G431">
        <v>42</v>
      </c>
      <c r="H431">
        <v>12.75</v>
      </c>
      <c r="I431">
        <v>20</v>
      </c>
      <c r="J431" t="s">
        <v>19</v>
      </c>
      <c r="K431" t="s">
        <v>20</v>
      </c>
      <c r="L431" t="s">
        <v>35</v>
      </c>
      <c r="M431" s="3">
        <v>50</v>
      </c>
      <c r="N431" s="2">
        <v>6500</v>
      </c>
      <c r="O431" t="str">
        <f t="shared" si="12"/>
        <v>&lt;=100</v>
      </c>
      <c r="P431" t="str">
        <f t="shared" si="13"/>
        <v>&lt;= 10000$</v>
      </c>
    </row>
    <row r="432" spans="1:16" x14ac:dyDescent="0.25">
      <c r="A432">
        <v>494</v>
      </c>
      <c r="B432" t="s">
        <v>113</v>
      </c>
      <c r="C432" t="s">
        <v>427</v>
      </c>
      <c r="D432" t="s">
        <v>32</v>
      </c>
      <c r="E432" t="s">
        <v>17</v>
      </c>
      <c r="F432" s="3">
        <v>50</v>
      </c>
      <c r="G432">
        <v>42</v>
      </c>
      <c r="H432">
        <v>13.5</v>
      </c>
      <c r="I432">
        <v>22</v>
      </c>
      <c r="J432" t="s">
        <v>28</v>
      </c>
      <c r="K432" t="s">
        <v>20</v>
      </c>
      <c r="L432" t="s">
        <v>35</v>
      </c>
      <c r="M432" s="3">
        <v>50</v>
      </c>
      <c r="N432" s="2">
        <v>6500</v>
      </c>
      <c r="O432" t="str">
        <f t="shared" si="12"/>
        <v>&lt;=100</v>
      </c>
      <c r="P432" t="str">
        <f t="shared" si="13"/>
        <v>&lt;= 10000$</v>
      </c>
    </row>
    <row r="433" spans="1:16" x14ac:dyDescent="0.25">
      <c r="A433">
        <v>495</v>
      </c>
      <c r="B433" t="s">
        <v>113</v>
      </c>
      <c r="C433" t="s">
        <v>429</v>
      </c>
      <c r="D433" t="s">
        <v>32</v>
      </c>
      <c r="E433" t="s">
        <v>17</v>
      </c>
      <c r="F433" s="3">
        <v>100</v>
      </c>
      <c r="G433">
        <v>38</v>
      </c>
      <c r="H433">
        <v>12.45</v>
      </c>
      <c r="I433">
        <v>20</v>
      </c>
      <c r="J433" t="s">
        <v>44</v>
      </c>
      <c r="K433" t="s">
        <v>20</v>
      </c>
      <c r="L433" t="s">
        <v>35</v>
      </c>
      <c r="M433" s="3">
        <v>50</v>
      </c>
      <c r="N433" s="2">
        <v>6200</v>
      </c>
      <c r="O433" t="str">
        <f t="shared" si="12"/>
        <v>&lt;=100</v>
      </c>
      <c r="P433" t="str">
        <f t="shared" si="13"/>
        <v>&lt;= 10000$</v>
      </c>
    </row>
    <row r="434" spans="1:16" x14ac:dyDescent="0.25">
      <c r="A434">
        <v>496</v>
      </c>
      <c r="B434" t="s">
        <v>113</v>
      </c>
      <c r="C434" t="s">
        <v>428</v>
      </c>
      <c r="D434" t="s">
        <v>32</v>
      </c>
      <c r="E434" t="s">
        <v>17</v>
      </c>
      <c r="F434" s="3">
        <v>100</v>
      </c>
      <c r="G434">
        <v>42</v>
      </c>
      <c r="H434">
        <v>12.75</v>
      </c>
      <c r="I434">
        <v>20</v>
      </c>
      <c r="J434" t="s">
        <v>44</v>
      </c>
      <c r="K434" t="s">
        <v>20</v>
      </c>
      <c r="L434" t="s">
        <v>35</v>
      </c>
      <c r="M434" s="3">
        <v>50</v>
      </c>
      <c r="N434" s="2">
        <v>6000</v>
      </c>
      <c r="O434" t="str">
        <f t="shared" si="12"/>
        <v>&lt;=100</v>
      </c>
      <c r="P434" t="str">
        <f t="shared" si="13"/>
        <v>&lt;= 10000$</v>
      </c>
    </row>
    <row r="435" spans="1:16" x14ac:dyDescent="0.25">
      <c r="A435">
        <v>497</v>
      </c>
      <c r="B435" t="s">
        <v>113</v>
      </c>
      <c r="C435" t="s">
        <v>429</v>
      </c>
      <c r="D435" t="s">
        <v>32</v>
      </c>
      <c r="E435" t="s">
        <v>17</v>
      </c>
      <c r="F435" s="3">
        <v>100</v>
      </c>
      <c r="G435">
        <v>38</v>
      </c>
      <c r="H435">
        <v>12.4</v>
      </c>
      <c r="I435">
        <v>19</v>
      </c>
      <c r="J435" t="s">
        <v>34</v>
      </c>
      <c r="K435" t="s">
        <v>20</v>
      </c>
      <c r="L435" t="s">
        <v>35</v>
      </c>
      <c r="M435" s="3">
        <v>50</v>
      </c>
      <c r="N435" s="2">
        <v>6000</v>
      </c>
      <c r="O435" t="str">
        <f t="shared" si="12"/>
        <v>&lt;=100</v>
      </c>
      <c r="P435" t="str">
        <f t="shared" si="13"/>
        <v>&lt;= 10000$</v>
      </c>
    </row>
    <row r="436" spans="1:16" x14ac:dyDescent="0.25">
      <c r="A436">
        <v>498</v>
      </c>
      <c r="B436" t="s">
        <v>113</v>
      </c>
      <c r="C436" t="s">
        <v>427</v>
      </c>
      <c r="D436" t="s">
        <v>32</v>
      </c>
      <c r="E436" t="s">
        <v>17</v>
      </c>
      <c r="F436" s="3">
        <v>100</v>
      </c>
      <c r="G436">
        <v>42</v>
      </c>
      <c r="H436">
        <v>14.05</v>
      </c>
      <c r="I436">
        <v>20</v>
      </c>
      <c r="J436" t="s">
        <v>44</v>
      </c>
      <c r="K436" t="s">
        <v>20</v>
      </c>
      <c r="L436" t="s">
        <v>148</v>
      </c>
      <c r="M436" s="3">
        <v>50</v>
      </c>
      <c r="N436" s="2">
        <v>6000</v>
      </c>
      <c r="O436" t="str">
        <f t="shared" si="12"/>
        <v>&lt;=100</v>
      </c>
      <c r="P436" t="str">
        <f t="shared" si="13"/>
        <v>&lt;= 10000$</v>
      </c>
    </row>
    <row r="437" spans="1:16" x14ac:dyDescent="0.25">
      <c r="A437">
        <v>499</v>
      </c>
      <c r="B437" t="s">
        <v>113</v>
      </c>
      <c r="C437" t="s">
        <v>431</v>
      </c>
      <c r="D437" t="s">
        <v>32</v>
      </c>
      <c r="E437" t="s">
        <v>17</v>
      </c>
      <c r="F437" s="3">
        <v>100</v>
      </c>
      <c r="G437">
        <v>38</v>
      </c>
      <c r="H437">
        <v>12.45</v>
      </c>
      <c r="I437">
        <v>20</v>
      </c>
      <c r="J437" t="s">
        <v>44</v>
      </c>
      <c r="K437" t="s">
        <v>20</v>
      </c>
      <c r="L437" t="s">
        <v>35</v>
      </c>
      <c r="M437" s="3">
        <v>50</v>
      </c>
      <c r="N437" s="2">
        <v>6000</v>
      </c>
      <c r="O437" t="str">
        <f t="shared" si="12"/>
        <v>&lt;=100</v>
      </c>
      <c r="P437" t="str">
        <f t="shared" si="13"/>
        <v>&lt;= 10000$</v>
      </c>
    </row>
    <row r="438" spans="1:16" x14ac:dyDescent="0.25">
      <c r="A438">
        <v>500</v>
      </c>
      <c r="B438" t="s">
        <v>113</v>
      </c>
      <c r="C438" t="s">
        <v>429</v>
      </c>
      <c r="D438" t="s">
        <v>32</v>
      </c>
      <c r="E438" t="s">
        <v>17</v>
      </c>
      <c r="F438" s="3">
        <v>100</v>
      </c>
      <c r="G438">
        <v>38</v>
      </c>
      <c r="H438">
        <v>12.45</v>
      </c>
      <c r="I438">
        <v>20</v>
      </c>
      <c r="J438" t="s">
        <v>34</v>
      </c>
      <c r="K438" t="s">
        <v>20</v>
      </c>
      <c r="L438" t="s">
        <v>148</v>
      </c>
      <c r="M438" s="3">
        <v>50</v>
      </c>
      <c r="N438" s="2">
        <v>5600</v>
      </c>
      <c r="O438" t="str">
        <f t="shared" si="12"/>
        <v>&lt;=100</v>
      </c>
      <c r="P438" t="str">
        <f t="shared" si="13"/>
        <v>&lt;= 10000$</v>
      </c>
    </row>
    <row r="439" spans="1:16" x14ac:dyDescent="0.25">
      <c r="A439">
        <v>501</v>
      </c>
      <c r="B439" t="s">
        <v>113</v>
      </c>
      <c r="C439" t="s">
        <v>429</v>
      </c>
      <c r="D439" t="s">
        <v>32</v>
      </c>
      <c r="E439" t="s">
        <v>17</v>
      </c>
      <c r="F439" s="3">
        <v>100</v>
      </c>
      <c r="G439">
        <v>38</v>
      </c>
      <c r="H439">
        <v>12.75</v>
      </c>
      <c r="I439">
        <v>20</v>
      </c>
      <c r="J439" t="s">
        <v>34</v>
      </c>
      <c r="K439" t="s">
        <v>20</v>
      </c>
      <c r="L439" t="s">
        <v>35</v>
      </c>
      <c r="M439" s="3">
        <v>50</v>
      </c>
      <c r="N439" s="2">
        <v>5500</v>
      </c>
      <c r="O439" t="str">
        <f t="shared" si="12"/>
        <v>&lt;=100</v>
      </c>
      <c r="P439" t="str">
        <f t="shared" si="13"/>
        <v>&lt;= 10000$</v>
      </c>
    </row>
    <row r="440" spans="1:16" x14ac:dyDescent="0.25">
      <c r="A440">
        <v>502</v>
      </c>
      <c r="B440" t="s">
        <v>113</v>
      </c>
      <c r="C440" t="s">
        <v>432</v>
      </c>
      <c r="D440" t="s">
        <v>32</v>
      </c>
      <c r="E440" t="s">
        <v>17</v>
      </c>
      <c r="F440" s="3">
        <v>50</v>
      </c>
      <c r="G440">
        <v>40.5</v>
      </c>
      <c r="H440">
        <v>8.15</v>
      </c>
      <c r="I440">
        <v>22</v>
      </c>
      <c r="J440" t="s">
        <v>34</v>
      </c>
      <c r="K440" t="s">
        <v>20</v>
      </c>
      <c r="L440" t="s">
        <v>21</v>
      </c>
      <c r="M440" s="3">
        <v>50</v>
      </c>
      <c r="N440" s="2">
        <v>5500</v>
      </c>
      <c r="O440" t="str">
        <f t="shared" si="12"/>
        <v>&lt;=100</v>
      </c>
      <c r="P440" t="str">
        <f t="shared" si="13"/>
        <v>&lt;= 10000$</v>
      </c>
    </row>
    <row r="441" spans="1:16" x14ac:dyDescent="0.25">
      <c r="A441">
        <v>503</v>
      </c>
      <c r="B441" t="s">
        <v>113</v>
      </c>
      <c r="C441" t="s">
        <v>428</v>
      </c>
      <c r="D441" t="s">
        <v>32</v>
      </c>
      <c r="E441" t="s">
        <v>17</v>
      </c>
      <c r="F441" s="3">
        <v>100</v>
      </c>
      <c r="G441">
        <v>42</v>
      </c>
      <c r="H441">
        <v>12.75</v>
      </c>
      <c r="I441">
        <v>22</v>
      </c>
      <c r="J441" t="s">
        <v>19</v>
      </c>
      <c r="K441" t="s">
        <v>20</v>
      </c>
      <c r="L441" t="s">
        <v>35</v>
      </c>
      <c r="M441" s="3">
        <v>50</v>
      </c>
      <c r="N441" s="2">
        <v>5500</v>
      </c>
      <c r="O441" t="str">
        <f t="shared" si="12"/>
        <v>&lt;=100</v>
      </c>
      <c r="P441" t="str">
        <f t="shared" si="13"/>
        <v>&lt;= 10000$</v>
      </c>
    </row>
    <row r="442" spans="1:16" x14ac:dyDescent="0.25">
      <c r="A442">
        <v>504</v>
      </c>
      <c r="B442" t="s">
        <v>113</v>
      </c>
      <c r="C442" t="s">
        <v>433</v>
      </c>
      <c r="D442" t="s">
        <v>32</v>
      </c>
      <c r="E442" t="s">
        <v>17</v>
      </c>
      <c r="F442" s="3">
        <v>50</v>
      </c>
      <c r="G442">
        <v>39</v>
      </c>
      <c r="H442">
        <v>8.15</v>
      </c>
      <c r="I442">
        <v>20</v>
      </c>
      <c r="J442" t="s">
        <v>44</v>
      </c>
      <c r="K442" t="s">
        <v>20</v>
      </c>
      <c r="L442" t="s">
        <v>21</v>
      </c>
      <c r="M442" s="3">
        <v>50</v>
      </c>
      <c r="N442" s="2">
        <v>4900</v>
      </c>
      <c r="O442" t="str">
        <f t="shared" si="12"/>
        <v>&lt;=100</v>
      </c>
      <c r="P442" t="str">
        <f t="shared" si="13"/>
        <v>&lt;=5000$</v>
      </c>
    </row>
    <row r="443" spans="1:16" x14ac:dyDescent="0.25">
      <c r="A443">
        <v>505</v>
      </c>
      <c r="B443" t="s">
        <v>113</v>
      </c>
      <c r="C443" t="s">
        <v>432</v>
      </c>
      <c r="D443" t="s">
        <v>32</v>
      </c>
      <c r="E443" t="s">
        <v>17</v>
      </c>
      <c r="F443" s="3">
        <v>50</v>
      </c>
      <c r="G443">
        <v>40.5</v>
      </c>
      <c r="H443">
        <v>9.15</v>
      </c>
      <c r="I443">
        <v>20</v>
      </c>
      <c r="J443" t="s">
        <v>44</v>
      </c>
      <c r="K443" t="s">
        <v>20</v>
      </c>
      <c r="L443" t="s">
        <v>45</v>
      </c>
      <c r="M443" s="3">
        <v>50</v>
      </c>
      <c r="N443" s="2">
        <v>4500</v>
      </c>
      <c r="O443" t="str">
        <f t="shared" si="12"/>
        <v>&lt;=100</v>
      </c>
      <c r="P443" t="str">
        <f t="shared" si="13"/>
        <v>&lt;=5000$</v>
      </c>
    </row>
    <row r="444" spans="1:16" x14ac:dyDescent="0.25">
      <c r="A444">
        <v>1</v>
      </c>
      <c r="B444" t="s">
        <v>244</v>
      </c>
      <c r="C444" t="s">
        <v>250</v>
      </c>
      <c r="D444" t="s">
        <v>32</v>
      </c>
      <c r="E444" t="s">
        <v>49</v>
      </c>
      <c r="F444" s="3">
        <v>30</v>
      </c>
      <c r="G444">
        <v>38.5</v>
      </c>
      <c r="H444">
        <v>7.8</v>
      </c>
      <c r="I444">
        <v>18</v>
      </c>
      <c r="J444" t="s">
        <v>44</v>
      </c>
      <c r="K444" t="s">
        <v>20</v>
      </c>
      <c r="L444" t="s">
        <v>45</v>
      </c>
      <c r="M444" s="3">
        <v>45</v>
      </c>
      <c r="N444" s="2">
        <v>23000</v>
      </c>
      <c r="O444" t="str">
        <f t="shared" si="12"/>
        <v>&lt;=100</v>
      </c>
      <c r="P444" t="str">
        <f t="shared" si="13"/>
        <v>&lt;= 40000$</v>
      </c>
    </row>
    <row r="445" spans="1:16" x14ac:dyDescent="0.25">
      <c r="A445">
        <v>2</v>
      </c>
      <c r="B445" t="s">
        <v>244</v>
      </c>
      <c r="C445" t="s">
        <v>251</v>
      </c>
      <c r="D445" t="s">
        <v>32</v>
      </c>
      <c r="E445" t="s">
        <v>49</v>
      </c>
      <c r="F445" s="3">
        <v>30</v>
      </c>
      <c r="G445">
        <v>38.5</v>
      </c>
      <c r="H445">
        <v>7.8</v>
      </c>
      <c r="I445">
        <v>18</v>
      </c>
      <c r="J445" t="s">
        <v>44</v>
      </c>
      <c r="K445" t="s">
        <v>20</v>
      </c>
      <c r="L445" t="s">
        <v>45</v>
      </c>
      <c r="M445" s="3">
        <v>72</v>
      </c>
      <c r="N445" s="2">
        <v>23300</v>
      </c>
      <c r="O445" t="str">
        <f t="shared" si="12"/>
        <v>&lt;=100</v>
      </c>
      <c r="P445" t="str">
        <f t="shared" si="13"/>
        <v>&lt;= 40000$</v>
      </c>
    </row>
    <row r="446" spans="1:16" x14ac:dyDescent="0.25">
      <c r="A446">
        <v>3</v>
      </c>
      <c r="B446" t="s">
        <v>244</v>
      </c>
      <c r="C446" t="s">
        <v>252</v>
      </c>
      <c r="D446" t="s">
        <v>32</v>
      </c>
      <c r="E446" t="s">
        <v>49</v>
      </c>
      <c r="F446" s="3">
        <v>30</v>
      </c>
      <c r="G446">
        <v>37</v>
      </c>
      <c r="H446">
        <v>7.5</v>
      </c>
      <c r="I446">
        <v>18</v>
      </c>
      <c r="J446" t="s">
        <v>44</v>
      </c>
      <c r="K446" t="s">
        <v>20</v>
      </c>
      <c r="L446" t="s">
        <v>45</v>
      </c>
      <c r="M446" s="3">
        <v>45</v>
      </c>
      <c r="N446" s="2">
        <v>17500</v>
      </c>
      <c r="O446" t="str">
        <f t="shared" si="12"/>
        <v>&lt;=100</v>
      </c>
      <c r="P446" t="str">
        <f t="shared" si="13"/>
        <v>&lt;= 20000$</v>
      </c>
    </row>
    <row r="447" spans="1:16" x14ac:dyDescent="0.25">
      <c r="A447">
        <v>77</v>
      </c>
      <c r="B447" t="s">
        <v>72</v>
      </c>
      <c r="C447" t="s">
        <v>267</v>
      </c>
      <c r="D447" t="s">
        <v>32</v>
      </c>
      <c r="E447" t="s">
        <v>49</v>
      </c>
      <c r="F447" s="3">
        <v>30</v>
      </c>
      <c r="G447">
        <v>39</v>
      </c>
      <c r="H447">
        <v>10.199999999999999</v>
      </c>
      <c r="I447">
        <v>22</v>
      </c>
      <c r="J447" t="s">
        <v>44</v>
      </c>
      <c r="K447" t="s">
        <v>20</v>
      </c>
      <c r="L447" t="s">
        <v>45</v>
      </c>
      <c r="M447" s="3">
        <v>40</v>
      </c>
      <c r="N447" s="2">
        <v>26000</v>
      </c>
      <c r="O447" t="str">
        <f t="shared" si="12"/>
        <v>&lt;=100</v>
      </c>
      <c r="P447" t="str">
        <f t="shared" si="13"/>
        <v>&lt;= 40000$</v>
      </c>
    </row>
    <row r="448" spans="1:16" x14ac:dyDescent="0.25">
      <c r="A448">
        <v>79</v>
      </c>
      <c r="B448" t="s">
        <v>72</v>
      </c>
      <c r="C448" t="s">
        <v>269</v>
      </c>
      <c r="D448" t="s">
        <v>32</v>
      </c>
      <c r="E448" t="s">
        <v>49</v>
      </c>
      <c r="F448" s="3">
        <v>30</v>
      </c>
      <c r="G448">
        <v>40</v>
      </c>
      <c r="H448">
        <v>6.8</v>
      </c>
      <c r="I448">
        <v>20</v>
      </c>
      <c r="J448" t="s">
        <v>44</v>
      </c>
      <c r="K448" t="s">
        <v>20</v>
      </c>
      <c r="L448" t="s">
        <v>45</v>
      </c>
      <c r="M448" s="3">
        <v>55</v>
      </c>
      <c r="N448" s="2">
        <v>25000</v>
      </c>
      <c r="O448" t="str">
        <f t="shared" si="12"/>
        <v>&lt;=100</v>
      </c>
      <c r="P448" t="str">
        <f t="shared" si="13"/>
        <v>&lt;= 40000$</v>
      </c>
    </row>
    <row r="449" spans="1:16" x14ac:dyDescent="0.25">
      <c r="A449">
        <v>82</v>
      </c>
      <c r="B449" t="s">
        <v>72</v>
      </c>
      <c r="C449" t="s">
        <v>272</v>
      </c>
      <c r="D449" t="s">
        <v>32</v>
      </c>
      <c r="E449" t="s">
        <v>49</v>
      </c>
      <c r="F449" s="3">
        <v>30</v>
      </c>
      <c r="G449">
        <v>40</v>
      </c>
      <c r="H449">
        <v>6.95</v>
      </c>
      <c r="I449">
        <v>20</v>
      </c>
      <c r="J449" t="s">
        <v>44</v>
      </c>
      <c r="K449" t="s">
        <v>20</v>
      </c>
      <c r="L449" t="s">
        <v>45</v>
      </c>
      <c r="M449" s="3">
        <v>50</v>
      </c>
      <c r="N449" s="2">
        <v>24000</v>
      </c>
      <c r="O449" t="str">
        <f t="shared" si="12"/>
        <v>&lt;=100</v>
      </c>
      <c r="P449" t="str">
        <f t="shared" si="13"/>
        <v>&lt;= 40000$</v>
      </c>
    </row>
    <row r="450" spans="1:16" x14ac:dyDescent="0.25">
      <c r="A450">
        <v>85</v>
      </c>
      <c r="B450" t="s">
        <v>72</v>
      </c>
      <c r="C450" t="s">
        <v>273</v>
      </c>
      <c r="D450" t="s">
        <v>32</v>
      </c>
      <c r="E450" t="s">
        <v>49</v>
      </c>
      <c r="F450" s="3">
        <v>30</v>
      </c>
      <c r="G450">
        <v>38.5</v>
      </c>
      <c r="H450">
        <v>8.25</v>
      </c>
      <c r="I450">
        <v>20</v>
      </c>
      <c r="J450" t="s">
        <v>44</v>
      </c>
      <c r="K450" t="s">
        <v>20</v>
      </c>
      <c r="L450" t="s">
        <v>12</v>
      </c>
      <c r="M450" s="3">
        <v>65</v>
      </c>
      <c r="N450" s="2">
        <v>23000</v>
      </c>
      <c r="O450" t="str">
        <f t="shared" ref="O450:O506" si="14">IF($F450&lt;=100, "&lt;=100", IF($F450&lt;=200, "100-200", IF($F450&lt;=300, "200-300", IF($F450&lt;=500, "300-500", IF($F450&lt;1000, "500-1000", "1000+")))))</f>
        <v>&lt;=100</v>
      </c>
      <c r="P450" t="str">
        <f t="shared" ref="P450:P506" si="15">IF(N450&lt;=1000, "&lt;= 1000$", IF(N450&lt;=2000, " &lt;=2000$", IF(N450&lt;=5000, "&lt;=5000$", IF(N450&lt;=10000, "&lt;= 10000$", IF(N450&lt;=20000, "&lt;= 20000$", IF(N450&lt;40000, "&lt;= 40000$", "40000$ +"))))))</f>
        <v>&lt;= 40000$</v>
      </c>
    </row>
    <row r="451" spans="1:16" x14ac:dyDescent="0.25">
      <c r="A451">
        <v>86</v>
      </c>
      <c r="B451" t="s">
        <v>72</v>
      </c>
      <c r="C451" t="s">
        <v>274</v>
      </c>
      <c r="D451" t="s">
        <v>32</v>
      </c>
      <c r="E451" t="s">
        <v>49</v>
      </c>
      <c r="F451" s="3">
        <v>30</v>
      </c>
      <c r="G451">
        <v>38</v>
      </c>
      <c r="H451">
        <v>7.45</v>
      </c>
      <c r="I451">
        <v>20</v>
      </c>
      <c r="J451" t="s">
        <v>44</v>
      </c>
      <c r="K451" t="s">
        <v>20</v>
      </c>
      <c r="L451" t="s">
        <v>45</v>
      </c>
      <c r="M451" s="3">
        <v>65</v>
      </c>
      <c r="N451" s="2">
        <v>23000</v>
      </c>
      <c r="O451" t="str">
        <f t="shared" si="14"/>
        <v>&lt;=100</v>
      </c>
      <c r="P451" t="str">
        <f t="shared" si="15"/>
        <v>&lt;= 40000$</v>
      </c>
    </row>
    <row r="452" spans="1:16" x14ac:dyDescent="0.25">
      <c r="A452">
        <v>87</v>
      </c>
      <c r="B452" t="s">
        <v>72</v>
      </c>
      <c r="C452" t="s">
        <v>275</v>
      </c>
      <c r="D452" t="s">
        <v>32</v>
      </c>
      <c r="E452" t="s">
        <v>49</v>
      </c>
      <c r="F452" s="3">
        <v>30</v>
      </c>
      <c r="G452">
        <v>40</v>
      </c>
      <c r="H452">
        <v>6.95</v>
      </c>
      <c r="I452">
        <v>20</v>
      </c>
      <c r="J452" t="s">
        <v>34</v>
      </c>
      <c r="K452" t="s">
        <v>20</v>
      </c>
      <c r="L452" t="s">
        <v>45</v>
      </c>
      <c r="M452" s="3">
        <v>65</v>
      </c>
      <c r="N452" s="2">
        <v>22500</v>
      </c>
      <c r="O452" t="str">
        <f t="shared" si="14"/>
        <v>&lt;=100</v>
      </c>
      <c r="P452" t="str">
        <f t="shared" si="15"/>
        <v>&lt;= 40000$</v>
      </c>
    </row>
    <row r="453" spans="1:16" x14ac:dyDescent="0.25">
      <c r="A453">
        <v>88</v>
      </c>
      <c r="B453" t="s">
        <v>72</v>
      </c>
      <c r="C453" t="s">
        <v>274</v>
      </c>
      <c r="D453" t="s">
        <v>32</v>
      </c>
      <c r="E453" t="s">
        <v>49</v>
      </c>
      <c r="F453" s="3">
        <v>30</v>
      </c>
      <c r="G453">
        <v>38</v>
      </c>
      <c r="H453">
        <v>8.25</v>
      </c>
      <c r="I453">
        <v>20</v>
      </c>
      <c r="J453" t="s">
        <v>44</v>
      </c>
      <c r="K453" t="s">
        <v>20</v>
      </c>
      <c r="L453" t="s">
        <v>45</v>
      </c>
      <c r="M453" s="3">
        <v>40</v>
      </c>
      <c r="N453" s="2">
        <v>22000</v>
      </c>
      <c r="O453" t="str">
        <f t="shared" si="14"/>
        <v>&lt;=100</v>
      </c>
      <c r="P453" t="str">
        <f t="shared" si="15"/>
        <v>&lt;= 40000$</v>
      </c>
    </row>
    <row r="454" spans="1:16" x14ac:dyDescent="0.25">
      <c r="A454">
        <v>90</v>
      </c>
      <c r="B454" t="s">
        <v>72</v>
      </c>
      <c r="C454" t="s">
        <v>269</v>
      </c>
      <c r="D454" t="s">
        <v>32</v>
      </c>
      <c r="E454" t="s">
        <v>49</v>
      </c>
      <c r="F454" s="3">
        <v>30</v>
      </c>
      <c r="G454">
        <v>40</v>
      </c>
      <c r="H454">
        <v>6.8</v>
      </c>
      <c r="I454">
        <v>20</v>
      </c>
      <c r="J454" t="s">
        <v>44</v>
      </c>
      <c r="K454" t="s">
        <v>20</v>
      </c>
      <c r="L454" t="s">
        <v>45</v>
      </c>
      <c r="M454" s="3">
        <v>65</v>
      </c>
      <c r="N454" s="2">
        <v>20500</v>
      </c>
      <c r="O454" t="str">
        <f t="shared" si="14"/>
        <v>&lt;=100</v>
      </c>
      <c r="P454" t="str">
        <f t="shared" si="15"/>
        <v>&lt;= 40000$</v>
      </c>
    </row>
    <row r="455" spans="1:16" x14ac:dyDescent="0.25">
      <c r="A455">
        <v>97</v>
      </c>
      <c r="B455" t="s">
        <v>72</v>
      </c>
      <c r="C455" t="s">
        <v>274</v>
      </c>
      <c r="D455" t="s">
        <v>32</v>
      </c>
      <c r="E455" t="s">
        <v>49</v>
      </c>
      <c r="F455" s="3">
        <v>30</v>
      </c>
      <c r="G455">
        <v>38</v>
      </c>
      <c r="H455">
        <v>8.65</v>
      </c>
      <c r="I455">
        <v>20</v>
      </c>
      <c r="J455" t="s">
        <v>44</v>
      </c>
      <c r="K455" t="s">
        <v>20</v>
      </c>
      <c r="L455" t="s">
        <v>45</v>
      </c>
      <c r="M455" s="3">
        <v>40</v>
      </c>
      <c r="N455" s="2">
        <v>16000</v>
      </c>
      <c r="O455" t="str">
        <f t="shared" si="14"/>
        <v>&lt;=100</v>
      </c>
      <c r="P455" t="str">
        <f t="shared" si="15"/>
        <v>&lt;= 20000$</v>
      </c>
    </row>
    <row r="456" spans="1:16" x14ac:dyDescent="0.25">
      <c r="A456">
        <v>98</v>
      </c>
      <c r="B456" t="s">
        <v>72</v>
      </c>
      <c r="C456" t="s">
        <v>272</v>
      </c>
      <c r="D456" t="s">
        <v>32</v>
      </c>
      <c r="E456" t="s">
        <v>49</v>
      </c>
      <c r="F456" s="3">
        <v>30</v>
      </c>
      <c r="G456">
        <v>40</v>
      </c>
      <c r="H456">
        <v>6.1</v>
      </c>
      <c r="I456">
        <v>20</v>
      </c>
      <c r="J456" t="s">
        <v>44</v>
      </c>
      <c r="K456" t="s">
        <v>20</v>
      </c>
      <c r="L456" t="s">
        <v>45</v>
      </c>
      <c r="M456" s="3">
        <v>65</v>
      </c>
      <c r="N456" s="2">
        <v>16000</v>
      </c>
      <c r="O456" t="str">
        <f t="shared" si="14"/>
        <v>&lt;=100</v>
      </c>
      <c r="P456" t="str">
        <f t="shared" si="15"/>
        <v>&lt;= 20000$</v>
      </c>
    </row>
    <row r="457" spans="1:16" x14ac:dyDescent="0.25">
      <c r="A457">
        <v>99</v>
      </c>
      <c r="B457" t="s">
        <v>72</v>
      </c>
      <c r="C457" t="s">
        <v>267</v>
      </c>
      <c r="D457" t="s">
        <v>32</v>
      </c>
      <c r="E457" t="s">
        <v>49</v>
      </c>
      <c r="F457" s="3">
        <v>30</v>
      </c>
      <c r="G457">
        <v>39</v>
      </c>
      <c r="H457">
        <v>8.65</v>
      </c>
      <c r="I457">
        <v>20</v>
      </c>
      <c r="J457" t="s">
        <v>44</v>
      </c>
      <c r="K457" t="s">
        <v>20</v>
      </c>
      <c r="L457" t="s">
        <v>45</v>
      </c>
      <c r="M457" s="3">
        <v>40</v>
      </c>
      <c r="N457" s="2">
        <v>15200</v>
      </c>
      <c r="O457" t="str">
        <f t="shared" si="14"/>
        <v>&lt;=100</v>
      </c>
      <c r="P457" t="str">
        <f t="shared" si="15"/>
        <v>&lt;= 20000$</v>
      </c>
    </row>
    <row r="458" spans="1:16" x14ac:dyDescent="0.25">
      <c r="A458">
        <v>122</v>
      </c>
      <c r="B458" t="s">
        <v>41</v>
      </c>
      <c r="C458" t="s">
        <v>293</v>
      </c>
      <c r="D458" t="s">
        <v>32</v>
      </c>
      <c r="E458" t="s">
        <v>49</v>
      </c>
      <c r="F458" s="3">
        <v>30</v>
      </c>
      <c r="G458">
        <v>27.5</v>
      </c>
      <c r="H458">
        <v>6.5</v>
      </c>
      <c r="I458">
        <v>18</v>
      </c>
      <c r="J458" t="s">
        <v>44</v>
      </c>
      <c r="K458" t="s">
        <v>20</v>
      </c>
      <c r="L458" t="s">
        <v>45</v>
      </c>
      <c r="M458" s="3" t="s">
        <v>46</v>
      </c>
      <c r="N458" s="2">
        <v>14200</v>
      </c>
      <c r="O458" t="str">
        <f t="shared" si="14"/>
        <v>&lt;=100</v>
      </c>
      <c r="P458" t="str">
        <f t="shared" si="15"/>
        <v>&lt;= 20000$</v>
      </c>
    </row>
    <row r="459" spans="1:16" x14ac:dyDescent="0.25">
      <c r="A459">
        <v>137</v>
      </c>
      <c r="B459" t="s">
        <v>41</v>
      </c>
      <c r="C459" t="s">
        <v>302</v>
      </c>
      <c r="D459" t="s">
        <v>32</v>
      </c>
      <c r="E459" t="s">
        <v>49</v>
      </c>
      <c r="F459" s="3">
        <v>30</v>
      </c>
      <c r="G459">
        <v>31.4</v>
      </c>
      <c r="H459">
        <v>7.25</v>
      </c>
      <c r="I459">
        <v>18</v>
      </c>
      <c r="J459" t="s">
        <v>44</v>
      </c>
      <c r="K459" t="s">
        <v>20</v>
      </c>
      <c r="L459" t="s">
        <v>45</v>
      </c>
      <c r="M459" s="3" t="s">
        <v>46</v>
      </c>
      <c r="N459" s="2">
        <v>4500</v>
      </c>
      <c r="O459" t="str">
        <f t="shared" si="14"/>
        <v>&lt;=100</v>
      </c>
      <c r="P459" t="str">
        <f t="shared" si="15"/>
        <v>&lt;=5000$</v>
      </c>
    </row>
    <row r="460" spans="1:16" x14ac:dyDescent="0.25">
      <c r="A460">
        <v>260</v>
      </c>
      <c r="B460" t="s">
        <v>47</v>
      </c>
      <c r="C460" t="s">
        <v>343</v>
      </c>
      <c r="D460" t="s">
        <v>32</v>
      </c>
      <c r="E460" t="s">
        <v>49</v>
      </c>
      <c r="F460" s="3">
        <v>30</v>
      </c>
      <c r="G460">
        <v>42.9</v>
      </c>
      <c r="H460">
        <v>9.1999999999999993</v>
      </c>
      <c r="I460">
        <v>20</v>
      </c>
      <c r="J460" t="s">
        <v>19</v>
      </c>
      <c r="K460" t="s">
        <v>20</v>
      </c>
      <c r="L460" t="s">
        <v>45</v>
      </c>
      <c r="M460" s="3">
        <v>45</v>
      </c>
      <c r="N460" s="2">
        <v>5500</v>
      </c>
      <c r="O460" t="str">
        <f t="shared" si="14"/>
        <v>&lt;=100</v>
      </c>
      <c r="P460" t="str">
        <f t="shared" si="15"/>
        <v>&lt;= 10000$</v>
      </c>
    </row>
    <row r="461" spans="1:16" x14ac:dyDescent="0.25">
      <c r="A461">
        <v>261</v>
      </c>
      <c r="B461" t="s">
        <v>47</v>
      </c>
      <c r="C461" t="s">
        <v>343</v>
      </c>
      <c r="D461" t="s">
        <v>32</v>
      </c>
      <c r="E461" t="s">
        <v>49</v>
      </c>
      <c r="F461" s="3">
        <v>30</v>
      </c>
      <c r="G461">
        <v>42.9</v>
      </c>
      <c r="H461">
        <v>9.1999999999999993</v>
      </c>
      <c r="I461">
        <v>20</v>
      </c>
      <c r="J461" t="s">
        <v>19</v>
      </c>
      <c r="K461" t="s">
        <v>20</v>
      </c>
      <c r="L461" t="s">
        <v>45</v>
      </c>
      <c r="M461" s="3">
        <v>45</v>
      </c>
      <c r="N461" s="2">
        <v>5500</v>
      </c>
      <c r="O461" t="str">
        <f t="shared" si="14"/>
        <v>&lt;=100</v>
      </c>
      <c r="P461" t="str">
        <f t="shared" si="15"/>
        <v>&lt;= 10000$</v>
      </c>
    </row>
    <row r="462" spans="1:16" x14ac:dyDescent="0.25">
      <c r="A462">
        <v>283</v>
      </c>
      <c r="B462" t="s">
        <v>99</v>
      </c>
      <c r="C462" t="s">
        <v>358</v>
      </c>
      <c r="D462" t="s">
        <v>32</v>
      </c>
      <c r="E462" t="s">
        <v>49</v>
      </c>
      <c r="F462" s="3">
        <v>30</v>
      </c>
      <c r="G462">
        <v>44</v>
      </c>
      <c r="H462">
        <v>12.3</v>
      </c>
      <c r="I462">
        <v>22</v>
      </c>
      <c r="J462" t="s">
        <v>19</v>
      </c>
      <c r="K462" t="s">
        <v>20</v>
      </c>
      <c r="L462" t="s">
        <v>45</v>
      </c>
      <c r="M462" s="3">
        <v>50</v>
      </c>
      <c r="N462" s="2">
        <v>3500</v>
      </c>
      <c r="O462" t="str">
        <f t="shared" si="14"/>
        <v>&lt;=100</v>
      </c>
      <c r="P462" t="str">
        <f t="shared" si="15"/>
        <v>&lt;=5000$</v>
      </c>
    </row>
    <row r="463" spans="1:16" x14ac:dyDescent="0.25">
      <c r="A463">
        <v>292</v>
      </c>
      <c r="B463" t="s">
        <v>23</v>
      </c>
      <c r="C463" t="s">
        <v>361</v>
      </c>
      <c r="D463" t="s">
        <v>16</v>
      </c>
      <c r="E463" t="s">
        <v>49</v>
      </c>
      <c r="F463" s="3">
        <v>50</v>
      </c>
      <c r="G463">
        <v>42</v>
      </c>
      <c r="H463">
        <v>14.3</v>
      </c>
      <c r="I463">
        <v>20</v>
      </c>
      <c r="J463" t="s">
        <v>19</v>
      </c>
      <c r="K463" t="s">
        <v>106</v>
      </c>
      <c r="L463" t="s">
        <v>83</v>
      </c>
      <c r="M463" s="3">
        <v>48</v>
      </c>
      <c r="N463" s="2">
        <v>5500</v>
      </c>
      <c r="O463" t="str">
        <f t="shared" si="14"/>
        <v>&lt;=100</v>
      </c>
      <c r="P463" t="str">
        <f t="shared" si="15"/>
        <v>&lt;= 10000$</v>
      </c>
    </row>
    <row r="464" spans="1:16" x14ac:dyDescent="0.25">
      <c r="A464">
        <v>293</v>
      </c>
      <c r="B464" t="s">
        <v>23</v>
      </c>
      <c r="C464" t="s">
        <v>363</v>
      </c>
      <c r="D464" t="s">
        <v>16</v>
      </c>
      <c r="E464" t="s">
        <v>49</v>
      </c>
      <c r="F464" s="3">
        <v>50</v>
      </c>
      <c r="G464">
        <v>42</v>
      </c>
      <c r="H464">
        <v>13.2</v>
      </c>
      <c r="I464">
        <v>20</v>
      </c>
      <c r="J464" t="s">
        <v>19</v>
      </c>
      <c r="K464" t="s">
        <v>106</v>
      </c>
      <c r="L464" t="s">
        <v>83</v>
      </c>
      <c r="M464" s="3">
        <v>48</v>
      </c>
      <c r="N464" s="2">
        <v>5500</v>
      </c>
      <c r="O464" t="str">
        <f t="shared" si="14"/>
        <v>&lt;=100</v>
      </c>
      <c r="P464" t="str">
        <f t="shared" si="15"/>
        <v>&lt;= 10000$</v>
      </c>
    </row>
    <row r="465" spans="1:16" x14ac:dyDescent="0.25">
      <c r="A465">
        <v>294</v>
      </c>
      <c r="B465" t="s">
        <v>23</v>
      </c>
      <c r="C465" t="s">
        <v>361</v>
      </c>
      <c r="D465" t="s">
        <v>32</v>
      </c>
      <c r="E465" t="s">
        <v>49</v>
      </c>
      <c r="F465" s="3">
        <v>50</v>
      </c>
      <c r="G465">
        <v>42</v>
      </c>
      <c r="H465">
        <v>13.7</v>
      </c>
      <c r="I465">
        <v>20</v>
      </c>
      <c r="J465" t="s">
        <v>19</v>
      </c>
      <c r="K465" t="s">
        <v>106</v>
      </c>
      <c r="L465" t="s">
        <v>35</v>
      </c>
      <c r="M465" s="3">
        <v>48</v>
      </c>
      <c r="N465" s="2">
        <v>5500</v>
      </c>
      <c r="O465" t="str">
        <f t="shared" si="14"/>
        <v>&lt;=100</v>
      </c>
      <c r="P465" t="str">
        <f t="shared" si="15"/>
        <v>&lt;= 10000$</v>
      </c>
    </row>
    <row r="466" spans="1:16" x14ac:dyDescent="0.25">
      <c r="A466">
        <v>295</v>
      </c>
      <c r="B466" t="s">
        <v>23</v>
      </c>
      <c r="C466" t="s">
        <v>361</v>
      </c>
      <c r="D466" t="s">
        <v>16</v>
      </c>
      <c r="E466" t="s">
        <v>49</v>
      </c>
      <c r="F466" s="3">
        <v>50</v>
      </c>
      <c r="G466">
        <v>42</v>
      </c>
      <c r="H466">
        <v>14.3</v>
      </c>
      <c r="I466">
        <v>20</v>
      </c>
      <c r="J466" t="s">
        <v>19</v>
      </c>
      <c r="K466" t="s">
        <v>20</v>
      </c>
      <c r="L466" t="s">
        <v>35</v>
      </c>
      <c r="M466" s="3">
        <v>48</v>
      </c>
      <c r="N466" s="2">
        <v>5400</v>
      </c>
      <c r="O466" t="str">
        <f t="shared" si="14"/>
        <v>&lt;=100</v>
      </c>
      <c r="P466" t="str">
        <f t="shared" si="15"/>
        <v>&lt;= 10000$</v>
      </c>
    </row>
    <row r="467" spans="1:16" x14ac:dyDescent="0.25">
      <c r="A467">
        <v>296</v>
      </c>
      <c r="B467" t="s">
        <v>23</v>
      </c>
      <c r="C467" t="s">
        <v>363</v>
      </c>
      <c r="D467" t="s">
        <v>16</v>
      </c>
      <c r="E467" t="s">
        <v>49</v>
      </c>
      <c r="F467" s="3">
        <v>50</v>
      </c>
      <c r="G467">
        <v>42</v>
      </c>
      <c r="H467">
        <v>14.3</v>
      </c>
      <c r="I467">
        <v>20</v>
      </c>
      <c r="J467" t="s">
        <v>19</v>
      </c>
      <c r="K467" t="s">
        <v>106</v>
      </c>
      <c r="L467" t="s">
        <v>35</v>
      </c>
      <c r="M467" s="3">
        <v>48</v>
      </c>
      <c r="N467" s="2">
        <v>5400</v>
      </c>
      <c r="O467" t="str">
        <f t="shared" si="14"/>
        <v>&lt;=100</v>
      </c>
      <c r="P467" t="str">
        <f t="shared" si="15"/>
        <v>&lt;= 10000$</v>
      </c>
    </row>
    <row r="468" spans="1:16" x14ac:dyDescent="0.25">
      <c r="A468">
        <v>297</v>
      </c>
      <c r="B468" t="s">
        <v>23</v>
      </c>
      <c r="C468" t="s">
        <v>363</v>
      </c>
      <c r="D468" t="s">
        <v>16</v>
      </c>
      <c r="E468" t="s">
        <v>49</v>
      </c>
      <c r="F468" s="3">
        <v>50</v>
      </c>
      <c r="G468">
        <v>42</v>
      </c>
      <c r="H468">
        <v>13.75</v>
      </c>
      <c r="I468">
        <v>20</v>
      </c>
      <c r="J468" t="s">
        <v>19</v>
      </c>
      <c r="K468" t="s">
        <v>106</v>
      </c>
      <c r="L468" t="s">
        <v>83</v>
      </c>
      <c r="M468" s="3">
        <v>48</v>
      </c>
      <c r="N468" s="2">
        <v>5350</v>
      </c>
      <c r="O468" t="str">
        <f t="shared" si="14"/>
        <v>&lt;=100</v>
      </c>
      <c r="P468" t="str">
        <f t="shared" si="15"/>
        <v>&lt;= 10000$</v>
      </c>
    </row>
    <row r="469" spans="1:16" x14ac:dyDescent="0.25">
      <c r="A469">
        <v>298</v>
      </c>
      <c r="B469" t="s">
        <v>23</v>
      </c>
      <c r="C469" t="s">
        <v>361</v>
      </c>
      <c r="D469" t="s">
        <v>16</v>
      </c>
      <c r="E469" t="s">
        <v>49</v>
      </c>
      <c r="F469" s="3">
        <v>50</v>
      </c>
      <c r="G469">
        <v>42</v>
      </c>
      <c r="H469">
        <v>14.3</v>
      </c>
      <c r="I469">
        <v>20</v>
      </c>
      <c r="J469" t="s">
        <v>19</v>
      </c>
      <c r="K469" t="s">
        <v>106</v>
      </c>
      <c r="L469" t="s">
        <v>35</v>
      </c>
      <c r="M469" s="3">
        <v>48</v>
      </c>
      <c r="N469" s="2">
        <v>5350</v>
      </c>
      <c r="O469" t="str">
        <f t="shared" si="14"/>
        <v>&lt;=100</v>
      </c>
      <c r="P469" t="str">
        <f t="shared" si="15"/>
        <v>&lt;= 10000$</v>
      </c>
    </row>
    <row r="470" spans="1:16" x14ac:dyDescent="0.25">
      <c r="A470">
        <v>300</v>
      </c>
      <c r="B470" t="s">
        <v>23</v>
      </c>
      <c r="C470" t="s">
        <v>363</v>
      </c>
      <c r="D470" t="s">
        <v>16</v>
      </c>
      <c r="E470" t="s">
        <v>49</v>
      </c>
      <c r="F470" s="3">
        <v>50</v>
      </c>
      <c r="G470">
        <v>42</v>
      </c>
      <c r="H470">
        <v>14.3</v>
      </c>
      <c r="I470">
        <v>20</v>
      </c>
      <c r="J470" t="s">
        <v>19</v>
      </c>
      <c r="K470" t="s">
        <v>106</v>
      </c>
      <c r="L470" t="s">
        <v>83</v>
      </c>
      <c r="M470" s="3">
        <v>48</v>
      </c>
      <c r="N470" s="2">
        <v>5250</v>
      </c>
      <c r="O470" t="str">
        <f t="shared" si="14"/>
        <v>&lt;=100</v>
      </c>
      <c r="P470" t="str">
        <f t="shared" si="15"/>
        <v>&lt;= 10000$</v>
      </c>
    </row>
    <row r="471" spans="1:16" x14ac:dyDescent="0.25">
      <c r="A471">
        <v>301</v>
      </c>
      <c r="B471" t="s">
        <v>23</v>
      </c>
      <c r="C471" t="s">
        <v>361</v>
      </c>
      <c r="D471" t="s">
        <v>16</v>
      </c>
      <c r="E471" t="s">
        <v>49</v>
      </c>
      <c r="F471" s="3">
        <v>50</v>
      </c>
      <c r="G471">
        <v>42</v>
      </c>
      <c r="H471">
        <v>14.3</v>
      </c>
      <c r="I471">
        <v>20</v>
      </c>
      <c r="J471" t="s">
        <v>19</v>
      </c>
      <c r="K471" t="s">
        <v>106</v>
      </c>
      <c r="L471" t="s">
        <v>35</v>
      </c>
      <c r="M471" s="3">
        <v>48</v>
      </c>
      <c r="N471" s="2">
        <v>5200</v>
      </c>
      <c r="O471" t="str">
        <f t="shared" si="14"/>
        <v>&lt;=100</v>
      </c>
      <c r="P471" t="str">
        <f t="shared" si="15"/>
        <v>&lt;= 10000$</v>
      </c>
    </row>
    <row r="472" spans="1:16" x14ac:dyDescent="0.25">
      <c r="A472">
        <v>307</v>
      </c>
      <c r="B472" t="s">
        <v>23</v>
      </c>
      <c r="C472" t="s">
        <v>361</v>
      </c>
      <c r="D472" t="s">
        <v>16</v>
      </c>
      <c r="E472" t="s">
        <v>49</v>
      </c>
      <c r="F472" s="3">
        <v>50</v>
      </c>
      <c r="G472">
        <v>42</v>
      </c>
      <c r="H472">
        <v>14.3</v>
      </c>
      <c r="I472">
        <v>20</v>
      </c>
      <c r="J472" t="s">
        <v>19</v>
      </c>
      <c r="K472" t="s">
        <v>106</v>
      </c>
      <c r="L472" t="s">
        <v>83</v>
      </c>
      <c r="M472" s="3">
        <v>48</v>
      </c>
      <c r="N472" s="2">
        <v>4500</v>
      </c>
      <c r="O472" t="str">
        <f t="shared" si="14"/>
        <v>&lt;=100</v>
      </c>
      <c r="P472" t="str">
        <f t="shared" si="15"/>
        <v>&lt;=5000$</v>
      </c>
    </row>
    <row r="473" spans="1:16" x14ac:dyDescent="0.25">
      <c r="A473">
        <v>308</v>
      </c>
      <c r="B473" t="s">
        <v>23</v>
      </c>
      <c r="C473" t="s">
        <v>361</v>
      </c>
      <c r="D473" t="s">
        <v>16</v>
      </c>
      <c r="E473" t="s">
        <v>49</v>
      </c>
      <c r="F473" s="3">
        <v>50</v>
      </c>
      <c r="G473">
        <v>42</v>
      </c>
      <c r="H473">
        <v>14.3</v>
      </c>
      <c r="I473">
        <v>20</v>
      </c>
      <c r="J473" t="s">
        <v>19</v>
      </c>
      <c r="K473" t="s">
        <v>106</v>
      </c>
      <c r="L473" t="s">
        <v>35</v>
      </c>
      <c r="M473" s="3">
        <v>48</v>
      </c>
      <c r="N473" s="2">
        <v>4500</v>
      </c>
      <c r="O473" t="str">
        <f t="shared" si="14"/>
        <v>&lt;=100</v>
      </c>
      <c r="P473" t="str">
        <f t="shared" si="15"/>
        <v>&lt;=5000$</v>
      </c>
    </row>
    <row r="474" spans="1:16" x14ac:dyDescent="0.25">
      <c r="A474">
        <v>309</v>
      </c>
      <c r="B474" t="s">
        <v>23</v>
      </c>
      <c r="C474" t="s">
        <v>361</v>
      </c>
      <c r="D474" t="s">
        <v>16</v>
      </c>
      <c r="E474" t="s">
        <v>49</v>
      </c>
      <c r="F474" s="3">
        <v>50</v>
      </c>
      <c r="G474">
        <v>42</v>
      </c>
      <c r="H474">
        <v>14.3</v>
      </c>
      <c r="I474">
        <v>20</v>
      </c>
      <c r="J474" t="s">
        <v>19</v>
      </c>
      <c r="K474" t="s">
        <v>106</v>
      </c>
      <c r="L474" t="s">
        <v>35</v>
      </c>
      <c r="M474" s="3">
        <v>48</v>
      </c>
      <c r="N474" s="2">
        <v>4300</v>
      </c>
      <c r="O474" t="str">
        <f t="shared" si="14"/>
        <v>&lt;=100</v>
      </c>
      <c r="P474" t="str">
        <f t="shared" si="15"/>
        <v>&lt;=5000$</v>
      </c>
    </row>
    <row r="475" spans="1:16" x14ac:dyDescent="0.25">
      <c r="A475">
        <v>319</v>
      </c>
      <c r="B475" t="s">
        <v>86</v>
      </c>
      <c r="C475" t="s">
        <v>368</v>
      </c>
      <c r="D475" t="s">
        <v>26</v>
      </c>
      <c r="E475" t="s">
        <v>49</v>
      </c>
      <c r="F475" s="3">
        <v>300</v>
      </c>
      <c r="G475">
        <v>44</v>
      </c>
      <c r="H475">
        <v>15.6</v>
      </c>
      <c r="I475">
        <v>24</v>
      </c>
      <c r="J475" t="s">
        <v>19</v>
      </c>
      <c r="K475" t="s">
        <v>20</v>
      </c>
      <c r="L475" t="s">
        <v>45</v>
      </c>
      <c r="M475" s="3">
        <v>72</v>
      </c>
      <c r="N475" s="2">
        <v>8500</v>
      </c>
      <c r="O475" t="str">
        <f t="shared" si="14"/>
        <v>200-300</v>
      </c>
      <c r="P475" t="str">
        <f t="shared" si="15"/>
        <v>&lt;= 10000$</v>
      </c>
    </row>
    <row r="476" spans="1:16" x14ac:dyDescent="0.25">
      <c r="A476">
        <v>321</v>
      </c>
      <c r="B476" t="s">
        <v>86</v>
      </c>
      <c r="C476" t="s">
        <v>371</v>
      </c>
      <c r="D476" t="s">
        <v>32</v>
      </c>
      <c r="E476" t="s">
        <v>49</v>
      </c>
      <c r="F476" s="3">
        <v>100</v>
      </c>
      <c r="G476">
        <v>44</v>
      </c>
      <c r="H476">
        <v>13.05</v>
      </c>
      <c r="I476">
        <v>24</v>
      </c>
      <c r="J476" t="s">
        <v>19</v>
      </c>
      <c r="K476" t="s">
        <v>20</v>
      </c>
      <c r="L476" t="s">
        <v>45</v>
      </c>
      <c r="M476" s="3">
        <v>56</v>
      </c>
      <c r="N476" s="2">
        <v>7500</v>
      </c>
      <c r="O476" t="str">
        <f t="shared" si="14"/>
        <v>&lt;=100</v>
      </c>
      <c r="P476" t="str">
        <f t="shared" si="15"/>
        <v>&lt;= 10000$</v>
      </c>
    </row>
    <row r="477" spans="1:16" x14ac:dyDescent="0.25">
      <c r="A477">
        <v>326</v>
      </c>
      <c r="B477" t="s">
        <v>86</v>
      </c>
      <c r="C477" t="s">
        <v>370</v>
      </c>
      <c r="D477" t="s">
        <v>32</v>
      </c>
      <c r="E477" t="s">
        <v>49</v>
      </c>
      <c r="F477" s="3">
        <v>300</v>
      </c>
      <c r="G477">
        <v>44</v>
      </c>
      <c r="H477">
        <v>15.65</v>
      </c>
      <c r="I477">
        <v>24</v>
      </c>
      <c r="J477" t="s">
        <v>19</v>
      </c>
      <c r="K477" t="s">
        <v>20</v>
      </c>
      <c r="L477" t="s">
        <v>45</v>
      </c>
      <c r="M477" s="3">
        <v>56</v>
      </c>
      <c r="N477" s="2">
        <v>7200</v>
      </c>
      <c r="O477" t="str">
        <f t="shared" si="14"/>
        <v>200-300</v>
      </c>
      <c r="P477" t="str">
        <f t="shared" si="15"/>
        <v>&lt;= 10000$</v>
      </c>
    </row>
    <row r="478" spans="1:16" x14ac:dyDescent="0.25">
      <c r="A478">
        <v>328</v>
      </c>
      <c r="B478" t="s">
        <v>86</v>
      </c>
      <c r="C478" t="s">
        <v>368</v>
      </c>
      <c r="D478" t="s">
        <v>32</v>
      </c>
      <c r="E478" t="s">
        <v>49</v>
      </c>
      <c r="F478" s="3">
        <v>100</v>
      </c>
      <c r="G478">
        <v>44</v>
      </c>
      <c r="H478">
        <v>13.05</v>
      </c>
      <c r="I478">
        <v>24</v>
      </c>
      <c r="J478" t="s">
        <v>19</v>
      </c>
      <c r="K478" t="s">
        <v>20</v>
      </c>
      <c r="L478" t="s">
        <v>45</v>
      </c>
      <c r="M478" s="3">
        <v>56</v>
      </c>
      <c r="N478" s="2">
        <v>6900</v>
      </c>
      <c r="O478" t="str">
        <f t="shared" si="14"/>
        <v>&lt;=100</v>
      </c>
      <c r="P478" t="str">
        <f t="shared" si="15"/>
        <v>&lt;= 10000$</v>
      </c>
    </row>
    <row r="479" spans="1:16" x14ac:dyDescent="0.25">
      <c r="A479">
        <v>332</v>
      </c>
      <c r="B479" t="s">
        <v>86</v>
      </c>
      <c r="C479" t="s">
        <v>371</v>
      </c>
      <c r="D479" t="s">
        <v>32</v>
      </c>
      <c r="E479" t="s">
        <v>49</v>
      </c>
      <c r="F479" s="3">
        <v>100</v>
      </c>
      <c r="G479">
        <v>44</v>
      </c>
      <c r="H479">
        <v>13.05</v>
      </c>
      <c r="I479">
        <v>24</v>
      </c>
      <c r="J479" t="s">
        <v>19</v>
      </c>
      <c r="K479" t="s">
        <v>20</v>
      </c>
      <c r="L479" t="s">
        <v>45</v>
      </c>
      <c r="M479" s="3">
        <v>56</v>
      </c>
      <c r="N479" s="2">
        <v>6400</v>
      </c>
      <c r="O479" t="str">
        <f t="shared" si="14"/>
        <v>&lt;=100</v>
      </c>
      <c r="P479" t="str">
        <f t="shared" si="15"/>
        <v>&lt;= 10000$</v>
      </c>
    </row>
    <row r="480" spans="1:16" x14ac:dyDescent="0.25">
      <c r="A480">
        <v>333</v>
      </c>
      <c r="B480" t="s">
        <v>86</v>
      </c>
      <c r="C480" t="s">
        <v>374</v>
      </c>
      <c r="D480" t="s">
        <v>32</v>
      </c>
      <c r="E480" t="s">
        <v>49</v>
      </c>
      <c r="F480" s="3">
        <v>100</v>
      </c>
      <c r="G480">
        <v>44</v>
      </c>
      <c r="H480">
        <v>10.5</v>
      </c>
      <c r="I480">
        <v>24</v>
      </c>
      <c r="J480" t="s">
        <v>19</v>
      </c>
      <c r="K480" t="s">
        <v>20</v>
      </c>
      <c r="L480" t="s">
        <v>45</v>
      </c>
      <c r="M480" s="3">
        <v>56</v>
      </c>
      <c r="N480" s="2">
        <v>5800</v>
      </c>
      <c r="O480" t="str">
        <f t="shared" si="14"/>
        <v>&lt;=100</v>
      </c>
      <c r="P480" t="str">
        <f t="shared" si="15"/>
        <v>&lt;= 10000$</v>
      </c>
    </row>
    <row r="481" spans="1:16" x14ac:dyDescent="0.25">
      <c r="A481">
        <v>334</v>
      </c>
      <c r="B481" t="s">
        <v>86</v>
      </c>
      <c r="C481" t="s">
        <v>369</v>
      </c>
      <c r="D481" t="s">
        <v>32</v>
      </c>
      <c r="E481" t="s">
        <v>49</v>
      </c>
      <c r="F481" s="3">
        <v>300</v>
      </c>
      <c r="G481">
        <v>44</v>
      </c>
      <c r="H481">
        <v>13.05</v>
      </c>
      <c r="I481">
        <v>24</v>
      </c>
      <c r="J481" t="s">
        <v>19</v>
      </c>
      <c r="K481" t="s">
        <v>20</v>
      </c>
      <c r="L481" t="s">
        <v>45</v>
      </c>
      <c r="M481" s="3">
        <v>56</v>
      </c>
      <c r="N481" s="2">
        <v>5700</v>
      </c>
      <c r="O481" t="str">
        <f t="shared" si="14"/>
        <v>200-300</v>
      </c>
      <c r="P481" t="str">
        <f t="shared" si="15"/>
        <v>&lt;= 10000$</v>
      </c>
    </row>
    <row r="482" spans="1:16" x14ac:dyDescent="0.25">
      <c r="A482">
        <v>335</v>
      </c>
      <c r="B482" t="s">
        <v>86</v>
      </c>
      <c r="C482" t="s">
        <v>370</v>
      </c>
      <c r="D482" t="s">
        <v>32</v>
      </c>
      <c r="E482" t="s">
        <v>49</v>
      </c>
      <c r="F482" s="3">
        <v>300</v>
      </c>
      <c r="G482">
        <v>44</v>
      </c>
      <c r="H482">
        <v>13.05</v>
      </c>
      <c r="I482">
        <v>24</v>
      </c>
      <c r="J482" t="s">
        <v>19</v>
      </c>
      <c r="K482" t="s">
        <v>20</v>
      </c>
      <c r="L482" t="s">
        <v>45</v>
      </c>
      <c r="M482" s="3">
        <v>56</v>
      </c>
      <c r="N482" s="2">
        <v>5200</v>
      </c>
      <c r="O482" t="str">
        <f t="shared" si="14"/>
        <v>200-300</v>
      </c>
      <c r="P482" t="str">
        <f t="shared" si="15"/>
        <v>&lt;= 10000$</v>
      </c>
    </row>
    <row r="483" spans="1:16" x14ac:dyDescent="0.25">
      <c r="A483">
        <v>336</v>
      </c>
      <c r="B483" t="s">
        <v>86</v>
      </c>
      <c r="C483" t="s">
        <v>375</v>
      </c>
      <c r="D483" t="s">
        <v>32</v>
      </c>
      <c r="E483" t="s">
        <v>49</v>
      </c>
      <c r="F483" s="3">
        <v>100</v>
      </c>
      <c r="G483">
        <v>44</v>
      </c>
      <c r="H483">
        <v>10.5</v>
      </c>
      <c r="I483">
        <v>22</v>
      </c>
      <c r="J483" t="s">
        <v>19</v>
      </c>
      <c r="K483" t="s">
        <v>20</v>
      </c>
      <c r="L483" t="s">
        <v>45</v>
      </c>
      <c r="M483" s="3">
        <v>56</v>
      </c>
      <c r="N483" s="2">
        <v>3900</v>
      </c>
      <c r="O483" t="str">
        <f t="shared" si="14"/>
        <v>&lt;=100</v>
      </c>
      <c r="P483" t="str">
        <f t="shared" si="15"/>
        <v>&lt;=5000$</v>
      </c>
    </row>
    <row r="484" spans="1:16" x14ac:dyDescent="0.25">
      <c r="A484">
        <v>364</v>
      </c>
      <c r="B484" t="s">
        <v>135</v>
      </c>
      <c r="C484" t="s">
        <v>380</v>
      </c>
      <c r="D484" t="s">
        <v>32</v>
      </c>
      <c r="E484" t="s">
        <v>49</v>
      </c>
      <c r="F484" s="3">
        <v>30</v>
      </c>
      <c r="G484">
        <v>37</v>
      </c>
      <c r="H484">
        <v>7.7</v>
      </c>
      <c r="I484">
        <v>20</v>
      </c>
      <c r="J484" t="s">
        <v>34</v>
      </c>
      <c r="K484" t="s">
        <v>20</v>
      </c>
      <c r="L484" t="s">
        <v>45</v>
      </c>
      <c r="M484" s="3">
        <v>44</v>
      </c>
      <c r="N484" s="2">
        <v>25000</v>
      </c>
      <c r="O484" t="str">
        <f t="shared" si="14"/>
        <v>&lt;=100</v>
      </c>
      <c r="P484" t="str">
        <f t="shared" si="15"/>
        <v>&lt;= 40000$</v>
      </c>
    </row>
    <row r="485" spans="1:16" x14ac:dyDescent="0.25">
      <c r="A485">
        <v>365</v>
      </c>
      <c r="B485" t="s">
        <v>135</v>
      </c>
      <c r="C485" t="s">
        <v>381</v>
      </c>
      <c r="D485" t="s">
        <v>32</v>
      </c>
      <c r="E485" t="s">
        <v>49</v>
      </c>
      <c r="F485" s="3">
        <v>30</v>
      </c>
      <c r="G485">
        <v>38</v>
      </c>
      <c r="H485">
        <v>8.25</v>
      </c>
      <c r="I485">
        <v>20</v>
      </c>
      <c r="J485" t="s">
        <v>34</v>
      </c>
      <c r="K485" t="s">
        <v>20</v>
      </c>
      <c r="L485" t="s">
        <v>45</v>
      </c>
      <c r="M485" s="3">
        <v>44</v>
      </c>
      <c r="N485" s="2">
        <v>25000</v>
      </c>
      <c r="O485" t="str">
        <f t="shared" si="14"/>
        <v>&lt;=100</v>
      </c>
      <c r="P485" t="str">
        <f t="shared" si="15"/>
        <v>&lt;= 40000$</v>
      </c>
    </row>
    <row r="486" spans="1:16" x14ac:dyDescent="0.25">
      <c r="A486">
        <v>367</v>
      </c>
      <c r="B486" t="s">
        <v>135</v>
      </c>
      <c r="C486" t="s">
        <v>382</v>
      </c>
      <c r="D486" t="s">
        <v>32</v>
      </c>
      <c r="E486" t="s">
        <v>49</v>
      </c>
      <c r="F486" s="3">
        <v>30</v>
      </c>
      <c r="G486">
        <v>38</v>
      </c>
      <c r="H486">
        <v>7.68</v>
      </c>
      <c r="I486">
        <v>19</v>
      </c>
      <c r="J486" t="s">
        <v>34</v>
      </c>
      <c r="K486" t="s">
        <v>20</v>
      </c>
      <c r="L486" t="s">
        <v>45</v>
      </c>
      <c r="M486" s="3">
        <v>44</v>
      </c>
      <c r="N486" s="2">
        <v>22900</v>
      </c>
      <c r="O486" t="str">
        <f t="shared" si="14"/>
        <v>&lt;=100</v>
      </c>
      <c r="P486" t="str">
        <f t="shared" si="15"/>
        <v>&lt;= 40000$</v>
      </c>
    </row>
    <row r="487" spans="1:16" x14ac:dyDescent="0.25">
      <c r="A487">
        <v>369</v>
      </c>
      <c r="B487" t="s">
        <v>135</v>
      </c>
      <c r="C487" t="s">
        <v>384</v>
      </c>
      <c r="D487" t="s">
        <v>32</v>
      </c>
      <c r="E487" t="s">
        <v>49</v>
      </c>
      <c r="F487" s="3">
        <v>30</v>
      </c>
      <c r="G487">
        <v>36</v>
      </c>
      <c r="H487">
        <v>7.45</v>
      </c>
      <c r="I487">
        <v>18</v>
      </c>
      <c r="J487" t="s">
        <v>34</v>
      </c>
      <c r="K487" t="s">
        <v>20</v>
      </c>
      <c r="L487" t="s">
        <v>45</v>
      </c>
      <c r="M487" s="3">
        <v>44</v>
      </c>
      <c r="N487" s="2">
        <v>18000</v>
      </c>
      <c r="O487" t="str">
        <f t="shared" si="14"/>
        <v>&lt;=100</v>
      </c>
      <c r="P487" t="str">
        <f t="shared" si="15"/>
        <v>&lt;= 20000$</v>
      </c>
    </row>
    <row r="488" spans="1:16" x14ac:dyDescent="0.25">
      <c r="A488">
        <v>370</v>
      </c>
      <c r="B488" t="s">
        <v>116</v>
      </c>
      <c r="C488" t="s">
        <v>385</v>
      </c>
      <c r="D488" t="s">
        <v>32</v>
      </c>
      <c r="E488" t="s">
        <v>49</v>
      </c>
      <c r="F488" s="3">
        <v>30</v>
      </c>
      <c r="G488">
        <v>40</v>
      </c>
      <c r="H488">
        <v>6.36</v>
      </c>
      <c r="I488">
        <v>20</v>
      </c>
      <c r="J488" t="s">
        <v>44</v>
      </c>
      <c r="K488" t="s">
        <v>20</v>
      </c>
      <c r="L488" t="s">
        <v>45</v>
      </c>
      <c r="M488" s="3">
        <v>44</v>
      </c>
      <c r="N488" s="2">
        <v>22000</v>
      </c>
      <c r="O488" t="str">
        <f t="shared" si="14"/>
        <v>&lt;=100</v>
      </c>
      <c r="P488" t="str">
        <f t="shared" si="15"/>
        <v>&lt;= 40000$</v>
      </c>
    </row>
    <row r="489" spans="1:16" x14ac:dyDescent="0.25">
      <c r="A489">
        <v>371</v>
      </c>
      <c r="B489" t="s">
        <v>116</v>
      </c>
      <c r="C489" t="s">
        <v>386</v>
      </c>
      <c r="D489" t="s">
        <v>32</v>
      </c>
      <c r="E489" t="s">
        <v>49</v>
      </c>
      <c r="F489" s="3">
        <v>30</v>
      </c>
      <c r="G489">
        <v>38</v>
      </c>
      <c r="H489">
        <v>6</v>
      </c>
      <c r="I489">
        <v>20</v>
      </c>
      <c r="J489" t="s">
        <v>34</v>
      </c>
      <c r="K489" t="s">
        <v>20</v>
      </c>
      <c r="L489" t="s">
        <v>45</v>
      </c>
      <c r="M489" s="3">
        <v>43</v>
      </c>
      <c r="N489" s="2">
        <v>20800</v>
      </c>
      <c r="O489" t="str">
        <f t="shared" si="14"/>
        <v>&lt;=100</v>
      </c>
      <c r="P489" t="str">
        <f t="shared" si="15"/>
        <v>&lt;= 40000$</v>
      </c>
    </row>
    <row r="490" spans="1:16" x14ac:dyDescent="0.25">
      <c r="A490">
        <v>372</v>
      </c>
      <c r="B490" t="s">
        <v>116</v>
      </c>
      <c r="C490" t="s">
        <v>387</v>
      </c>
      <c r="D490" t="s">
        <v>32</v>
      </c>
      <c r="E490" t="s">
        <v>49</v>
      </c>
      <c r="F490" s="3">
        <v>30</v>
      </c>
      <c r="G490">
        <v>40</v>
      </c>
      <c r="H490">
        <v>6.36</v>
      </c>
      <c r="I490">
        <v>20</v>
      </c>
      <c r="J490" t="s">
        <v>44</v>
      </c>
      <c r="K490" t="s">
        <v>20</v>
      </c>
      <c r="L490" t="s">
        <v>45</v>
      </c>
      <c r="M490" s="3">
        <v>43</v>
      </c>
      <c r="N490" s="2">
        <v>18500</v>
      </c>
      <c r="O490" t="str">
        <f t="shared" si="14"/>
        <v>&lt;=100</v>
      </c>
      <c r="P490" t="str">
        <f t="shared" si="15"/>
        <v>&lt;= 20000$</v>
      </c>
    </row>
    <row r="491" spans="1:16" x14ac:dyDescent="0.25">
      <c r="A491">
        <v>373</v>
      </c>
      <c r="B491" t="s">
        <v>116</v>
      </c>
      <c r="C491" t="s">
        <v>388</v>
      </c>
      <c r="D491" t="s">
        <v>32</v>
      </c>
      <c r="E491" t="s">
        <v>49</v>
      </c>
      <c r="F491" s="3">
        <v>30</v>
      </c>
      <c r="G491">
        <v>38</v>
      </c>
      <c r="H491">
        <v>6.1</v>
      </c>
      <c r="I491">
        <v>20</v>
      </c>
      <c r="J491" t="s">
        <v>44</v>
      </c>
      <c r="K491" t="s">
        <v>20</v>
      </c>
      <c r="L491" t="s">
        <v>45</v>
      </c>
      <c r="M491" s="3">
        <v>43</v>
      </c>
      <c r="N491" s="2">
        <v>16500</v>
      </c>
      <c r="O491" t="str">
        <f t="shared" si="14"/>
        <v>&lt;=100</v>
      </c>
      <c r="P491" t="str">
        <f t="shared" si="15"/>
        <v>&lt;= 20000$</v>
      </c>
    </row>
    <row r="492" spans="1:16" x14ac:dyDescent="0.25">
      <c r="A492">
        <v>451</v>
      </c>
      <c r="B492" t="s">
        <v>79</v>
      </c>
      <c r="C492" t="s">
        <v>419</v>
      </c>
      <c r="D492" t="s">
        <v>32</v>
      </c>
      <c r="E492" t="s">
        <v>49</v>
      </c>
      <c r="F492" s="3">
        <v>30</v>
      </c>
      <c r="G492">
        <v>40</v>
      </c>
      <c r="H492">
        <v>6.79</v>
      </c>
      <c r="I492">
        <v>20</v>
      </c>
      <c r="J492" t="s">
        <v>44</v>
      </c>
      <c r="K492" t="s">
        <v>20</v>
      </c>
      <c r="L492" t="s">
        <v>45</v>
      </c>
      <c r="M492" s="3">
        <v>65</v>
      </c>
      <c r="N492" s="2">
        <v>28000</v>
      </c>
      <c r="O492" t="str">
        <f t="shared" si="14"/>
        <v>&lt;=100</v>
      </c>
      <c r="P492" t="str">
        <f t="shared" si="15"/>
        <v>&lt;= 40000$</v>
      </c>
    </row>
    <row r="493" spans="1:16" x14ac:dyDescent="0.25">
      <c r="A493">
        <v>453</v>
      </c>
      <c r="B493" t="s">
        <v>79</v>
      </c>
      <c r="C493" t="s">
        <v>421</v>
      </c>
      <c r="D493" t="s">
        <v>32</v>
      </c>
      <c r="E493" t="s">
        <v>49</v>
      </c>
      <c r="F493" s="3">
        <v>30</v>
      </c>
      <c r="G493">
        <v>42</v>
      </c>
      <c r="H493">
        <v>7.65</v>
      </c>
      <c r="I493">
        <v>20</v>
      </c>
      <c r="J493" t="s">
        <v>44</v>
      </c>
      <c r="K493" t="s">
        <v>20</v>
      </c>
      <c r="L493" t="s">
        <v>45</v>
      </c>
      <c r="M493" s="3">
        <v>65</v>
      </c>
      <c r="N493" s="2">
        <v>22500</v>
      </c>
      <c r="O493" t="str">
        <f t="shared" si="14"/>
        <v>&lt;=100</v>
      </c>
      <c r="P493" t="str">
        <f t="shared" si="15"/>
        <v>&lt;= 40000$</v>
      </c>
    </row>
    <row r="494" spans="1:16" x14ac:dyDescent="0.25">
      <c r="A494">
        <v>468</v>
      </c>
      <c r="B494" t="s">
        <v>79</v>
      </c>
      <c r="C494" t="s">
        <v>424</v>
      </c>
      <c r="D494" t="s">
        <v>32</v>
      </c>
      <c r="E494" t="s">
        <v>49</v>
      </c>
      <c r="F494" s="3">
        <v>30</v>
      </c>
      <c r="G494">
        <v>40</v>
      </c>
      <c r="H494">
        <v>6.79</v>
      </c>
      <c r="I494">
        <v>20</v>
      </c>
      <c r="J494" t="s">
        <v>44</v>
      </c>
      <c r="K494" t="s">
        <v>20</v>
      </c>
      <c r="L494" t="s">
        <v>45</v>
      </c>
      <c r="M494" s="3">
        <v>65</v>
      </c>
      <c r="N494" s="2">
        <v>18500</v>
      </c>
      <c r="O494" t="str">
        <f t="shared" si="14"/>
        <v>&lt;=100</v>
      </c>
      <c r="P494" t="str">
        <f t="shared" si="15"/>
        <v>&lt;= 20000$</v>
      </c>
    </row>
    <row r="495" spans="1:16" x14ac:dyDescent="0.25">
      <c r="A495">
        <v>121</v>
      </c>
      <c r="B495" t="s">
        <v>157</v>
      </c>
      <c r="C495" t="s">
        <v>292</v>
      </c>
      <c r="D495" t="s">
        <v>16</v>
      </c>
      <c r="E495" t="s">
        <v>43</v>
      </c>
      <c r="F495" s="3">
        <v>300</v>
      </c>
      <c r="G495">
        <v>46.5</v>
      </c>
      <c r="H495">
        <v>17.5</v>
      </c>
      <c r="I495">
        <v>24</v>
      </c>
      <c r="J495" t="s">
        <v>19</v>
      </c>
      <c r="K495" t="s">
        <v>55</v>
      </c>
      <c r="L495" t="s">
        <v>35</v>
      </c>
      <c r="M495" s="3" t="s">
        <v>46</v>
      </c>
      <c r="N495" s="2">
        <v>650</v>
      </c>
      <c r="O495" t="str">
        <f t="shared" si="14"/>
        <v>200-300</v>
      </c>
      <c r="P495" t="str">
        <f t="shared" si="15"/>
        <v>&lt;= 1000$</v>
      </c>
    </row>
    <row r="496" spans="1:16" x14ac:dyDescent="0.25">
      <c r="A496">
        <v>134</v>
      </c>
      <c r="B496" t="s">
        <v>41</v>
      </c>
      <c r="C496" t="s">
        <v>300</v>
      </c>
      <c r="D496" t="s">
        <v>32</v>
      </c>
      <c r="E496" t="s">
        <v>43</v>
      </c>
      <c r="F496" s="3">
        <v>30</v>
      </c>
      <c r="G496">
        <v>43.5</v>
      </c>
      <c r="H496">
        <v>7.3</v>
      </c>
      <c r="I496">
        <v>23</v>
      </c>
      <c r="J496" t="s">
        <v>44</v>
      </c>
      <c r="K496" t="s">
        <v>20</v>
      </c>
      <c r="L496" t="s">
        <v>45</v>
      </c>
      <c r="M496" s="3" t="s">
        <v>46</v>
      </c>
      <c r="N496" s="2">
        <v>5300</v>
      </c>
      <c r="O496" t="str">
        <f t="shared" si="14"/>
        <v>&lt;=100</v>
      </c>
      <c r="P496" t="str">
        <f t="shared" si="15"/>
        <v>&lt;= 10000$</v>
      </c>
    </row>
    <row r="497" spans="1:16" x14ac:dyDescent="0.25">
      <c r="A497">
        <v>138</v>
      </c>
      <c r="B497" t="s">
        <v>41</v>
      </c>
      <c r="C497" t="s">
        <v>303</v>
      </c>
      <c r="D497" t="s">
        <v>32</v>
      </c>
      <c r="E497" t="s">
        <v>43</v>
      </c>
      <c r="F497" s="3">
        <v>30</v>
      </c>
      <c r="G497">
        <v>38</v>
      </c>
      <c r="H497">
        <v>7.5</v>
      </c>
      <c r="I497">
        <v>18</v>
      </c>
      <c r="J497" t="s">
        <v>44</v>
      </c>
      <c r="K497" t="s">
        <v>20</v>
      </c>
      <c r="L497" t="s">
        <v>45</v>
      </c>
      <c r="M497" s="3" t="s">
        <v>46</v>
      </c>
      <c r="N497" s="2">
        <v>3500</v>
      </c>
      <c r="O497" t="str">
        <f t="shared" si="14"/>
        <v>&lt;=100</v>
      </c>
      <c r="P497" t="str">
        <f t="shared" si="15"/>
        <v>&lt;=5000$</v>
      </c>
    </row>
    <row r="498" spans="1:16" x14ac:dyDescent="0.25">
      <c r="A498">
        <v>139</v>
      </c>
      <c r="B498" t="s">
        <v>41</v>
      </c>
      <c r="C498" t="s">
        <v>304</v>
      </c>
      <c r="D498" t="s">
        <v>32</v>
      </c>
      <c r="E498" t="s">
        <v>43</v>
      </c>
      <c r="F498" s="3">
        <v>30</v>
      </c>
      <c r="G498">
        <v>31</v>
      </c>
      <c r="H498">
        <v>6.05</v>
      </c>
      <c r="I498">
        <v>20</v>
      </c>
      <c r="J498" t="s">
        <v>44</v>
      </c>
      <c r="K498" t="s">
        <v>20</v>
      </c>
      <c r="L498" t="s">
        <v>45</v>
      </c>
      <c r="M498" s="3" t="s">
        <v>46</v>
      </c>
      <c r="N498" s="2">
        <v>2800</v>
      </c>
      <c r="O498" t="str">
        <f t="shared" si="14"/>
        <v>&lt;=100</v>
      </c>
      <c r="P498" t="str">
        <f t="shared" si="15"/>
        <v>&lt;=5000$</v>
      </c>
    </row>
    <row r="499" spans="1:16" x14ac:dyDescent="0.25">
      <c r="A499">
        <v>140</v>
      </c>
      <c r="B499" t="s">
        <v>41</v>
      </c>
      <c r="C499" t="s">
        <v>304</v>
      </c>
      <c r="D499" t="s">
        <v>32</v>
      </c>
      <c r="E499" t="s">
        <v>43</v>
      </c>
      <c r="F499" s="3">
        <v>30</v>
      </c>
      <c r="G499">
        <v>31</v>
      </c>
      <c r="H499">
        <v>6.05</v>
      </c>
      <c r="I499">
        <v>20</v>
      </c>
      <c r="J499" t="s">
        <v>44</v>
      </c>
      <c r="K499" t="s">
        <v>20</v>
      </c>
      <c r="L499" t="s">
        <v>45</v>
      </c>
      <c r="M499" s="3" t="s">
        <v>46</v>
      </c>
      <c r="N499" s="2">
        <v>2800</v>
      </c>
      <c r="O499" t="str">
        <f t="shared" si="14"/>
        <v>&lt;=100</v>
      </c>
      <c r="P499" t="str">
        <f t="shared" si="15"/>
        <v>&lt;=5000$</v>
      </c>
    </row>
    <row r="500" spans="1:16" x14ac:dyDescent="0.25">
      <c r="A500">
        <v>151</v>
      </c>
      <c r="B500" t="s">
        <v>126</v>
      </c>
      <c r="C500" t="s">
        <v>307</v>
      </c>
      <c r="D500" t="s">
        <v>16</v>
      </c>
      <c r="E500" t="s">
        <v>43</v>
      </c>
      <c r="F500" s="3">
        <v>30</v>
      </c>
      <c r="G500">
        <v>30</v>
      </c>
      <c r="H500">
        <v>7.2</v>
      </c>
      <c r="I500">
        <v>15</v>
      </c>
      <c r="J500" t="s">
        <v>44</v>
      </c>
      <c r="K500" t="s">
        <v>20</v>
      </c>
      <c r="L500" t="s">
        <v>21</v>
      </c>
      <c r="M500" s="3" t="s">
        <v>46</v>
      </c>
      <c r="N500" s="2">
        <v>5800</v>
      </c>
      <c r="O500" t="str">
        <f t="shared" si="14"/>
        <v>&lt;=100</v>
      </c>
      <c r="P500" t="str">
        <f t="shared" si="15"/>
        <v>&lt;= 10000$</v>
      </c>
    </row>
    <row r="501" spans="1:16" x14ac:dyDescent="0.25">
      <c r="A501">
        <v>154</v>
      </c>
      <c r="B501" t="s">
        <v>126</v>
      </c>
      <c r="C501" t="s">
        <v>307</v>
      </c>
      <c r="D501" t="s">
        <v>32</v>
      </c>
      <c r="E501" t="s">
        <v>43</v>
      </c>
      <c r="F501" s="3">
        <v>30</v>
      </c>
      <c r="G501">
        <v>30</v>
      </c>
      <c r="H501">
        <v>10.5</v>
      </c>
      <c r="I501">
        <v>17</v>
      </c>
      <c r="J501" t="s">
        <v>34</v>
      </c>
      <c r="K501" t="s">
        <v>20</v>
      </c>
      <c r="L501" t="s">
        <v>45</v>
      </c>
      <c r="M501" s="3" t="s">
        <v>46</v>
      </c>
      <c r="N501" s="2">
        <v>5000</v>
      </c>
      <c r="O501" t="str">
        <f t="shared" si="14"/>
        <v>&lt;=100</v>
      </c>
      <c r="P501" t="str">
        <f t="shared" si="15"/>
        <v>&lt;=5000$</v>
      </c>
    </row>
    <row r="502" spans="1:16" x14ac:dyDescent="0.25">
      <c r="A502">
        <v>274</v>
      </c>
      <c r="B502" t="s">
        <v>62</v>
      </c>
      <c r="C502" t="s">
        <v>351</v>
      </c>
      <c r="D502" t="s">
        <v>16</v>
      </c>
      <c r="E502" t="s">
        <v>43</v>
      </c>
      <c r="F502" s="3">
        <v>50</v>
      </c>
      <c r="G502">
        <v>41</v>
      </c>
      <c r="H502">
        <v>12.1</v>
      </c>
      <c r="I502">
        <v>20</v>
      </c>
      <c r="J502" t="s">
        <v>19</v>
      </c>
      <c r="K502" t="s">
        <v>20</v>
      </c>
      <c r="L502" t="s">
        <v>141</v>
      </c>
      <c r="M502" s="3" t="s">
        <v>46</v>
      </c>
      <c r="N502" s="2">
        <v>1500</v>
      </c>
      <c r="O502" t="str">
        <f t="shared" si="14"/>
        <v>&lt;=100</v>
      </c>
      <c r="P502" t="str">
        <f t="shared" si="15"/>
        <v xml:space="preserve"> &lt;=2000$</v>
      </c>
    </row>
    <row r="503" spans="1:16" x14ac:dyDescent="0.25">
      <c r="A503">
        <v>376</v>
      </c>
      <c r="B503" t="s">
        <v>193</v>
      </c>
      <c r="C503" t="s">
        <v>391</v>
      </c>
      <c r="D503" t="s">
        <v>32</v>
      </c>
      <c r="E503" t="s">
        <v>43</v>
      </c>
      <c r="F503" s="3">
        <v>30</v>
      </c>
      <c r="G503">
        <v>39</v>
      </c>
      <c r="H503">
        <v>5</v>
      </c>
      <c r="I503">
        <v>22</v>
      </c>
      <c r="J503" t="s">
        <v>19</v>
      </c>
      <c r="K503" t="s">
        <v>20</v>
      </c>
      <c r="L503" t="s">
        <v>45</v>
      </c>
      <c r="M503" s="3" t="s">
        <v>46</v>
      </c>
      <c r="N503" s="2">
        <v>1600</v>
      </c>
      <c r="O503" t="str">
        <f t="shared" si="14"/>
        <v>&lt;=100</v>
      </c>
      <c r="P503" t="str">
        <f t="shared" si="15"/>
        <v xml:space="preserve"> &lt;=2000$</v>
      </c>
    </row>
    <row r="504" spans="1:16" x14ac:dyDescent="0.25">
      <c r="A504">
        <v>422</v>
      </c>
      <c r="B504" t="s">
        <v>30</v>
      </c>
      <c r="C504" t="s">
        <v>407</v>
      </c>
      <c r="D504" t="s">
        <v>16</v>
      </c>
      <c r="E504" t="s">
        <v>43</v>
      </c>
      <c r="F504" s="3">
        <v>300</v>
      </c>
      <c r="G504">
        <v>43</v>
      </c>
      <c r="H504">
        <v>10.8</v>
      </c>
      <c r="I504">
        <v>21</v>
      </c>
      <c r="J504" t="s">
        <v>28</v>
      </c>
      <c r="K504" t="s">
        <v>20</v>
      </c>
      <c r="L504" t="s">
        <v>21</v>
      </c>
      <c r="M504" s="3" t="s">
        <v>46</v>
      </c>
      <c r="N504" s="2">
        <v>2600</v>
      </c>
      <c r="O504" t="str">
        <f t="shared" si="14"/>
        <v>200-300</v>
      </c>
      <c r="P504" t="str">
        <f t="shared" si="15"/>
        <v>&lt;=5000$</v>
      </c>
    </row>
    <row r="505" spans="1:16" x14ac:dyDescent="0.25">
      <c r="A505">
        <v>423</v>
      </c>
      <c r="B505" t="s">
        <v>30</v>
      </c>
      <c r="C505" t="s">
        <v>407</v>
      </c>
      <c r="D505" t="s">
        <v>16</v>
      </c>
      <c r="E505" t="s">
        <v>43</v>
      </c>
      <c r="F505" s="3">
        <v>300</v>
      </c>
      <c r="G505">
        <v>43</v>
      </c>
      <c r="H505">
        <v>10.8</v>
      </c>
      <c r="I505">
        <v>20</v>
      </c>
      <c r="J505" t="s">
        <v>28</v>
      </c>
      <c r="K505" t="s">
        <v>20</v>
      </c>
      <c r="L505" t="s">
        <v>45</v>
      </c>
      <c r="M505" s="3" t="s">
        <v>46</v>
      </c>
      <c r="N505" s="2">
        <v>1800</v>
      </c>
      <c r="O505" t="str">
        <f t="shared" si="14"/>
        <v>200-300</v>
      </c>
      <c r="P505" t="str">
        <f t="shared" si="15"/>
        <v xml:space="preserve"> &lt;=2000$</v>
      </c>
    </row>
    <row r="506" spans="1:16" x14ac:dyDescent="0.25">
      <c r="A506">
        <v>424</v>
      </c>
      <c r="B506" t="s">
        <v>30</v>
      </c>
      <c r="C506" t="s">
        <v>409</v>
      </c>
      <c r="D506" t="s">
        <v>16</v>
      </c>
      <c r="E506" t="s">
        <v>43</v>
      </c>
      <c r="F506" s="3">
        <v>300</v>
      </c>
      <c r="G506">
        <v>32</v>
      </c>
      <c r="H506">
        <v>9.5</v>
      </c>
      <c r="I506">
        <v>15</v>
      </c>
      <c r="J506" t="s">
        <v>28</v>
      </c>
      <c r="K506" t="s">
        <v>20</v>
      </c>
      <c r="L506" t="s">
        <v>45</v>
      </c>
      <c r="M506" s="3" t="s">
        <v>46</v>
      </c>
      <c r="N506" s="2">
        <v>1700</v>
      </c>
      <c r="O506" t="str">
        <f t="shared" si="14"/>
        <v>200-300</v>
      </c>
      <c r="P506" t="str">
        <f t="shared" si="15"/>
        <v xml:space="preserve"> &lt;=2000$</v>
      </c>
    </row>
  </sheetData>
  <autoFilter ref="A1:P506" xr:uid="{DA9A5824-BB96-4BFB-BBCC-CC604C11B29C}">
    <sortState xmlns:xlrd2="http://schemas.microsoft.com/office/spreadsheetml/2017/richdata2" ref="A2:P506">
      <sortCondition ref="E1:E506"/>
    </sortState>
  </autoFilter>
  <conditionalFormatting sqref="C1:C1048576">
    <cfRule type="expression" dxfId="1" priority="1">
      <formula>$M1="N/A"</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810A-B7E8-40A7-8981-E9530785C1F3}">
  <sheetPr codeName="Sheet7">
    <tabColor rgb="FF00B0F0"/>
  </sheetPr>
  <dimension ref="A3:C73"/>
  <sheetViews>
    <sheetView topLeftCell="A34" workbookViewId="0">
      <selection activeCell="C76" sqref="C76"/>
    </sheetView>
  </sheetViews>
  <sheetFormatPr defaultRowHeight="15" x14ac:dyDescent="0.25"/>
  <cols>
    <col min="1" max="1" width="17.28515625" bestFit="1" customWidth="1"/>
    <col min="2" max="2" width="24.7109375" bestFit="1" customWidth="1"/>
    <col min="3" max="3" width="26.85546875" bestFit="1" customWidth="1"/>
    <col min="4" max="4" width="12" bestFit="1" customWidth="1"/>
    <col min="5" max="5" width="7" bestFit="1" customWidth="1"/>
    <col min="6" max="6" width="8.42578125" bestFit="1" customWidth="1"/>
    <col min="7" max="7" width="12" bestFit="1" customWidth="1"/>
    <col min="8" max="8" width="16.140625" bestFit="1" customWidth="1"/>
    <col min="9" max="9" width="8.85546875" bestFit="1" customWidth="1"/>
    <col min="10" max="10" width="10.5703125" bestFit="1" customWidth="1"/>
    <col min="11" max="11" width="7.28515625" bestFit="1" customWidth="1"/>
    <col min="12" max="12" width="7.7109375" bestFit="1" customWidth="1"/>
    <col min="13" max="13" width="4.85546875" bestFit="1" customWidth="1"/>
    <col min="14" max="14" width="12" bestFit="1" customWidth="1"/>
    <col min="15" max="15" width="6.140625" bestFit="1" customWidth="1"/>
    <col min="16" max="16" width="6.7109375" bestFit="1" customWidth="1"/>
  </cols>
  <sheetData>
    <row r="3" spans="1:2" x14ac:dyDescent="0.25">
      <c r="A3" s="38" t="s">
        <v>507</v>
      </c>
      <c r="B3" t="s">
        <v>473</v>
      </c>
    </row>
    <row r="4" spans="1:2" x14ac:dyDescent="0.25">
      <c r="A4" s="18" t="s">
        <v>56</v>
      </c>
      <c r="B4" s="28">
        <v>650</v>
      </c>
    </row>
    <row r="5" spans="1:2" x14ac:dyDescent="0.25">
      <c r="A5" s="18" t="s">
        <v>157</v>
      </c>
      <c r="B5" s="28">
        <v>650</v>
      </c>
    </row>
    <row r="6" spans="1:2" x14ac:dyDescent="0.25">
      <c r="A6" s="18" t="s">
        <v>59</v>
      </c>
      <c r="B6" s="28">
        <v>696.25</v>
      </c>
    </row>
    <row r="7" spans="1:2" x14ac:dyDescent="0.25">
      <c r="A7" s="18" t="s">
        <v>51</v>
      </c>
      <c r="B7" s="28">
        <v>1150</v>
      </c>
    </row>
    <row r="8" spans="1:2" x14ac:dyDescent="0.25">
      <c r="A8" s="18" t="s">
        <v>196</v>
      </c>
      <c r="B8" s="28">
        <v>1300</v>
      </c>
    </row>
    <row r="9" spans="1:2" x14ac:dyDescent="0.25">
      <c r="A9" s="18" t="s">
        <v>193</v>
      </c>
      <c r="B9" s="28">
        <v>1600</v>
      </c>
    </row>
    <row r="10" spans="1:2" x14ac:dyDescent="0.25">
      <c r="A10" s="18" t="s">
        <v>65</v>
      </c>
      <c r="B10" s="28">
        <v>1650</v>
      </c>
    </row>
    <row r="11" spans="1:2" x14ac:dyDescent="0.25">
      <c r="A11" s="18" t="s">
        <v>62</v>
      </c>
      <c r="B11" s="28">
        <v>1730</v>
      </c>
    </row>
    <row r="12" spans="1:2" x14ac:dyDescent="0.25">
      <c r="A12" s="18" t="s">
        <v>71</v>
      </c>
      <c r="B12" s="28">
        <v>2416.6666666666665</v>
      </c>
    </row>
    <row r="13" spans="1:2" x14ac:dyDescent="0.25">
      <c r="A13" s="18" t="s">
        <v>233</v>
      </c>
      <c r="B13" s="28">
        <v>2750</v>
      </c>
    </row>
    <row r="14" spans="1:2" x14ac:dyDescent="0.25">
      <c r="A14" s="18" t="s">
        <v>69</v>
      </c>
      <c r="B14" s="28">
        <v>3299.75</v>
      </c>
    </row>
    <row r="15" spans="1:2" x14ac:dyDescent="0.25">
      <c r="A15" s="18" t="s">
        <v>220</v>
      </c>
      <c r="B15" s="28">
        <v>3800</v>
      </c>
    </row>
    <row r="16" spans="1:2" x14ac:dyDescent="0.25">
      <c r="A16" s="18" t="s">
        <v>89</v>
      </c>
      <c r="B16" s="28">
        <v>3842.8571428571427</v>
      </c>
    </row>
    <row r="17" spans="1:2" x14ac:dyDescent="0.25">
      <c r="A17" s="18" t="s">
        <v>99</v>
      </c>
      <c r="B17" s="28">
        <v>4216.666666666667</v>
      </c>
    </row>
    <row r="18" spans="1:2" x14ac:dyDescent="0.25">
      <c r="A18" s="18" t="s">
        <v>37</v>
      </c>
      <c r="B18" s="28">
        <v>4693.75</v>
      </c>
    </row>
    <row r="19" spans="1:2" x14ac:dyDescent="0.25">
      <c r="A19" s="18" t="s">
        <v>23</v>
      </c>
      <c r="B19" s="28">
        <v>5321.739130434783</v>
      </c>
    </row>
    <row r="20" spans="1:2" x14ac:dyDescent="0.25">
      <c r="A20" s="18" t="s">
        <v>126</v>
      </c>
      <c r="B20" s="28">
        <v>6028.5714285714284</v>
      </c>
    </row>
    <row r="21" spans="1:2" x14ac:dyDescent="0.25">
      <c r="A21" s="18" t="s">
        <v>113</v>
      </c>
      <c r="B21" s="28">
        <v>6686.666666666667</v>
      </c>
    </row>
    <row r="22" spans="1:2" x14ac:dyDescent="0.25">
      <c r="A22" s="18" t="s">
        <v>41</v>
      </c>
      <c r="B22" s="28">
        <v>6715.7894736842109</v>
      </c>
    </row>
    <row r="23" spans="1:2" x14ac:dyDescent="0.25">
      <c r="A23" s="18" t="s">
        <v>47</v>
      </c>
      <c r="B23" s="28">
        <v>6775</v>
      </c>
    </row>
    <row r="24" spans="1:2" x14ac:dyDescent="0.25">
      <c r="A24" s="18" t="s">
        <v>93</v>
      </c>
      <c r="B24" s="28">
        <v>7133.333333333333</v>
      </c>
    </row>
    <row r="25" spans="1:2" x14ac:dyDescent="0.25">
      <c r="A25" s="18" t="s">
        <v>86</v>
      </c>
      <c r="B25" s="28">
        <v>7408</v>
      </c>
    </row>
    <row r="26" spans="1:2" x14ac:dyDescent="0.25">
      <c r="A26" s="18" t="s">
        <v>118</v>
      </c>
      <c r="B26" s="28">
        <v>8420</v>
      </c>
    </row>
    <row r="27" spans="1:2" x14ac:dyDescent="0.25">
      <c r="A27" s="18" t="s">
        <v>120</v>
      </c>
      <c r="B27" s="28">
        <v>8800</v>
      </c>
    </row>
    <row r="28" spans="1:2" x14ac:dyDescent="0.25">
      <c r="A28" s="18" t="s">
        <v>131</v>
      </c>
      <c r="B28" s="28">
        <v>9200</v>
      </c>
    </row>
    <row r="29" spans="1:2" x14ac:dyDescent="0.25">
      <c r="A29" s="18" t="s">
        <v>128</v>
      </c>
      <c r="B29" s="28">
        <v>9535</v>
      </c>
    </row>
    <row r="30" spans="1:2" x14ac:dyDescent="0.25">
      <c r="A30" s="18" t="s">
        <v>124</v>
      </c>
      <c r="B30" s="28">
        <v>10933.333333333334</v>
      </c>
    </row>
    <row r="31" spans="1:2" x14ac:dyDescent="0.25">
      <c r="A31" s="18" t="s">
        <v>14</v>
      </c>
      <c r="B31" s="28">
        <v>10964.814814814816</v>
      </c>
    </row>
    <row r="32" spans="1:2" x14ac:dyDescent="0.25">
      <c r="A32" s="18" t="s">
        <v>109</v>
      </c>
      <c r="B32" s="28">
        <v>13134.48275862069</v>
      </c>
    </row>
    <row r="33" spans="1:2" x14ac:dyDescent="0.25">
      <c r="A33" s="18" t="s">
        <v>133</v>
      </c>
      <c r="B33" s="28">
        <v>13350</v>
      </c>
    </row>
    <row r="34" spans="1:2" x14ac:dyDescent="0.25">
      <c r="A34" s="18" t="s">
        <v>116</v>
      </c>
      <c r="B34" s="28">
        <v>16383.333333333334</v>
      </c>
    </row>
    <row r="35" spans="1:2" x14ac:dyDescent="0.25">
      <c r="A35" s="18" t="s">
        <v>79</v>
      </c>
      <c r="B35" s="28">
        <v>19356</v>
      </c>
    </row>
    <row r="36" spans="1:2" x14ac:dyDescent="0.25">
      <c r="A36" s="18" t="s">
        <v>72</v>
      </c>
      <c r="B36" s="28">
        <v>20696.153846153848</v>
      </c>
    </row>
    <row r="37" spans="1:2" x14ac:dyDescent="0.25">
      <c r="A37" s="18" t="s">
        <v>244</v>
      </c>
      <c r="B37" s="28">
        <v>21266.666666666668</v>
      </c>
    </row>
    <row r="38" spans="1:2" x14ac:dyDescent="0.25">
      <c r="A38" s="18" t="s">
        <v>76</v>
      </c>
      <c r="B38" s="28">
        <v>23734.21052631579</v>
      </c>
    </row>
    <row r="39" spans="1:2" x14ac:dyDescent="0.25">
      <c r="A39" s="18" t="s">
        <v>135</v>
      </c>
      <c r="B39" s="28">
        <v>38233.333333333336</v>
      </c>
    </row>
    <row r="53" spans="1:3" x14ac:dyDescent="0.25">
      <c r="A53" s="38" t="s">
        <v>507</v>
      </c>
      <c r="B53" t="s">
        <v>503</v>
      </c>
      <c r="C53" t="s">
        <v>504</v>
      </c>
    </row>
    <row r="54" spans="1:3" x14ac:dyDescent="0.25">
      <c r="A54" s="18" t="s">
        <v>109</v>
      </c>
      <c r="B54" s="41">
        <v>120</v>
      </c>
      <c r="C54" s="41">
        <v>300</v>
      </c>
    </row>
    <row r="55" spans="1:3" x14ac:dyDescent="0.25">
      <c r="A55" s="18" t="s">
        <v>72</v>
      </c>
      <c r="B55" s="41">
        <v>48</v>
      </c>
      <c r="C55" s="41">
        <v>100</v>
      </c>
    </row>
    <row r="56" spans="1:3" x14ac:dyDescent="0.25">
      <c r="A56" s="18" t="s">
        <v>37</v>
      </c>
      <c r="B56" s="41">
        <v>70</v>
      </c>
      <c r="C56" s="41">
        <v>86.666666666666671</v>
      </c>
    </row>
    <row r="57" spans="1:3" x14ac:dyDescent="0.25">
      <c r="A57" s="18" t="s">
        <v>124</v>
      </c>
      <c r="B57" s="41">
        <v>55</v>
      </c>
      <c r="C57" s="41">
        <v>30</v>
      </c>
    </row>
    <row r="58" spans="1:3" x14ac:dyDescent="0.25">
      <c r="A58" s="18" t="s">
        <v>41</v>
      </c>
      <c r="B58" s="41">
        <v>42</v>
      </c>
      <c r="C58" s="41">
        <v>72</v>
      </c>
    </row>
    <row r="59" spans="1:3" x14ac:dyDescent="0.25">
      <c r="A59" s="18" t="s">
        <v>126</v>
      </c>
      <c r="B59" s="41">
        <v>43.636363636363633</v>
      </c>
      <c r="C59" s="41">
        <v>48.333333333333336</v>
      </c>
    </row>
    <row r="60" spans="1:3" x14ac:dyDescent="0.25">
      <c r="A60" s="18" t="s">
        <v>128</v>
      </c>
      <c r="B60" s="41">
        <v>50.307692307692307</v>
      </c>
      <c r="C60" s="41">
        <v>100</v>
      </c>
    </row>
    <row r="61" spans="1:3" x14ac:dyDescent="0.25">
      <c r="A61" s="18" t="s">
        <v>131</v>
      </c>
      <c r="B61" s="41">
        <v>40</v>
      </c>
      <c r="C61" s="41">
        <v>50</v>
      </c>
    </row>
    <row r="62" spans="1:3" x14ac:dyDescent="0.25">
      <c r="A62" s="18" t="s">
        <v>133</v>
      </c>
      <c r="B62" s="41">
        <v>45.75</v>
      </c>
      <c r="C62" s="41">
        <v>56.25</v>
      </c>
    </row>
    <row r="63" spans="1:3" x14ac:dyDescent="0.25">
      <c r="A63" s="18" t="s">
        <v>93</v>
      </c>
      <c r="B63" s="41">
        <v>57.6875</v>
      </c>
      <c r="C63" s="41">
        <v>35.625</v>
      </c>
    </row>
    <row r="64" spans="1:3" x14ac:dyDescent="0.25">
      <c r="A64" s="18" t="s">
        <v>47</v>
      </c>
      <c r="B64" s="41">
        <v>60.93333333333333</v>
      </c>
      <c r="C64" s="41">
        <v>47.333333333333336</v>
      </c>
    </row>
    <row r="65" spans="1:3" x14ac:dyDescent="0.25">
      <c r="A65" s="18" t="s">
        <v>120</v>
      </c>
      <c r="B65" s="41">
        <v>68</v>
      </c>
      <c r="C65" s="41">
        <v>30</v>
      </c>
    </row>
    <row r="66" spans="1:3" x14ac:dyDescent="0.25">
      <c r="A66" s="18" t="s">
        <v>99</v>
      </c>
      <c r="B66" s="41">
        <v>42</v>
      </c>
      <c r="C66" s="41">
        <v>100</v>
      </c>
    </row>
    <row r="67" spans="1:3" x14ac:dyDescent="0.25">
      <c r="A67" s="18" t="s">
        <v>23</v>
      </c>
      <c r="B67" s="41">
        <v>52</v>
      </c>
      <c r="C67" s="41">
        <v>123.33333333333333</v>
      </c>
    </row>
    <row r="68" spans="1:3" x14ac:dyDescent="0.25">
      <c r="A68" s="18" t="s">
        <v>86</v>
      </c>
      <c r="B68" s="41">
        <v>66.416666666666671</v>
      </c>
      <c r="C68" s="41">
        <v>247.08333333333334</v>
      </c>
    </row>
    <row r="69" spans="1:3" x14ac:dyDescent="0.25">
      <c r="A69" s="18" t="s">
        <v>116</v>
      </c>
      <c r="B69" s="41">
        <v>50</v>
      </c>
      <c r="C69" s="41">
        <v>100</v>
      </c>
    </row>
    <row r="70" spans="1:3" x14ac:dyDescent="0.25">
      <c r="A70" s="18" t="s">
        <v>14</v>
      </c>
      <c r="B70" s="41">
        <v>68.086956521739125</v>
      </c>
      <c r="C70" s="41">
        <v>117.39130434782609</v>
      </c>
    </row>
    <row r="71" spans="1:3" x14ac:dyDescent="0.25">
      <c r="A71" s="18" t="s">
        <v>220</v>
      </c>
      <c r="B71" s="41">
        <v>41.333333333333336</v>
      </c>
      <c r="C71" s="41">
        <v>100</v>
      </c>
    </row>
    <row r="72" spans="1:3" x14ac:dyDescent="0.25">
      <c r="A72" s="18" t="s">
        <v>118</v>
      </c>
      <c r="B72" s="41">
        <v>60</v>
      </c>
      <c r="C72" s="41">
        <v>135</v>
      </c>
    </row>
    <row r="73" spans="1:3" x14ac:dyDescent="0.25">
      <c r="A73" s="18" t="s">
        <v>113</v>
      </c>
      <c r="B73" s="41">
        <v>50</v>
      </c>
      <c r="C73" s="41">
        <v>91.071428571428569</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E34D5-E8B1-4EA3-B175-4C3FC015BA62}">
  <sheetPr codeName="Sheet8">
    <tabColor rgb="FF002060"/>
  </sheetPr>
  <dimension ref="A3:C307"/>
  <sheetViews>
    <sheetView workbookViewId="0">
      <selection activeCell="N15" sqref="N15"/>
    </sheetView>
  </sheetViews>
  <sheetFormatPr defaultRowHeight="15" x14ac:dyDescent="0.25"/>
  <cols>
    <col min="1" max="1" width="44" bestFit="1" customWidth="1"/>
    <col min="2" max="2" width="18.28515625" bestFit="1" customWidth="1"/>
    <col min="3" max="3" width="20.28515625" bestFit="1" customWidth="1"/>
    <col min="4" max="4" width="23.42578125" bestFit="1" customWidth="1"/>
    <col min="5" max="5" width="10.85546875" bestFit="1" customWidth="1"/>
    <col min="6" max="6" width="9.5703125" bestFit="1" customWidth="1"/>
    <col min="7" max="7" width="8" bestFit="1" customWidth="1"/>
    <col min="8" max="8" width="8.5703125" bestFit="1" customWidth="1"/>
    <col min="9" max="9" width="7.140625" bestFit="1" customWidth="1"/>
    <col min="10" max="11" width="7" bestFit="1" customWidth="1"/>
    <col min="12" max="12" width="8.42578125" bestFit="1" customWidth="1"/>
    <col min="13" max="13" width="19.42578125" bestFit="1" customWidth="1"/>
    <col min="14" max="14" width="16.42578125" bestFit="1" customWidth="1"/>
    <col min="15" max="15" width="17.42578125" bestFit="1" customWidth="1"/>
    <col min="16" max="16" width="9.140625" bestFit="1" customWidth="1"/>
    <col min="17" max="17" width="7" bestFit="1" customWidth="1"/>
    <col min="18" max="18" width="5" bestFit="1" customWidth="1"/>
    <col min="19" max="19" width="16.140625" bestFit="1" customWidth="1"/>
    <col min="20" max="20" width="11.28515625" bestFit="1" customWidth="1"/>
    <col min="21" max="21" width="8.85546875" bestFit="1" customWidth="1"/>
    <col min="22" max="22" width="10.5703125" bestFit="1" customWidth="1"/>
    <col min="23" max="23" width="7.28515625" bestFit="1" customWidth="1"/>
    <col min="24" max="24" width="4.5703125" bestFit="1" customWidth="1"/>
    <col min="25" max="25" width="7.7109375" bestFit="1" customWidth="1"/>
    <col min="26" max="26" width="14" bestFit="1" customWidth="1"/>
    <col min="27" max="27" width="6.5703125" bestFit="1" customWidth="1"/>
    <col min="28" max="28" width="5.42578125" bestFit="1" customWidth="1"/>
    <col min="29" max="29" width="6" bestFit="1" customWidth="1"/>
    <col min="30" max="30" width="5.85546875" bestFit="1" customWidth="1"/>
    <col min="31" max="31" width="4.85546875" bestFit="1" customWidth="1"/>
    <col min="32" max="32" width="10.5703125" bestFit="1" customWidth="1"/>
    <col min="33" max="34" width="6.140625" bestFit="1" customWidth="1"/>
    <col min="35" max="35" width="13.42578125" bestFit="1" customWidth="1"/>
    <col min="36" max="36" width="19.7109375" bestFit="1" customWidth="1"/>
    <col min="37" max="37" width="6.7109375" bestFit="1" customWidth="1"/>
    <col min="38" max="38" width="23.42578125" bestFit="1" customWidth="1"/>
    <col min="39" max="39" width="16.28515625" bestFit="1" customWidth="1"/>
    <col min="40" max="40" width="16.7109375" bestFit="1" customWidth="1"/>
    <col min="41" max="41" width="10.85546875" bestFit="1" customWidth="1"/>
    <col min="42" max="42" width="9.5703125" bestFit="1" customWidth="1"/>
    <col min="43" max="43" width="8" bestFit="1" customWidth="1"/>
    <col min="44" max="44" width="8.5703125" bestFit="1" customWidth="1"/>
    <col min="45" max="45" width="7.140625" bestFit="1" customWidth="1"/>
    <col min="46" max="47" width="7" bestFit="1" customWidth="1"/>
    <col min="48" max="48" width="8.42578125" bestFit="1" customWidth="1"/>
    <col min="49" max="49" width="19.42578125" bestFit="1" customWidth="1"/>
    <col min="50" max="50" width="16.42578125" bestFit="1" customWidth="1"/>
    <col min="51" max="51" width="17.42578125" bestFit="1" customWidth="1"/>
    <col min="53" max="53" width="7" bestFit="1" customWidth="1"/>
    <col min="54" max="54" width="5" bestFit="1" customWidth="1"/>
    <col min="55" max="55" width="16.140625" bestFit="1" customWidth="1"/>
    <col min="56" max="56" width="11.28515625" bestFit="1" customWidth="1"/>
    <col min="57" max="57" width="8.85546875" bestFit="1" customWidth="1"/>
    <col min="58" max="58" width="10.5703125" bestFit="1" customWidth="1"/>
    <col min="59" max="59" width="7.28515625" bestFit="1" customWidth="1"/>
    <col min="60" max="60" width="4.5703125" bestFit="1" customWidth="1"/>
    <col min="61" max="61" width="7.7109375" bestFit="1" customWidth="1"/>
    <col min="62" max="62" width="14" bestFit="1" customWidth="1"/>
    <col min="63" max="63" width="6.5703125" bestFit="1" customWidth="1"/>
    <col min="64" max="64" width="5.42578125" bestFit="1" customWidth="1"/>
    <col min="65" max="65" width="6" bestFit="1" customWidth="1"/>
    <col min="66" max="66" width="5.85546875" bestFit="1" customWidth="1"/>
    <col min="67" max="67" width="5" bestFit="1" customWidth="1"/>
    <col min="68" max="68" width="10.5703125" bestFit="1" customWidth="1"/>
    <col min="69" max="70" width="6.140625" bestFit="1" customWidth="1"/>
    <col min="71" max="71" width="13.42578125" bestFit="1" customWidth="1"/>
    <col min="72" max="72" width="19.7109375" bestFit="1" customWidth="1"/>
    <col min="73" max="73" width="6.7109375" bestFit="1" customWidth="1"/>
    <col min="74" max="74" width="26.28515625" bestFit="1" customWidth="1"/>
    <col min="75" max="75" width="28.42578125" bestFit="1" customWidth="1"/>
  </cols>
  <sheetData>
    <row r="3" spans="1:3" x14ac:dyDescent="0.25">
      <c r="A3" s="38" t="s">
        <v>508</v>
      </c>
      <c r="B3" t="s">
        <v>505</v>
      </c>
      <c r="C3" t="s">
        <v>506</v>
      </c>
    </row>
    <row r="4" spans="1:3" x14ac:dyDescent="0.25">
      <c r="A4" s="39" t="s">
        <v>474</v>
      </c>
    </row>
    <row r="5" spans="1:3" x14ac:dyDescent="0.25">
      <c r="A5" s="40" t="s">
        <v>404</v>
      </c>
      <c r="B5">
        <v>42</v>
      </c>
      <c r="C5">
        <v>200</v>
      </c>
    </row>
    <row r="6" spans="1:3" x14ac:dyDescent="0.25">
      <c r="A6" s="40" t="s">
        <v>409</v>
      </c>
      <c r="B6">
        <v>0</v>
      </c>
      <c r="C6">
        <v>300</v>
      </c>
    </row>
    <row r="7" spans="1:3" x14ac:dyDescent="0.25">
      <c r="A7" s="40" t="s">
        <v>407</v>
      </c>
      <c r="B7">
        <v>0</v>
      </c>
      <c r="C7">
        <v>300</v>
      </c>
    </row>
    <row r="8" spans="1:3" x14ac:dyDescent="0.25">
      <c r="A8" s="40" t="s">
        <v>366</v>
      </c>
      <c r="B8">
        <v>38</v>
      </c>
      <c r="C8">
        <v>100</v>
      </c>
    </row>
    <row r="9" spans="1:3" x14ac:dyDescent="0.25">
      <c r="A9" s="40" t="s">
        <v>308</v>
      </c>
      <c r="B9">
        <v>76</v>
      </c>
      <c r="C9">
        <v>100</v>
      </c>
    </row>
    <row r="10" spans="1:3" x14ac:dyDescent="0.25">
      <c r="A10" s="40" t="s">
        <v>348</v>
      </c>
      <c r="B10">
        <v>54</v>
      </c>
      <c r="C10">
        <v>50</v>
      </c>
    </row>
    <row r="11" spans="1:3" x14ac:dyDescent="0.25">
      <c r="A11" s="40" t="s">
        <v>351</v>
      </c>
      <c r="B11">
        <v>0</v>
      </c>
      <c r="C11">
        <v>50</v>
      </c>
    </row>
    <row r="12" spans="1:3" x14ac:dyDescent="0.25">
      <c r="A12" s="40" t="s">
        <v>367</v>
      </c>
      <c r="B12">
        <v>38</v>
      </c>
      <c r="C12">
        <v>100</v>
      </c>
    </row>
    <row r="13" spans="1:3" x14ac:dyDescent="0.25">
      <c r="A13" s="40" t="s">
        <v>349</v>
      </c>
      <c r="B13">
        <v>64</v>
      </c>
      <c r="C13">
        <v>300</v>
      </c>
    </row>
    <row r="14" spans="1:3" x14ac:dyDescent="0.25">
      <c r="A14" s="40" t="s">
        <v>352</v>
      </c>
      <c r="B14">
        <v>64</v>
      </c>
      <c r="C14">
        <v>300</v>
      </c>
    </row>
    <row r="15" spans="1:3" x14ac:dyDescent="0.25">
      <c r="A15" s="40" t="s">
        <v>313</v>
      </c>
      <c r="B15">
        <v>80</v>
      </c>
      <c r="C15">
        <v>50</v>
      </c>
    </row>
    <row r="16" spans="1:3" x14ac:dyDescent="0.25">
      <c r="A16" s="40" t="s">
        <v>315</v>
      </c>
      <c r="B16">
        <v>80</v>
      </c>
      <c r="C16">
        <v>100</v>
      </c>
    </row>
    <row r="17" spans="1:3" x14ac:dyDescent="0.25">
      <c r="A17" s="40" t="s">
        <v>314</v>
      </c>
      <c r="B17">
        <v>160</v>
      </c>
      <c r="C17">
        <v>200</v>
      </c>
    </row>
    <row r="18" spans="1:3" x14ac:dyDescent="0.25">
      <c r="A18" s="40" t="s">
        <v>410</v>
      </c>
      <c r="B18">
        <v>76</v>
      </c>
      <c r="C18">
        <v>60</v>
      </c>
    </row>
    <row r="19" spans="1:3" x14ac:dyDescent="0.25">
      <c r="A19" s="40" t="s">
        <v>350</v>
      </c>
      <c r="B19">
        <v>170</v>
      </c>
      <c r="C19">
        <v>90</v>
      </c>
    </row>
    <row r="20" spans="1:3" x14ac:dyDescent="0.25">
      <c r="A20" s="40" t="s">
        <v>346</v>
      </c>
      <c r="B20">
        <v>64</v>
      </c>
      <c r="C20">
        <v>30</v>
      </c>
    </row>
    <row r="21" spans="1:3" x14ac:dyDescent="0.25">
      <c r="A21" s="40" t="s">
        <v>292</v>
      </c>
      <c r="B21">
        <v>0</v>
      </c>
      <c r="C21">
        <v>300</v>
      </c>
    </row>
    <row r="22" spans="1:3" x14ac:dyDescent="0.25">
      <c r="A22" s="40" t="s">
        <v>401</v>
      </c>
      <c r="B22">
        <v>50</v>
      </c>
      <c r="C22">
        <v>200</v>
      </c>
    </row>
    <row r="23" spans="1:3" x14ac:dyDescent="0.25">
      <c r="A23" s="40" t="s">
        <v>400</v>
      </c>
      <c r="B23">
        <v>50</v>
      </c>
      <c r="C23">
        <v>200</v>
      </c>
    </row>
    <row r="24" spans="1:3" x14ac:dyDescent="0.25">
      <c r="A24" s="40" t="s">
        <v>399</v>
      </c>
      <c r="B24">
        <v>141</v>
      </c>
      <c r="C24">
        <v>600</v>
      </c>
    </row>
    <row r="25" spans="1:3" x14ac:dyDescent="0.25">
      <c r="A25" s="40" t="s">
        <v>391</v>
      </c>
      <c r="B25">
        <v>0</v>
      </c>
      <c r="C25">
        <v>30</v>
      </c>
    </row>
    <row r="26" spans="1:3" x14ac:dyDescent="0.25">
      <c r="A26" s="39" t="s">
        <v>475</v>
      </c>
    </row>
    <row r="27" spans="1:3" x14ac:dyDescent="0.25">
      <c r="A27" s="40" t="s">
        <v>357</v>
      </c>
      <c r="B27">
        <v>38</v>
      </c>
      <c r="C27">
        <v>100</v>
      </c>
    </row>
    <row r="28" spans="1:3" x14ac:dyDescent="0.25">
      <c r="A28" s="40" t="s">
        <v>358</v>
      </c>
      <c r="B28">
        <v>50</v>
      </c>
      <c r="C28">
        <v>30</v>
      </c>
    </row>
    <row r="29" spans="1:3" x14ac:dyDescent="0.25">
      <c r="A29" s="40" t="s">
        <v>408</v>
      </c>
      <c r="B29">
        <v>76</v>
      </c>
      <c r="C29">
        <v>600</v>
      </c>
    </row>
    <row r="30" spans="1:3" x14ac:dyDescent="0.25">
      <c r="A30" s="40" t="s">
        <v>407</v>
      </c>
      <c r="B30">
        <v>76</v>
      </c>
      <c r="C30">
        <v>900</v>
      </c>
    </row>
    <row r="31" spans="1:3" x14ac:dyDescent="0.25">
      <c r="A31" s="40" t="s">
        <v>411</v>
      </c>
      <c r="B31">
        <v>700</v>
      </c>
      <c r="C31">
        <v>2000</v>
      </c>
    </row>
    <row r="32" spans="1:3" x14ac:dyDescent="0.25">
      <c r="A32" s="40" t="s">
        <v>260</v>
      </c>
      <c r="B32">
        <v>82</v>
      </c>
      <c r="C32">
        <v>200</v>
      </c>
    </row>
    <row r="33" spans="1:3" x14ac:dyDescent="0.25">
      <c r="A33" s="40" t="s">
        <v>261</v>
      </c>
      <c r="B33">
        <v>40</v>
      </c>
      <c r="C33">
        <v>100</v>
      </c>
    </row>
    <row r="34" spans="1:3" x14ac:dyDescent="0.25">
      <c r="A34" s="40" t="s">
        <v>258</v>
      </c>
      <c r="B34">
        <v>120</v>
      </c>
      <c r="C34">
        <v>50</v>
      </c>
    </row>
    <row r="35" spans="1:3" x14ac:dyDescent="0.25">
      <c r="A35" s="40" t="s">
        <v>347</v>
      </c>
      <c r="B35">
        <v>54</v>
      </c>
      <c r="C35">
        <v>300</v>
      </c>
    </row>
    <row r="36" spans="1:3" x14ac:dyDescent="0.25">
      <c r="A36" s="40" t="s">
        <v>360</v>
      </c>
      <c r="B36">
        <v>80</v>
      </c>
      <c r="C36">
        <v>100</v>
      </c>
    </row>
    <row r="37" spans="1:3" x14ac:dyDescent="0.25">
      <c r="A37" s="40" t="s">
        <v>375</v>
      </c>
      <c r="B37">
        <v>56</v>
      </c>
      <c r="C37">
        <v>100</v>
      </c>
    </row>
    <row r="38" spans="1:3" x14ac:dyDescent="0.25">
      <c r="A38" s="40" t="s">
        <v>346</v>
      </c>
      <c r="B38">
        <v>64</v>
      </c>
      <c r="C38">
        <v>30</v>
      </c>
    </row>
    <row r="39" spans="1:3" x14ac:dyDescent="0.25">
      <c r="A39" s="40" t="s">
        <v>338</v>
      </c>
      <c r="B39">
        <v>42</v>
      </c>
      <c r="C39">
        <v>60</v>
      </c>
    </row>
    <row r="40" spans="1:3" x14ac:dyDescent="0.25">
      <c r="A40" s="40" t="s">
        <v>335</v>
      </c>
      <c r="B40">
        <v>42</v>
      </c>
      <c r="C40">
        <v>60</v>
      </c>
    </row>
    <row r="41" spans="1:3" x14ac:dyDescent="0.25">
      <c r="A41" s="40" t="s">
        <v>303</v>
      </c>
      <c r="B41">
        <v>0</v>
      </c>
      <c r="C41">
        <v>30</v>
      </c>
    </row>
    <row r="42" spans="1:3" x14ac:dyDescent="0.25">
      <c r="A42" s="40" t="s">
        <v>359</v>
      </c>
      <c r="B42">
        <v>42</v>
      </c>
      <c r="C42">
        <v>50</v>
      </c>
    </row>
    <row r="43" spans="1:3" x14ac:dyDescent="0.25">
      <c r="A43" s="40" t="s">
        <v>356</v>
      </c>
      <c r="B43">
        <v>42</v>
      </c>
      <c r="C43">
        <v>50</v>
      </c>
    </row>
    <row r="44" spans="1:3" x14ac:dyDescent="0.25">
      <c r="A44" s="40" t="s">
        <v>290</v>
      </c>
      <c r="B44">
        <v>38</v>
      </c>
      <c r="C44">
        <v>200</v>
      </c>
    </row>
    <row r="45" spans="1:3" x14ac:dyDescent="0.25">
      <c r="A45" s="40" t="s">
        <v>289</v>
      </c>
      <c r="B45">
        <v>152</v>
      </c>
      <c r="C45">
        <v>4000</v>
      </c>
    </row>
    <row r="46" spans="1:3" x14ac:dyDescent="0.25">
      <c r="A46" s="40" t="s">
        <v>287</v>
      </c>
      <c r="B46">
        <v>38</v>
      </c>
      <c r="C46">
        <v>1000</v>
      </c>
    </row>
    <row r="47" spans="1:3" x14ac:dyDescent="0.25">
      <c r="A47" s="40" t="s">
        <v>304</v>
      </c>
      <c r="B47">
        <v>0</v>
      </c>
      <c r="C47">
        <v>60</v>
      </c>
    </row>
    <row r="48" spans="1:3" x14ac:dyDescent="0.25">
      <c r="A48" s="40" t="s">
        <v>403</v>
      </c>
      <c r="B48">
        <v>38</v>
      </c>
      <c r="C48">
        <v>1000</v>
      </c>
    </row>
    <row r="49" spans="1:3" x14ac:dyDescent="0.25">
      <c r="A49" s="40" t="s">
        <v>402</v>
      </c>
      <c r="B49">
        <v>38</v>
      </c>
      <c r="C49">
        <v>500</v>
      </c>
    </row>
    <row r="50" spans="1:3" x14ac:dyDescent="0.25">
      <c r="A50" s="39" t="s">
        <v>476</v>
      </c>
    </row>
    <row r="51" spans="1:3" x14ac:dyDescent="0.25">
      <c r="A51" s="40" t="s">
        <v>355</v>
      </c>
      <c r="B51">
        <v>42</v>
      </c>
      <c r="C51">
        <v>100</v>
      </c>
    </row>
    <row r="52" spans="1:3" x14ac:dyDescent="0.25">
      <c r="A52" s="40" t="s">
        <v>365</v>
      </c>
      <c r="B52">
        <v>60</v>
      </c>
      <c r="C52">
        <v>150</v>
      </c>
    </row>
    <row r="53" spans="1:3" x14ac:dyDescent="0.25">
      <c r="A53" s="40" t="s">
        <v>286</v>
      </c>
      <c r="B53">
        <v>42</v>
      </c>
      <c r="C53">
        <v>300</v>
      </c>
    </row>
    <row r="54" spans="1:3" x14ac:dyDescent="0.25">
      <c r="A54" s="40" t="s">
        <v>259</v>
      </c>
      <c r="B54">
        <v>42</v>
      </c>
      <c r="C54">
        <v>100</v>
      </c>
    </row>
    <row r="55" spans="1:3" x14ac:dyDescent="0.25">
      <c r="A55" s="40" t="s">
        <v>297</v>
      </c>
      <c r="B55">
        <v>42</v>
      </c>
      <c r="C55">
        <v>30</v>
      </c>
    </row>
    <row r="56" spans="1:3" x14ac:dyDescent="0.25">
      <c r="A56" s="40" t="s">
        <v>301</v>
      </c>
      <c r="B56">
        <v>42</v>
      </c>
      <c r="C56">
        <v>30</v>
      </c>
    </row>
    <row r="57" spans="1:3" x14ac:dyDescent="0.25">
      <c r="A57" s="40" t="s">
        <v>412</v>
      </c>
      <c r="B57">
        <v>140</v>
      </c>
      <c r="C57">
        <v>400</v>
      </c>
    </row>
    <row r="58" spans="1:3" x14ac:dyDescent="0.25">
      <c r="A58" s="40" t="s">
        <v>411</v>
      </c>
      <c r="B58">
        <v>140</v>
      </c>
      <c r="C58">
        <v>400</v>
      </c>
    </row>
    <row r="59" spans="1:3" x14ac:dyDescent="0.25">
      <c r="A59" s="40" t="s">
        <v>406</v>
      </c>
      <c r="B59">
        <v>84</v>
      </c>
      <c r="C59">
        <v>200</v>
      </c>
    </row>
    <row r="60" spans="1:3" x14ac:dyDescent="0.25">
      <c r="A60" s="40" t="s">
        <v>364</v>
      </c>
      <c r="B60">
        <v>50</v>
      </c>
      <c r="C60">
        <v>100</v>
      </c>
    </row>
    <row r="61" spans="1:3" x14ac:dyDescent="0.25">
      <c r="A61" s="40" t="s">
        <v>429</v>
      </c>
      <c r="B61">
        <v>100</v>
      </c>
      <c r="C61">
        <v>200</v>
      </c>
    </row>
    <row r="62" spans="1:3" x14ac:dyDescent="0.25">
      <c r="A62" s="40" t="s">
        <v>428</v>
      </c>
      <c r="B62">
        <v>50</v>
      </c>
      <c r="C62">
        <v>100</v>
      </c>
    </row>
    <row r="63" spans="1:3" x14ac:dyDescent="0.25">
      <c r="A63" s="40" t="s">
        <v>433</v>
      </c>
      <c r="B63">
        <v>50</v>
      </c>
      <c r="C63">
        <v>50</v>
      </c>
    </row>
    <row r="64" spans="1:3" x14ac:dyDescent="0.25">
      <c r="A64" s="40" t="s">
        <v>432</v>
      </c>
      <c r="B64">
        <v>100</v>
      </c>
      <c r="C64">
        <v>100</v>
      </c>
    </row>
    <row r="65" spans="1:3" x14ac:dyDescent="0.25">
      <c r="A65" s="40" t="s">
        <v>307</v>
      </c>
      <c r="B65">
        <v>0</v>
      </c>
      <c r="C65">
        <v>60</v>
      </c>
    </row>
    <row r="66" spans="1:3" x14ac:dyDescent="0.25">
      <c r="A66" s="40" t="s">
        <v>374</v>
      </c>
      <c r="B66">
        <v>56</v>
      </c>
      <c r="C66">
        <v>100</v>
      </c>
    </row>
    <row r="67" spans="1:3" x14ac:dyDescent="0.25">
      <c r="A67" s="40" t="s">
        <v>370</v>
      </c>
      <c r="B67">
        <v>56</v>
      </c>
      <c r="C67">
        <v>300</v>
      </c>
    </row>
    <row r="68" spans="1:3" x14ac:dyDescent="0.25">
      <c r="A68" s="40" t="s">
        <v>369</v>
      </c>
      <c r="B68">
        <v>56</v>
      </c>
      <c r="C68">
        <v>300</v>
      </c>
    </row>
    <row r="69" spans="1:3" x14ac:dyDescent="0.25">
      <c r="A69" s="40" t="s">
        <v>344</v>
      </c>
      <c r="B69">
        <v>70</v>
      </c>
      <c r="C69">
        <v>50</v>
      </c>
    </row>
    <row r="70" spans="1:3" x14ac:dyDescent="0.25">
      <c r="A70" s="40" t="s">
        <v>305</v>
      </c>
      <c r="B70">
        <v>138</v>
      </c>
      <c r="C70">
        <v>150</v>
      </c>
    </row>
    <row r="71" spans="1:3" x14ac:dyDescent="0.25">
      <c r="A71" s="40" t="s">
        <v>306</v>
      </c>
      <c r="B71">
        <v>42</v>
      </c>
      <c r="C71">
        <v>50</v>
      </c>
    </row>
    <row r="72" spans="1:3" x14ac:dyDescent="0.25">
      <c r="A72" s="40" t="s">
        <v>405</v>
      </c>
      <c r="B72">
        <v>122</v>
      </c>
      <c r="C72">
        <v>300</v>
      </c>
    </row>
    <row r="73" spans="1:3" x14ac:dyDescent="0.25">
      <c r="A73" s="40" t="s">
        <v>338</v>
      </c>
      <c r="B73">
        <v>42</v>
      </c>
      <c r="C73">
        <v>60</v>
      </c>
    </row>
    <row r="74" spans="1:3" x14ac:dyDescent="0.25">
      <c r="A74" s="40" t="s">
        <v>337</v>
      </c>
      <c r="B74">
        <v>42</v>
      </c>
      <c r="C74">
        <v>60</v>
      </c>
    </row>
    <row r="75" spans="1:3" x14ac:dyDescent="0.25">
      <c r="A75" s="40" t="s">
        <v>335</v>
      </c>
      <c r="B75">
        <v>284</v>
      </c>
      <c r="C75">
        <v>360</v>
      </c>
    </row>
    <row r="76" spans="1:3" x14ac:dyDescent="0.25">
      <c r="A76" s="40" t="s">
        <v>336</v>
      </c>
      <c r="B76">
        <v>72</v>
      </c>
      <c r="C76">
        <v>60</v>
      </c>
    </row>
    <row r="77" spans="1:3" x14ac:dyDescent="0.25">
      <c r="A77" s="40" t="s">
        <v>343</v>
      </c>
      <c r="B77">
        <v>90</v>
      </c>
      <c r="C77">
        <v>60</v>
      </c>
    </row>
    <row r="78" spans="1:3" x14ac:dyDescent="0.25">
      <c r="A78" s="40" t="s">
        <v>299</v>
      </c>
      <c r="B78">
        <v>84</v>
      </c>
      <c r="C78">
        <v>200</v>
      </c>
    </row>
    <row r="79" spans="1:3" x14ac:dyDescent="0.25">
      <c r="A79" s="40" t="s">
        <v>302</v>
      </c>
      <c r="B79">
        <v>0</v>
      </c>
      <c r="C79">
        <v>30</v>
      </c>
    </row>
    <row r="80" spans="1:3" x14ac:dyDescent="0.25">
      <c r="A80" s="40" t="s">
        <v>300</v>
      </c>
      <c r="B80">
        <v>0</v>
      </c>
      <c r="C80">
        <v>30</v>
      </c>
    </row>
    <row r="81" spans="1:3" x14ac:dyDescent="0.25">
      <c r="A81" s="40" t="s">
        <v>362</v>
      </c>
      <c r="B81">
        <v>120</v>
      </c>
      <c r="C81">
        <v>1200</v>
      </c>
    </row>
    <row r="82" spans="1:3" x14ac:dyDescent="0.25">
      <c r="A82" s="40" t="s">
        <v>363</v>
      </c>
      <c r="B82">
        <v>192</v>
      </c>
      <c r="C82">
        <v>200</v>
      </c>
    </row>
    <row r="83" spans="1:3" x14ac:dyDescent="0.25">
      <c r="A83" s="40" t="s">
        <v>361</v>
      </c>
      <c r="B83">
        <v>588</v>
      </c>
      <c r="C83">
        <v>600</v>
      </c>
    </row>
    <row r="84" spans="1:3" x14ac:dyDescent="0.25">
      <c r="A84" s="40" t="s">
        <v>288</v>
      </c>
      <c r="B84">
        <v>70</v>
      </c>
      <c r="C84">
        <v>200</v>
      </c>
    </row>
    <row r="85" spans="1:3" x14ac:dyDescent="0.25">
      <c r="A85" s="40" t="s">
        <v>285</v>
      </c>
      <c r="B85">
        <v>114</v>
      </c>
      <c r="C85">
        <v>600</v>
      </c>
    </row>
    <row r="86" spans="1:3" x14ac:dyDescent="0.25">
      <c r="A86" s="40" t="s">
        <v>289</v>
      </c>
      <c r="B86">
        <v>38</v>
      </c>
      <c r="C86">
        <v>1000</v>
      </c>
    </row>
    <row r="87" spans="1:3" x14ac:dyDescent="0.25">
      <c r="A87" s="40" t="s">
        <v>287</v>
      </c>
      <c r="B87">
        <v>42</v>
      </c>
      <c r="C87">
        <v>200</v>
      </c>
    </row>
    <row r="88" spans="1:3" x14ac:dyDescent="0.25">
      <c r="A88" s="39" t="s">
        <v>477</v>
      </c>
    </row>
    <row r="89" spans="1:3" x14ac:dyDescent="0.25">
      <c r="A89" s="40" t="s">
        <v>354</v>
      </c>
      <c r="B89">
        <v>42</v>
      </c>
      <c r="C89">
        <v>100</v>
      </c>
    </row>
    <row r="90" spans="1:3" x14ac:dyDescent="0.25">
      <c r="A90" s="40" t="s">
        <v>353</v>
      </c>
      <c r="B90">
        <v>42</v>
      </c>
      <c r="C90">
        <v>100</v>
      </c>
    </row>
    <row r="91" spans="1:3" x14ac:dyDescent="0.25">
      <c r="A91" s="40" t="s">
        <v>297</v>
      </c>
      <c r="B91">
        <v>42</v>
      </c>
      <c r="C91">
        <v>30</v>
      </c>
    </row>
    <row r="92" spans="1:3" x14ac:dyDescent="0.25">
      <c r="A92" s="40" t="s">
        <v>296</v>
      </c>
      <c r="B92">
        <v>84</v>
      </c>
      <c r="C92">
        <v>60</v>
      </c>
    </row>
    <row r="93" spans="1:3" x14ac:dyDescent="0.25">
      <c r="A93" s="40" t="s">
        <v>431</v>
      </c>
      <c r="B93">
        <v>50</v>
      </c>
      <c r="C93">
        <v>100</v>
      </c>
    </row>
    <row r="94" spans="1:3" x14ac:dyDescent="0.25">
      <c r="A94" s="40" t="s">
        <v>430</v>
      </c>
      <c r="B94">
        <v>50</v>
      </c>
      <c r="C94">
        <v>50</v>
      </c>
    </row>
    <row r="95" spans="1:3" x14ac:dyDescent="0.25">
      <c r="A95" s="40" t="s">
        <v>427</v>
      </c>
      <c r="B95">
        <v>200</v>
      </c>
      <c r="C95">
        <v>250</v>
      </c>
    </row>
    <row r="96" spans="1:3" x14ac:dyDescent="0.25">
      <c r="A96" s="40" t="s">
        <v>284</v>
      </c>
      <c r="B96">
        <v>70</v>
      </c>
      <c r="C96">
        <v>200</v>
      </c>
    </row>
    <row r="97" spans="1:3" x14ac:dyDescent="0.25">
      <c r="A97" s="40" t="s">
        <v>325</v>
      </c>
      <c r="B97">
        <v>84</v>
      </c>
      <c r="C97">
        <v>100</v>
      </c>
    </row>
    <row r="98" spans="1:3" x14ac:dyDescent="0.25">
      <c r="A98" s="40" t="s">
        <v>323</v>
      </c>
      <c r="B98">
        <v>42</v>
      </c>
      <c r="C98">
        <v>50</v>
      </c>
    </row>
    <row r="99" spans="1:3" x14ac:dyDescent="0.25">
      <c r="A99" s="40" t="s">
        <v>398</v>
      </c>
      <c r="B99">
        <v>280</v>
      </c>
      <c r="C99">
        <v>400</v>
      </c>
    </row>
    <row r="100" spans="1:3" x14ac:dyDescent="0.25">
      <c r="A100" s="40" t="s">
        <v>397</v>
      </c>
      <c r="B100">
        <v>70</v>
      </c>
      <c r="C100">
        <v>100</v>
      </c>
    </row>
    <row r="101" spans="1:3" x14ac:dyDescent="0.25">
      <c r="A101" s="40" t="s">
        <v>429</v>
      </c>
      <c r="B101">
        <v>250</v>
      </c>
      <c r="C101">
        <v>500</v>
      </c>
    </row>
    <row r="102" spans="1:3" x14ac:dyDescent="0.25">
      <c r="A102" s="40" t="s">
        <v>428</v>
      </c>
      <c r="B102">
        <v>550</v>
      </c>
      <c r="C102">
        <v>1100</v>
      </c>
    </row>
    <row r="103" spans="1:3" x14ac:dyDescent="0.25">
      <c r="A103" s="40" t="s">
        <v>345</v>
      </c>
      <c r="B103">
        <v>68</v>
      </c>
      <c r="C103">
        <v>30</v>
      </c>
    </row>
    <row r="104" spans="1:3" x14ac:dyDescent="0.25">
      <c r="A104" s="40" t="s">
        <v>311</v>
      </c>
      <c r="B104">
        <v>54</v>
      </c>
      <c r="C104">
        <v>100</v>
      </c>
    </row>
    <row r="105" spans="1:3" x14ac:dyDescent="0.25">
      <c r="A105" s="40" t="s">
        <v>309</v>
      </c>
      <c r="B105">
        <v>162</v>
      </c>
      <c r="C105">
        <v>300</v>
      </c>
    </row>
    <row r="106" spans="1:3" x14ac:dyDescent="0.25">
      <c r="A106" s="40" t="s">
        <v>373</v>
      </c>
      <c r="B106">
        <v>72</v>
      </c>
      <c r="C106">
        <v>30</v>
      </c>
    </row>
    <row r="107" spans="1:3" x14ac:dyDescent="0.25">
      <c r="A107" s="40" t="s">
        <v>372</v>
      </c>
      <c r="B107">
        <v>122</v>
      </c>
      <c r="C107">
        <v>600</v>
      </c>
    </row>
    <row r="108" spans="1:3" x14ac:dyDescent="0.25">
      <c r="A108" s="40" t="s">
        <v>370</v>
      </c>
      <c r="B108">
        <v>272</v>
      </c>
      <c r="C108">
        <v>1200</v>
      </c>
    </row>
    <row r="109" spans="1:3" x14ac:dyDescent="0.25">
      <c r="A109" s="40" t="s">
        <v>371</v>
      </c>
      <c r="B109">
        <v>112</v>
      </c>
      <c r="C109">
        <v>200</v>
      </c>
    </row>
    <row r="110" spans="1:3" x14ac:dyDescent="0.25">
      <c r="A110" s="40" t="s">
        <v>368</v>
      </c>
      <c r="B110">
        <v>200</v>
      </c>
      <c r="C110">
        <v>500</v>
      </c>
    </row>
    <row r="111" spans="1:3" x14ac:dyDescent="0.25">
      <c r="A111" s="40" t="s">
        <v>415</v>
      </c>
      <c r="B111">
        <v>60</v>
      </c>
      <c r="C111">
        <v>100</v>
      </c>
    </row>
    <row r="112" spans="1:3" x14ac:dyDescent="0.25">
      <c r="A112" s="40" t="s">
        <v>418</v>
      </c>
      <c r="B112">
        <v>60</v>
      </c>
      <c r="C112">
        <v>100</v>
      </c>
    </row>
    <row r="113" spans="1:3" x14ac:dyDescent="0.25">
      <c r="A113" s="40" t="s">
        <v>413</v>
      </c>
      <c r="B113">
        <v>60</v>
      </c>
      <c r="C113">
        <v>100</v>
      </c>
    </row>
    <row r="114" spans="1:3" x14ac:dyDescent="0.25">
      <c r="A114" s="40" t="s">
        <v>417</v>
      </c>
      <c r="B114">
        <v>60</v>
      </c>
      <c r="C114">
        <v>50</v>
      </c>
    </row>
    <row r="115" spans="1:3" x14ac:dyDescent="0.25">
      <c r="A115" s="40" t="s">
        <v>341</v>
      </c>
      <c r="B115">
        <v>70</v>
      </c>
      <c r="C115">
        <v>50</v>
      </c>
    </row>
    <row r="116" spans="1:3" x14ac:dyDescent="0.25">
      <c r="A116" s="40" t="s">
        <v>340</v>
      </c>
      <c r="B116">
        <v>280</v>
      </c>
      <c r="C116">
        <v>200</v>
      </c>
    </row>
    <row r="117" spans="1:3" x14ac:dyDescent="0.25">
      <c r="A117" s="40" t="s">
        <v>339</v>
      </c>
      <c r="B117">
        <v>221</v>
      </c>
      <c r="C117">
        <v>200</v>
      </c>
    </row>
    <row r="118" spans="1:3" x14ac:dyDescent="0.25">
      <c r="A118" s="40" t="s">
        <v>342</v>
      </c>
      <c r="B118">
        <v>43</v>
      </c>
      <c r="C118">
        <v>50</v>
      </c>
    </row>
    <row r="119" spans="1:3" x14ac:dyDescent="0.25">
      <c r="A119" s="40" t="s">
        <v>305</v>
      </c>
      <c r="B119">
        <v>222</v>
      </c>
      <c r="C119">
        <v>250</v>
      </c>
    </row>
    <row r="120" spans="1:3" x14ac:dyDescent="0.25">
      <c r="A120" s="40" t="s">
        <v>306</v>
      </c>
      <c r="B120">
        <v>126</v>
      </c>
      <c r="C120">
        <v>150</v>
      </c>
    </row>
    <row r="121" spans="1:3" x14ac:dyDescent="0.25">
      <c r="A121" s="40" t="s">
        <v>405</v>
      </c>
      <c r="B121">
        <v>42</v>
      </c>
      <c r="C121">
        <v>100</v>
      </c>
    </row>
    <row r="122" spans="1:3" x14ac:dyDescent="0.25">
      <c r="A122" s="40" t="s">
        <v>283</v>
      </c>
      <c r="B122">
        <v>140</v>
      </c>
      <c r="C122">
        <v>60</v>
      </c>
    </row>
    <row r="123" spans="1:3" x14ac:dyDescent="0.25">
      <c r="A123" s="40" t="s">
        <v>334</v>
      </c>
      <c r="B123">
        <v>44</v>
      </c>
      <c r="C123">
        <v>60</v>
      </c>
    </row>
    <row r="124" spans="1:3" x14ac:dyDescent="0.25">
      <c r="A124" s="40" t="s">
        <v>332</v>
      </c>
      <c r="B124">
        <v>68</v>
      </c>
      <c r="C124">
        <v>60</v>
      </c>
    </row>
    <row r="125" spans="1:3" x14ac:dyDescent="0.25">
      <c r="A125" s="40" t="s">
        <v>331</v>
      </c>
      <c r="B125">
        <v>46</v>
      </c>
      <c r="C125">
        <v>30</v>
      </c>
    </row>
    <row r="126" spans="1:3" x14ac:dyDescent="0.25">
      <c r="A126" s="40" t="s">
        <v>328</v>
      </c>
      <c r="B126">
        <v>210</v>
      </c>
      <c r="C126">
        <v>120</v>
      </c>
    </row>
    <row r="127" spans="1:3" x14ac:dyDescent="0.25">
      <c r="A127" s="40" t="s">
        <v>333</v>
      </c>
      <c r="B127">
        <v>44</v>
      </c>
      <c r="C127">
        <v>30</v>
      </c>
    </row>
    <row r="128" spans="1:3" x14ac:dyDescent="0.25">
      <c r="A128" s="40" t="s">
        <v>326</v>
      </c>
      <c r="B128">
        <v>346</v>
      </c>
      <c r="C128">
        <v>180</v>
      </c>
    </row>
    <row r="129" spans="1:3" x14ac:dyDescent="0.25">
      <c r="A129" s="40" t="s">
        <v>330</v>
      </c>
      <c r="B129">
        <v>60</v>
      </c>
      <c r="C129">
        <v>30</v>
      </c>
    </row>
    <row r="130" spans="1:3" x14ac:dyDescent="0.25">
      <c r="A130" s="40" t="s">
        <v>327</v>
      </c>
      <c r="B130">
        <v>46</v>
      </c>
      <c r="C130">
        <v>30</v>
      </c>
    </row>
    <row r="131" spans="1:3" x14ac:dyDescent="0.25">
      <c r="A131" s="40" t="s">
        <v>298</v>
      </c>
      <c r="B131">
        <v>42</v>
      </c>
      <c r="C131">
        <v>100</v>
      </c>
    </row>
    <row r="132" spans="1:3" x14ac:dyDescent="0.25">
      <c r="A132" s="40" t="s">
        <v>295</v>
      </c>
      <c r="B132">
        <v>126</v>
      </c>
      <c r="C132">
        <v>300</v>
      </c>
    </row>
    <row r="133" spans="1:3" x14ac:dyDescent="0.25">
      <c r="A133" s="40" t="s">
        <v>361</v>
      </c>
      <c r="B133">
        <v>180</v>
      </c>
      <c r="C133">
        <v>150</v>
      </c>
    </row>
    <row r="134" spans="1:3" x14ac:dyDescent="0.25">
      <c r="A134" s="39" t="s">
        <v>478</v>
      </c>
    </row>
    <row r="135" spans="1:3" x14ac:dyDescent="0.25">
      <c r="A135" s="40" t="s">
        <v>324</v>
      </c>
      <c r="B135">
        <v>72</v>
      </c>
      <c r="C135">
        <v>100</v>
      </c>
    </row>
    <row r="136" spans="1:3" x14ac:dyDescent="0.25">
      <c r="A136" s="40" t="s">
        <v>427</v>
      </c>
      <c r="B136">
        <v>50</v>
      </c>
      <c r="C136">
        <v>100</v>
      </c>
    </row>
    <row r="137" spans="1:3" x14ac:dyDescent="0.25">
      <c r="A137" s="40" t="s">
        <v>325</v>
      </c>
      <c r="B137">
        <v>126</v>
      </c>
      <c r="C137">
        <v>150</v>
      </c>
    </row>
    <row r="138" spans="1:3" x14ac:dyDescent="0.25">
      <c r="A138" s="40" t="s">
        <v>323</v>
      </c>
      <c r="B138">
        <v>42</v>
      </c>
      <c r="C138">
        <v>50</v>
      </c>
    </row>
    <row r="139" spans="1:3" x14ac:dyDescent="0.25">
      <c r="A139" s="40" t="s">
        <v>398</v>
      </c>
      <c r="B139">
        <v>350</v>
      </c>
      <c r="C139">
        <v>500</v>
      </c>
    </row>
    <row r="140" spans="1:3" x14ac:dyDescent="0.25">
      <c r="A140" s="40" t="s">
        <v>397</v>
      </c>
      <c r="B140">
        <v>280</v>
      </c>
      <c r="C140">
        <v>400</v>
      </c>
    </row>
    <row r="141" spans="1:3" x14ac:dyDescent="0.25">
      <c r="A141" s="40" t="s">
        <v>426</v>
      </c>
      <c r="B141">
        <v>50</v>
      </c>
      <c r="C141">
        <v>100</v>
      </c>
    </row>
    <row r="142" spans="1:3" x14ac:dyDescent="0.25">
      <c r="A142" s="40" t="s">
        <v>394</v>
      </c>
      <c r="B142">
        <v>490</v>
      </c>
      <c r="C142">
        <v>700</v>
      </c>
    </row>
    <row r="143" spans="1:3" x14ac:dyDescent="0.25">
      <c r="A143" s="40" t="s">
        <v>345</v>
      </c>
      <c r="B143">
        <v>204</v>
      </c>
      <c r="C143">
        <v>90</v>
      </c>
    </row>
    <row r="144" spans="1:3" x14ac:dyDescent="0.25">
      <c r="A144" s="40" t="s">
        <v>311</v>
      </c>
      <c r="B144">
        <v>92</v>
      </c>
      <c r="C144">
        <v>200</v>
      </c>
    </row>
    <row r="145" spans="1:3" x14ac:dyDescent="0.25">
      <c r="A145" s="40" t="s">
        <v>310</v>
      </c>
      <c r="B145">
        <v>46</v>
      </c>
      <c r="C145">
        <v>100</v>
      </c>
    </row>
    <row r="146" spans="1:3" x14ac:dyDescent="0.25">
      <c r="A146" s="40" t="s">
        <v>309</v>
      </c>
      <c r="B146">
        <v>300</v>
      </c>
      <c r="C146">
        <v>600</v>
      </c>
    </row>
    <row r="147" spans="1:3" x14ac:dyDescent="0.25">
      <c r="A147" s="40" t="s">
        <v>370</v>
      </c>
      <c r="B147">
        <v>288</v>
      </c>
      <c r="C147">
        <v>1200</v>
      </c>
    </row>
    <row r="148" spans="1:3" x14ac:dyDescent="0.25">
      <c r="A148" s="40" t="s">
        <v>369</v>
      </c>
      <c r="B148">
        <v>72</v>
      </c>
      <c r="C148">
        <v>300</v>
      </c>
    </row>
    <row r="149" spans="1:3" x14ac:dyDescent="0.25">
      <c r="A149" s="40" t="s">
        <v>368</v>
      </c>
      <c r="B149">
        <v>288</v>
      </c>
      <c r="C149">
        <v>1200</v>
      </c>
    </row>
    <row r="150" spans="1:3" x14ac:dyDescent="0.25">
      <c r="A150" s="40" t="s">
        <v>416</v>
      </c>
      <c r="B150">
        <v>60</v>
      </c>
      <c r="C150">
        <v>100</v>
      </c>
    </row>
    <row r="151" spans="1:3" x14ac:dyDescent="0.25">
      <c r="A151" s="40" t="s">
        <v>415</v>
      </c>
      <c r="B151">
        <v>120</v>
      </c>
      <c r="C151">
        <v>200</v>
      </c>
    </row>
    <row r="152" spans="1:3" x14ac:dyDescent="0.25">
      <c r="A152" s="40" t="s">
        <v>413</v>
      </c>
      <c r="B152">
        <v>120</v>
      </c>
      <c r="C152">
        <v>400</v>
      </c>
    </row>
    <row r="153" spans="1:3" x14ac:dyDescent="0.25">
      <c r="A153" s="40" t="s">
        <v>414</v>
      </c>
      <c r="B153">
        <v>60</v>
      </c>
      <c r="C153">
        <v>300</v>
      </c>
    </row>
    <row r="154" spans="1:3" x14ac:dyDescent="0.25">
      <c r="A154" s="40" t="s">
        <v>341</v>
      </c>
      <c r="B154">
        <v>70</v>
      </c>
      <c r="C154">
        <v>50</v>
      </c>
    </row>
    <row r="155" spans="1:3" x14ac:dyDescent="0.25">
      <c r="A155" s="40" t="s">
        <v>340</v>
      </c>
      <c r="B155">
        <v>70</v>
      </c>
      <c r="C155">
        <v>50</v>
      </c>
    </row>
    <row r="156" spans="1:3" x14ac:dyDescent="0.25">
      <c r="A156" s="40" t="s">
        <v>339</v>
      </c>
      <c r="B156">
        <v>70</v>
      </c>
      <c r="C156">
        <v>50</v>
      </c>
    </row>
    <row r="157" spans="1:3" x14ac:dyDescent="0.25">
      <c r="A157" s="40" t="s">
        <v>328</v>
      </c>
      <c r="B157">
        <v>60</v>
      </c>
      <c r="C157">
        <v>30</v>
      </c>
    </row>
    <row r="158" spans="1:3" x14ac:dyDescent="0.25">
      <c r="A158" s="40" t="s">
        <v>326</v>
      </c>
      <c r="B158">
        <v>602</v>
      </c>
      <c r="C158">
        <v>270</v>
      </c>
    </row>
    <row r="159" spans="1:3" x14ac:dyDescent="0.25">
      <c r="A159" s="40" t="s">
        <v>327</v>
      </c>
      <c r="B159">
        <v>60</v>
      </c>
      <c r="C159">
        <v>30</v>
      </c>
    </row>
    <row r="160" spans="1:3" x14ac:dyDescent="0.25">
      <c r="A160" s="40" t="s">
        <v>329</v>
      </c>
      <c r="B160">
        <v>60</v>
      </c>
      <c r="C160">
        <v>30</v>
      </c>
    </row>
    <row r="161" spans="1:3" x14ac:dyDescent="0.25">
      <c r="A161" s="40" t="s">
        <v>312</v>
      </c>
      <c r="B161">
        <v>40</v>
      </c>
      <c r="C161">
        <v>50</v>
      </c>
    </row>
    <row r="162" spans="1:3" x14ac:dyDescent="0.25">
      <c r="A162" s="40" t="s">
        <v>396</v>
      </c>
      <c r="B162">
        <v>96</v>
      </c>
      <c r="C162">
        <v>600</v>
      </c>
    </row>
    <row r="163" spans="1:3" x14ac:dyDescent="0.25">
      <c r="A163" s="40" t="s">
        <v>282</v>
      </c>
      <c r="B163">
        <v>48</v>
      </c>
      <c r="C163">
        <v>100</v>
      </c>
    </row>
    <row r="164" spans="1:3" x14ac:dyDescent="0.25">
      <c r="A164" s="40" t="s">
        <v>281</v>
      </c>
      <c r="B164">
        <v>48</v>
      </c>
      <c r="C164">
        <v>100</v>
      </c>
    </row>
    <row r="165" spans="1:3" x14ac:dyDescent="0.25">
      <c r="A165" s="39" t="s">
        <v>479</v>
      </c>
    </row>
    <row r="166" spans="1:3" x14ac:dyDescent="0.25">
      <c r="A166" s="40" t="s">
        <v>263</v>
      </c>
      <c r="B166">
        <v>600</v>
      </c>
      <c r="C166">
        <v>1500</v>
      </c>
    </row>
    <row r="167" spans="1:3" x14ac:dyDescent="0.25">
      <c r="A167" s="40" t="s">
        <v>345</v>
      </c>
      <c r="B167">
        <v>68</v>
      </c>
      <c r="C167">
        <v>30</v>
      </c>
    </row>
    <row r="168" spans="1:3" x14ac:dyDescent="0.25">
      <c r="A168" s="40" t="s">
        <v>310</v>
      </c>
      <c r="B168">
        <v>54</v>
      </c>
      <c r="C168">
        <v>100</v>
      </c>
    </row>
    <row r="169" spans="1:3" x14ac:dyDescent="0.25">
      <c r="A169" s="40" t="s">
        <v>309</v>
      </c>
      <c r="B169">
        <v>162</v>
      </c>
      <c r="C169">
        <v>300</v>
      </c>
    </row>
    <row r="170" spans="1:3" x14ac:dyDescent="0.25">
      <c r="A170" s="40" t="s">
        <v>291</v>
      </c>
      <c r="B170">
        <v>110</v>
      </c>
      <c r="C170">
        <v>60</v>
      </c>
    </row>
    <row r="171" spans="1:3" x14ac:dyDescent="0.25">
      <c r="A171" s="40" t="s">
        <v>390</v>
      </c>
      <c r="B171">
        <v>50</v>
      </c>
      <c r="C171">
        <v>100</v>
      </c>
    </row>
    <row r="172" spans="1:3" x14ac:dyDescent="0.25">
      <c r="A172" s="40" t="s">
        <v>389</v>
      </c>
      <c r="B172">
        <v>44</v>
      </c>
      <c r="C172">
        <v>100</v>
      </c>
    </row>
    <row r="173" spans="1:3" x14ac:dyDescent="0.25">
      <c r="A173" s="39" t="s">
        <v>480</v>
      </c>
    </row>
    <row r="174" spans="1:3" x14ac:dyDescent="0.25">
      <c r="A174" s="40" t="s">
        <v>294</v>
      </c>
      <c r="B174">
        <v>84</v>
      </c>
      <c r="C174">
        <v>60</v>
      </c>
    </row>
    <row r="175" spans="1:3" x14ac:dyDescent="0.25">
      <c r="A175" s="40" t="s">
        <v>317</v>
      </c>
      <c r="B175">
        <v>72</v>
      </c>
      <c r="C175">
        <v>100</v>
      </c>
    </row>
    <row r="176" spans="1:3" x14ac:dyDescent="0.25">
      <c r="A176" s="40" t="s">
        <v>321</v>
      </c>
      <c r="B176">
        <v>42</v>
      </c>
      <c r="C176">
        <v>100</v>
      </c>
    </row>
    <row r="177" spans="1:3" x14ac:dyDescent="0.25">
      <c r="A177" s="40" t="s">
        <v>318</v>
      </c>
      <c r="B177">
        <v>72</v>
      </c>
      <c r="C177">
        <v>100</v>
      </c>
    </row>
    <row r="178" spans="1:3" x14ac:dyDescent="0.25">
      <c r="A178" s="40" t="s">
        <v>395</v>
      </c>
      <c r="B178">
        <v>72</v>
      </c>
      <c r="C178">
        <v>100</v>
      </c>
    </row>
    <row r="179" spans="1:3" x14ac:dyDescent="0.25">
      <c r="A179" s="40" t="s">
        <v>265</v>
      </c>
      <c r="B179">
        <v>120</v>
      </c>
      <c r="C179">
        <v>300</v>
      </c>
    </row>
    <row r="180" spans="1:3" x14ac:dyDescent="0.25">
      <c r="A180" s="40" t="s">
        <v>263</v>
      </c>
      <c r="B180">
        <v>1440</v>
      </c>
      <c r="C180">
        <v>3600</v>
      </c>
    </row>
    <row r="181" spans="1:3" x14ac:dyDescent="0.25">
      <c r="A181" s="40" t="s">
        <v>262</v>
      </c>
      <c r="B181">
        <v>120</v>
      </c>
      <c r="C181">
        <v>300</v>
      </c>
    </row>
    <row r="182" spans="1:3" x14ac:dyDescent="0.25">
      <c r="A182" s="40" t="s">
        <v>311</v>
      </c>
      <c r="B182">
        <v>54</v>
      </c>
      <c r="C182">
        <v>100</v>
      </c>
    </row>
    <row r="183" spans="1:3" x14ac:dyDescent="0.25">
      <c r="A183" s="40" t="s">
        <v>310</v>
      </c>
      <c r="B183">
        <v>46</v>
      </c>
      <c r="C183">
        <v>100</v>
      </c>
    </row>
    <row r="184" spans="1:3" x14ac:dyDescent="0.25">
      <c r="A184" s="40" t="s">
        <v>309</v>
      </c>
      <c r="B184">
        <v>54</v>
      </c>
      <c r="C184">
        <v>100</v>
      </c>
    </row>
    <row r="185" spans="1:3" x14ac:dyDescent="0.25">
      <c r="A185" s="40" t="s">
        <v>291</v>
      </c>
      <c r="B185">
        <v>60</v>
      </c>
      <c r="C185">
        <v>100</v>
      </c>
    </row>
    <row r="186" spans="1:3" x14ac:dyDescent="0.25">
      <c r="A186" s="40" t="s">
        <v>420</v>
      </c>
      <c r="B186">
        <v>40</v>
      </c>
      <c r="C186">
        <v>150</v>
      </c>
    </row>
    <row r="187" spans="1:3" x14ac:dyDescent="0.25">
      <c r="A187" s="39" t="s">
        <v>481</v>
      </c>
    </row>
    <row r="188" spans="1:3" x14ac:dyDescent="0.25">
      <c r="A188" s="40" t="s">
        <v>317</v>
      </c>
      <c r="B188">
        <v>72</v>
      </c>
      <c r="C188">
        <v>100</v>
      </c>
    </row>
    <row r="189" spans="1:3" x14ac:dyDescent="0.25">
      <c r="A189" s="40" t="s">
        <v>320</v>
      </c>
      <c r="B189">
        <v>42</v>
      </c>
      <c r="C189">
        <v>100</v>
      </c>
    </row>
    <row r="190" spans="1:3" x14ac:dyDescent="0.25">
      <c r="A190" s="40" t="s">
        <v>319</v>
      </c>
      <c r="B190">
        <v>72</v>
      </c>
      <c r="C190">
        <v>100</v>
      </c>
    </row>
    <row r="191" spans="1:3" x14ac:dyDescent="0.25">
      <c r="A191" s="40" t="s">
        <v>322</v>
      </c>
      <c r="B191">
        <v>72</v>
      </c>
      <c r="C191">
        <v>100</v>
      </c>
    </row>
    <row r="192" spans="1:3" x14ac:dyDescent="0.25">
      <c r="A192" s="40" t="s">
        <v>318</v>
      </c>
      <c r="B192">
        <v>144</v>
      </c>
      <c r="C192">
        <v>200</v>
      </c>
    </row>
    <row r="193" spans="1:3" x14ac:dyDescent="0.25">
      <c r="A193" s="40" t="s">
        <v>266</v>
      </c>
      <c r="B193">
        <v>40</v>
      </c>
      <c r="C193">
        <v>30</v>
      </c>
    </row>
    <row r="194" spans="1:3" x14ac:dyDescent="0.25">
      <c r="A194" s="40" t="s">
        <v>264</v>
      </c>
      <c r="B194">
        <v>120</v>
      </c>
      <c r="C194">
        <v>300</v>
      </c>
    </row>
    <row r="195" spans="1:3" x14ac:dyDescent="0.25">
      <c r="A195" s="40" t="s">
        <v>263</v>
      </c>
      <c r="B195">
        <v>720</v>
      </c>
      <c r="C195">
        <v>1800</v>
      </c>
    </row>
    <row r="196" spans="1:3" x14ac:dyDescent="0.25">
      <c r="A196" s="40" t="s">
        <v>262</v>
      </c>
      <c r="B196">
        <v>240</v>
      </c>
      <c r="C196">
        <v>600</v>
      </c>
    </row>
    <row r="197" spans="1:3" x14ac:dyDescent="0.25">
      <c r="A197" s="40" t="s">
        <v>394</v>
      </c>
      <c r="B197">
        <v>48</v>
      </c>
      <c r="C197">
        <v>100</v>
      </c>
    </row>
    <row r="198" spans="1:3" x14ac:dyDescent="0.25">
      <c r="A198" s="40" t="s">
        <v>420</v>
      </c>
      <c r="B198">
        <v>120</v>
      </c>
      <c r="C198">
        <v>200</v>
      </c>
    </row>
    <row r="199" spans="1:3" x14ac:dyDescent="0.25">
      <c r="A199" s="40" t="s">
        <v>425</v>
      </c>
      <c r="B199">
        <v>40</v>
      </c>
      <c r="C199">
        <v>30</v>
      </c>
    </row>
    <row r="200" spans="1:3" x14ac:dyDescent="0.25">
      <c r="A200" s="40" t="s">
        <v>293</v>
      </c>
      <c r="B200">
        <v>0</v>
      </c>
      <c r="C200">
        <v>30</v>
      </c>
    </row>
    <row r="201" spans="1:3" x14ac:dyDescent="0.25">
      <c r="A201" s="39" t="s">
        <v>482</v>
      </c>
    </row>
    <row r="202" spans="1:3" x14ac:dyDescent="0.25">
      <c r="A202" s="40" t="s">
        <v>388</v>
      </c>
      <c r="B202">
        <v>43</v>
      </c>
      <c r="C202">
        <v>30</v>
      </c>
    </row>
    <row r="203" spans="1:3" x14ac:dyDescent="0.25">
      <c r="A203" s="40" t="s">
        <v>320</v>
      </c>
      <c r="B203">
        <v>72</v>
      </c>
      <c r="C203">
        <v>100</v>
      </c>
    </row>
    <row r="204" spans="1:3" x14ac:dyDescent="0.25">
      <c r="A204" s="40" t="s">
        <v>321</v>
      </c>
      <c r="B204">
        <v>72</v>
      </c>
      <c r="C204">
        <v>100</v>
      </c>
    </row>
    <row r="205" spans="1:3" x14ac:dyDescent="0.25">
      <c r="A205" s="40" t="s">
        <v>319</v>
      </c>
      <c r="B205">
        <v>72</v>
      </c>
      <c r="C205">
        <v>100</v>
      </c>
    </row>
    <row r="206" spans="1:3" x14ac:dyDescent="0.25">
      <c r="A206" s="40" t="s">
        <v>318</v>
      </c>
      <c r="B206">
        <v>216</v>
      </c>
      <c r="C206">
        <v>300</v>
      </c>
    </row>
    <row r="207" spans="1:3" x14ac:dyDescent="0.25">
      <c r="A207" s="40" t="s">
        <v>274</v>
      </c>
      <c r="B207">
        <v>40</v>
      </c>
      <c r="C207">
        <v>30</v>
      </c>
    </row>
    <row r="208" spans="1:3" x14ac:dyDescent="0.25">
      <c r="A208" s="40" t="s">
        <v>272</v>
      </c>
      <c r="B208">
        <v>65</v>
      </c>
      <c r="C208">
        <v>30</v>
      </c>
    </row>
    <row r="209" spans="1:3" x14ac:dyDescent="0.25">
      <c r="A209" s="40" t="s">
        <v>262</v>
      </c>
      <c r="B209">
        <v>120</v>
      </c>
      <c r="C209">
        <v>300</v>
      </c>
    </row>
    <row r="210" spans="1:3" x14ac:dyDescent="0.25">
      <c r="A210" s="40" t="s">
        <v>420</v>
      </c>
      <c r="B210">
        <v>120</v>
      </c>
      <c r="C210">
        <v>300</v>
      </c>
    </row>
    <row r="211" spans="1:3" x14ac:dyDescent="0.25">
      <c r="A211" s="40" t="s">
        <v>255</v>
      </c>
      <c r="B211">
        <v>180</v>
      </c>
      <c r="C211">
        <v>150</v>
      </c>
    </row>
    <row r="212" spans="1:3" x14ac:dyDescent="0.25">
      <c r="A212" s="40" t="s">
        <v>252</v>
      </c>
      <c r="B212">
        <v>45</v>
      </c>
      <c r="C212">
        <v>30</v>
      </c>
    </row>
    <row r="213" spans="1:3" x14ac:dyDescent="0.25">
      <c r="A213" s="39" t="s">
        <v>483</v>
      </c>
    </row>
    <row r="214" spans="1:3" x14ac:dyDescent="0.25">
      <c r="A214" s="40" t="s">
        <v>387</v>
      </c>
      <c r="B214">
        <v>43</v>
      </c>
      <c r="C214">
        <v>30</v>
      </c>
    </row>
    <row r="215" spans="1:3" x14ac:dyDescent="0.25">
      <c r="A215" s="40" t="s">
        <v>317</v>
      </c>
      <c r="B215">
        <v>72</v>
      </c>
      <c r="C215">
        <v>100</v>
      </c>
    </row>
    <row r="216" spans="1:3" x14ac:dyDescent="0.25">
      <c r="A216" s="40" t="s">
        <v>318</v>
      </c>
      <c r="B216">
        <v>72</v>
      </c>
      <c r="C216">
        <v>100</v>
      </c>
    </row>
    <row r="217" spans="1:3" x14ac:dyDescent="0.25">
      <c r="A217" s="40" t="s">
        <v>384</v>
      </c>
      <c r="B217">
        <v>44</v>
      </c>
      <c r="C217">
        <v>30</v>
      </c>
    </row>
    <row r="218" spans="1:3" x14ac:dyDescent="0.25">
      <c r="A218" s="40" t="s">
        <v>266</v>
      </c>
      <c r="B218">
        <v>40</v>
      </c>
      <c r="C218">
        <v>30</v>
      </c>
    </row>
    <row r="219" spans="1:3" x14ac:dyDescent="0.25">
      <c r="A219" s="40" t="s">
        <v>279</v>
      </c>
      <c r="B219">
        <v>55</v>
      </c>
      <c r="C219">
        <v>30</v>
      </c>
    </row>
    <row r="220" spans="1:3" x14ac:dyDescent="0.25">
      <c r="A220" s="40" t="s">
        <v>271</v>
      </c>
      <c r="B220">
        <v>40</v>
      </c>
      <c r="C220">
        <v>30</v>
      </c>
    </row>
    <row r="221" spans="1:3" x14ac:dyDescent="0.25">
      <c r="A221" s="40" t="s">
        <v>277</v>
      </c>
      <c r="B221">
        <v>45</v>
      </c>
      <c r="C221">
        <v>30</v>
      </c>
    </row>
    <row r="222" spans="1:3" x14ac:dyDescent="0.25">
      <c r="A222" s="40" t="s">
        <v>420</v>
      </c>
      <c r="B222">
        <v>180</v>
      </c>
      <c r="C222">
        <v>500</v>
      </c>
    </row>
    <row r="223" spans="1:3" x14ac:dyDescent="0.25">
      <c r="A223" s="40" t="s">
        <v>422</v>
      </c>
      <c r="B223">
        <v>120</v>
      </c>
      <c r="C223">
        <v>450</v>
      </c>
    </row>
    <row r="224" spans="1:3" x14ac:dyDescent="0.25">
      <c r="A224" s="40" t="s">
        <v>424</v>
      </c>
      <c r="B224">
        <v>65</v>
      </c>
      <c r="C224">
        <v>30</v>
      </c>
    </row>
    <row r="225" spans="1:3" x14ac:dyDescent="0.25">
      <c r="A225" s="40" t="s">
        <v>256</v>
      </c>
      <c r="B225">
        <v>100</v>
      </c>
      <c r="C225">
        <v>100</v>
      </c>
    </row>
    <row r="226" spans="1:3" x14ac:dyDescent="0.25">
      <c r="A226" s="40" t="s">
        <v>257</v>
      </c>
      <c r="B226">
        <v>60</v>
      </c>
      <c r="C226">
        <v>50</v>
      </c>
    </row>
    <row r="227" spans="1:3" x14ac:dyDescent="0.25">
      <c r="A227" s="40" t="s">
        <v>255</v>
      </c>
      <c r="B227">
        <v>240</v>
      </c>
      <c r="C227">
        <v>200</v>
      </c>
    </row>
    <row r="228" spans="1:3" x14ac:dyDescent="0.25">
      <c r="A228" s="39" t="s">
        <v>484</v>
      </c>
    </row>
    <row r="229" spans="1:3" x14ac:dyDescent="0.25">
      <c r="A229" s="40" t="s">
        <v>386</v>
      </c>
      <c r="B229">
        <v>43</v>
      </c>
      <c r="C229">
        <v>30</v>
      </c>
    </row>
    <row r="230" spans="1:3" x14ac:dyDescent="0.25">
      <c r="A230" s="40" t="s">
        <v>316</v>
      </c>
      <c r="B230">
        <v>42</v>
      </c>
      <c r="C230">
        <v>50</v>
      </c>
    </row>
    <row r="231" spans="1:3" x14ac:dyDescent="0.25">
      <c r="A231" s="40" t="s">
        <v>276</v>
      </c>
      <c r="B231">
        <v>38</v>
      </c>
      <c r="C231">
        <v>30</v>
      </c>
    </row>
    <row r="232" spans="1:3" x14ac:dyDescent="0.25">
      <c r="A232" s="40" t="s">
        <v>278</v>
      </c>
      <c r="B232">
        <v>45</v>
      </c>
      <c r="C232">
        <v>30</v>
      </c>
    </row>
    <row r="233" spans="1:3" x14ac:dyDescent="0.25">
      <c r="A233" s="40" t="s">
        <v>269</v>
      </c>
      <c r="B233">
        <v>65</v>
      </c>
      <c r="C233">
        <v>30</v>
      </c>
    </row>
    <row r="234" spans="1:3" x14ac:dyDescent="0.25">
      <c r="A234" s="40" t="s">
        <v>277</v>
      </c>
      <c r="B234">
        <v>55</v>
      </c>
      <c r="C234">
        <v>30</v>
      </c>
    </row>
    <row r="235" spans="1:3" x14ac:dyDescent="0.25">
      <c r="A235" s="40" t="s">
        <v>420</v>
      </c>
      <c r="B235">
        <v>220</v>
      </c>
      <c r="C235">
        <v>600</v>
      </c>
    </row>
    <row r="236" spans="1:3" x14ac:dyDescent="0.25">
      <c r="A236" s="40" t="s">
        <v>422</v>
      </c>
      <c r="B236">
        <v>120</v>
      </c>
      <c r="C236">
        <v>300</v>
      </c>
    </row>
    <row r="237" spans="1:3" x14ac:dyDescent="0.25">
      <c r="A237" s="40" t="s">
        <v>423</v>
      </c>
      <c r="B237">
        <v>40</v>
      </c>
      <c r="C237">
        <v>150</v>
      </c>
    </row>
    <row r="238" spans="1:3" x14ac:dyDescent="0.25">
      <c r="A238" s="40" t="s">
        <v>255</v>
      </c>
      <c r="B238">
        <v>300</v>
      </c>
      <c r="C238">
        <v>250</v>
      </c>
    </row>
    <row r="239" spans="1:3" x14ac:dyDescent="0.25">
      <c r="A239" s="39" t="s">
        <v>485</v>
      </c>
    </row>
    <row r="240" spans="1:3" x14ac:dyDescent="0.25">
      <c r="A240" s="40" t="s">
        <v>385</v>
      </c>
      <c r="B240">
        <v>44</v>
      </c>
      <c r="C240">
        <v>30</v>
      </c>
    </row>
    <row r="241" spans="1:3" x14ac:dyDescent="0.25">
      <c r="A241" s="40" t="s">
        <v>382</v>
      </c>
      <c r="B241">
        <v>44</v>
      </c>
      <c r="C241">
        <v>30</v>
      </c>
    </row>
    <row r="242" spans="1:3" x14ac:dyDescent="0.25">
      <c r="A242" s="40" t="s">
        <v>383</v>
      </c>
      <c r="B242">
        <v>48</v>
      </c>
      <c r="C242">
        <v>30</v>
      </c>
    </row>
    <row r="243" spans="1:3" x14ac:dyDescent="0.25">
      <c r="A243" s="40" t="s">
        <v>266</v>
      </c>
      <c r="B243">
        <v>45</v>
      </c>
      <c r="C243">
        <v>30</v>
      </c>
    </row>
    <row r="244" spans="1:3" x14ac:dyDescent="0.25">
      <c r="A244" s="40" t="s">
        <v>274</v>
      </c>
      <c r="B244">
        <v>105</v>
      </c>
      <c r="C244">
        <v>60</v>
      </c>
    </row>
    <row r="245" spans="1:3" x14ac:dyDescent="0.25">
      <c r="A245" s="40" t="s">
        <v>272</v>
      </c>
      <c r="B245">
        <v>65</v>
      </c>
      <c r="C245">
        <v>30</v>
      </c>
    </row>
    <row r="246" spans="1:3" x14ac:dyDescent="0.25">
      <c r="A246" s="40" t="s">
        <v>273</v>
      </c>
      <c r="B246">
        <v>65</v>
      </c>
      <c r="C246">
        <v>30</v>
      </c>
    </row>
    <row r="247" spans="1:3" x14ac:dyDescent="0.25">
      <c r="A247" s="40" t="s">
        <v>270</v>
      </c>
      <c r="B247">
        <v>65</v>
      </c>
      <c r="C247">
        <v>30</v>
      </c>
    </row>
    <row r="248" spans="1:3" x14ac:dyDescent="0.25">
      <c r="A248" s="40" t="s">
        <v>420</v>
      </c>
      <c r="B248">
        <v>120</v>
      </c>
      <c r="C248">
        <v>300</v>
      </c>
    </row>
    <row r="249" spans="1:3" x14ac:dyDescent="0.25">
      <c r="A249" s="40" t="s">
        <v>421</v>
      </c>
      <c r="B249">
        <v>65</v>
      </c>
      <c r="C249">
        <v>30</v>
      </c>
    </row>
    <row r="250" spans="1:3" x14ac:dyDescent="0.25">
      <c r="A250" s="40" t="s">
        <v>255</v>
      </c>
      <c r="B250">
        <v>530</v>
      </c>
      <c r="C250">
        <v>450</v>
      </c>
    </row>
    <row r="251" spans="1:3" x14ac:dyDescent="0.25">
      <c r="A251" s="40" t="s">
        <v>251</v>
      </c>
      <c r="B251">
        <v>72</v>
      </c>
      <c r="C251">
        <v>30</v>
      </c>
    </row>
    <row r="252" spans="1:3" x14ac:dyDescent="0.25">
      <c r="A252" s="40" t="s">
        <v>250</v>
      </c>
      <c r="B252">
        <v>45</v>
      </c>
      <c r="C252">
        <v>30</v>
      </c>
    </row>
    <row r="253" spans="1:3" x14ac:dyDescent="0.25">
      <c r="A253" s="39" t="s">
        <v>486</v>
      </c>
    </row>
    <row r="254" spans="1:3" x14ac:dyDescent="0.25">
      <c r="A254" s="40" t="s">
        <v>381</v>
      </c>
      <c r="B254">
        <v>44</v>
      </c>
      <c r="C254">
        <v>30</v>
      </c>
    </row>
    <row r="255" spans="1:3" x14ac:dyDescent="0.25">
      <c r="A255" s="40" t="s">
        <v>380</v>
      </c>
      <c r="B255">
        <v>89</v>
      </c>
      <c r="C255">
        <v>60</v>
      </c>
    </row>
    <row r="256" spans="1:3" x14ac:dyDescent="0.25">
      <c r="A256" s="40" t="s">
        <v>379</v>
      </c>
      <c r="B256">
        <v>48</v>
      </c>
      <c r="C256">
        <v>30</v>
      </c>
    </row>
    <row r="257" spans="1:3" x14ac:dyDescent="0.25">
      <c r="A257" s="40" t="s">
        <v>271</v>
      </c>
      <c r="B257">
        <v>55</v>
      </c>
      <c r="C257">
        <v>30</v>
      </c>
    </row>
    <row r="258" spans="1:3" x14ac:dyDescent="0.25">
      <c r="A258" s="40" t="s">
        <v>272</v>
      </c>
      <c r="B258">
        <v>50</v>
      </c>
      <c r="C258">
        <v>30</v>
      </c>
    </row>
    <row r="259" spans="1:3" x14ac:dyDescent="0.25">
      <c r="A259" s="40" t="s">
        <v>270</v>
      </c>
      <c r="B259">
        <v>65</v>
      </c>
      <c r="C259">
        <v>30</v>
      </c>
    </row>
    <row r="260" spans="1:3" x14ac:dyDescent="0.25">
      <c r="A260" s="40" t="s">
        <v>269</v>
      </c>
      <c r="B260">
        <v>55</v>
      </c>
      <c r="C260">
        <v>30</v>
      </c>
    </row>
    <row r="261" spans="1:3" x14ac:dyDescent="0.25">
      <c r="A261" s="40" t="s">
        <v>255</v>
      </c>
      <c r="B261">
        <v>420</v>
      </c>
      <c r="C261">
        <v>350</v>
      </c>
    </row>
    <row r="262" spans="1:3" x14ac:dyDescent="0.25">
      <c r="A262" s="39" t="s">
        <v>487</v>
      </c>
    </row>
    <row r="263" spans="1:3" x14ac:dyDescent="0.25">
      <c r="A263" s="40" t="s">
        <v>266</v>
      </c>
      <c r="B263">
        <v>105</v>
      </c>
      <c r="C263">
        <v>60</v>
      </c>
    </row>
    <row r="264" spans="1:3" x14ac:dyDescent="0.25">
      <c r="A264" s="40" t="s">
        <v>268</v>
      </c>
      <c r="B264">
        <v>38</v>
      </c>
      <c r="C264">
        <v>30</v>
      </c>
    </row>
    <row r="265" spans="1:3" x14ac:dyDescent="0.25">
      <c r="A265" s="40" t="s">
        <v>378</v>
      </c>
      <c r="B265">
        <v>45</v>
      </c>
      <c r="C265">
        <v>120</v>
      </c>
    </row>
    <row r="266" spans="1:3" x14ac:dyDescent="0.25">
      <c r="A266" s="40" t="s">
        <v>255</v>
      </c>
      <c r="B266">
        <v>120</v>
      </c>
      <c r="C266">
        <v>100</v>
      </c>
    </row>
    <row r="267" spans="1:3" x14ac:dyDescent="0.25">
      <c r="A267" s="39" t="s">
        <v>488</v>
      </c>
    </row>
    <row r="268" spans="1:3" x14ac:dyDescent="0.25">
      <c r="A268" s="40" t="s">
        <v>393</v>
      </c>
      <c r="B268">
        <v>72</v>
      </c>
      <c r="C268">
        <v>100</v>
      </c>
    </row>
    <row r="269" spans="1:3" x14ac:dyDescent="0.25">
      <c r="A269" s="40" t="s">
        <v>376</v>
      </c>
      <c r="B269">
        <v>180</v>
      </c>
      <c r="C269">
        <v>480</v>
      </c>
    </row>
    <row r="270" spans="1:3" x14ac:dyDescent="0.25">
      <c r="A270" s="40" t="s">
        <v>377</v>
      </c>
      <c r="B270">
        <v>55</v>
      </c>
      <c r="C270">
        <v>120</v>
      </c>
    </row>
    <row r="271" spans="1:3" x14ac:dyDescent="0.25">
      <c r="A271" s="40" t="s">
        <v>419</v>
      </c>
      <c r="B271">
        <v>65</v>
      </c>
      <c r="C271">
        <v>30</v>
      </c>
    </row>
    <row r="272" spans="1:3" x14ac:dyDescent="0.25">
      <c r="A272" s="40" t="s">
        <v>255</v>
      </c>
      <c r="B272">
        <v>120</v>
      </c>
      <c r="C272">
        <v>100</v>
      </c>
    </row>
    <row r="273" spans="1:3" x14ac:dyDescent="0.25">
      <c r="A273" s="39" t="s">
        <v>489</v>
      </c>
    </row>
    <row r="274" spans="1:3" x14ac:dyDescent="0.25">
      <c r="A274" s="40" t="s">
        <v>376</v>
      </c>
      <c r="B274">
        <v>180</v>
      </c>
      <c r="C274">
        <v>480</v>
      </c>
    </row>
    <row r="275" spans="1:3" x14ac:dyDescent="0.25">
      <c r="A275" s="39" t="s">
        <v>490</v>
      </c>
    </row>
    <row r="276" spans="1:3" x14ac:dyDescent="0.25">
      <c r="A276" s="40" t="s">
        <v>378</v>
      </c>
      <c r="B276">
        <v>45</v>
      </c>
      <c r="C276">
        <v>120</v>
      </c>
    </row>
    <row r="277" spans="1:3" x14ac:dyDescent="0.25">
      <c r="A277" s="40" t="s">
        <v>254</v>
      </c>
      <c r="B277">
        <v>60</v>
      </c>
      <c r="C277">
        <v>50</v>
      </c>
    </row>
    <row r="278" spans="1:3" x14ac:dyDescent="0.25">
      <c r="A278" s="39" t="s">
        <v>491</v>
      </c>
    </row>
    <row r="279" spans="1:3" x14ac:dyDescent="0.25">
      <c r="A279" s="40" t="s">
        <v>392</v>
      </c>
      <c r="B279">
        <v>72</v>
      </c>
      <c r="C279">
        <v>100</v>
      </c>
    </row>
    <row r="280" spans="1:3" x14ac:dyDescent="0.25">
      <c r="A280" s="40" t="s">
        <v>376</v>
      </c>
      <c r="B280">
        <v>45</v>
      </c>
      <c r="C280">
        <v>120</v>
      </c>
    </row>
    <row r="281" spans="1:3" x14ac:dyDescent="0.25">
      <c r="A281" s="40" t="s">
        <v>377</v>
      </c>
      <c r="B281">
        <v>90</v>
      </c>
      <c r="C281">
        <v>240</v>
      </c>
    </row>
    <row r="282" spans="1:3" x14ac:dyDescent="0.25">
      <c r="A282" s="40" t="s">
        <v>254</v>
      </c>
      <c r="B282">
        <v>60</v>
      </c>
      <c r="C282">
        <v>50</v>
      </c>
    </row>
    <row r="283" spans="1:3" x14ac:dyDescent="0.25">
      <c r="A283" s="39" t="s">
        <v>492</v>
      </c>
    </row>
    <row r="284" spans="1:3" x14ac:dyDescent="0.25">
      <c r="A284" s="40" t="s">
        <v>376</v>
      </c>
      <c r="B284">
        <v>45</v>
      </c>
      <c r="C284">
        <v>120</v>
      </c>
    </row>
    <row r="285" spans="1:3" x14ac:dyDescent="0.25">
      <c r="A285" s="39" t="s">
        <v>493</v>
      </c>
    </row>
    <row r="286" spans="1:3" x14ac:dyDescent="0.25">
      <c r="A286" s="40" t="s">
        <v>376</v>
      </c>
      <c r="B286">
        <v>55</v>
      </c>
      <c r="C286">
        <v>120</v>
      </c>
    </row>
    <row r="287" spans="1:3" x14ac:dyDescent="0.25">
      <c r="A287" s="40" t="s">
        <v>377</v>
      </c>
      <c r="B287">
        <v>48</v>
      </c>
      <c r="C287">
        <v>120</v>
      </c>
    </row>
    <row r="288" spans="1:3" x14ac:dyDescent="0.25">
      <c r="A288" s="39" t="s">
        <v>494</v>
      </c>
    </row>
    <row r="289" spans="1:3" x14ac:dyDescent="0.25">
      <c r="A289" s="40" t="s">
        <v>377</v>
      </c>
      <c r="B289">
        <v>45</v>
      </c>
      <c r="C289">
        <v>120</v>
      </c>
    </row>
    <row r="290" spans="1:3" x14ac:dyDescent="0.25">
      <c r="A290" s="39" t="s">
        <v>495</v>
      </c>
    </row>
    <row r="291" spans="1:3" x14ac:dyDescent="0.25">
      <c r="A291" s="40" t="s">
        <v>376</v>
      </c>
      <c r="B291">
        <v>45</v>
      </c>
      <c r="C291">
        <v>120</v>
      </c>
    </row>
    <row r="292" spans="1:3" x14ac:dyDescent="0.25">
      <c r="A292" s="39" t="s">
        <v>496</v>
      </c>
    </row>
    <row r="293" spans="1:3" x14ac:dyDescent="0.25">
      <c r="A293" s="40" t="s">
        <v>376</v>
      </c>
      <c r="B293">
        <v>45</v>
      </c>
      <c r="C293">
        <v>120</v>
      </c>
    </row>
    <row r="294" spans="1:3" x14ac:dyDescent="0.25">
      <c r="A294" s="40" t="s">
        <v>377</v>
      </c>
      <c r="B294">
        <v>55</v>
      </c>
      <c r="C294">
        <v>120</v>
      </c>
    </row>
    <row r="295" spans="1:3" x14ac:dyDescent="0.25">
      <c r="A295" s="39" t="s">
        <v>497</v>
      </c>
    </row>
    <row r="296" spans="1:3" x14ac:dyDescent="0.25">
      <c r="A296" s="40" t="s">
        <v>377</v>
      </c>
      <c r="B296">
        <v>45</v>
      </c>
      <c r="C296">
        <v>120</v>
      </c>
    </row>
    <row r="297" spans="1:3" x14ac:dyDescent="0.25">
      <c r="A297" s="39" t="s">
        <v>498</v>
      </c>
    </row>
    <row r="298" spans="1:3" x14ac:dyDescent="0.25">
      <c r="A298" s="40" t="s">
        <v>253</v>
      </c>
      <c r="B298">
        <v>60</v>
      </c>
      <c r="C298">
        <v>50</v>
      </c>
    </row>
    <row r="299" spans="1:3" x14ac:dyDescent="0.25">
      <c r="A299" s="39" t="s">
        <v>499</v>
      </c>
    </row>
    <row r="300" spans="1:3" x14ac:dyDescent="0.25">
      <c r="A300" s="40" t="s">
        <v>377</v>
      </c>
      <c r="B300">
        <v>45</v>
      </c>
      <c r="C300">
        <v>120</v>
      </c>
    </row>
    <row r="301" spans="1:3" x14ac:dyDescent="0.25">
      <c r="A301" s="39" t="s">
        <v>500</v>
      </c>
    </row>
    <row r="302" spans="1:3" x14ac:dyDescent="0.25">
      <c r="A302" s="40" t="s">
        <v>377</v>
      </c>
      <c r="B302">
        <v>45</v>
      </c>
      <c r="C302">
        <v>120</v>
      </c>
    </row>
    <row r="303" spans="1:3" x14ac:dyDescent="0.25">
      <c r="A303" s="39" t="s">
        <v>501</v>
      </c>
    </row>
    <row r="304" spans="1:3" x14ac:dyDescent="0.25">
      <c r="A304" s="40" t="s">
        <v>376</v>
      </c>
      <c r="B304">
        <v>55</v>
      </c>
      <c r="C304">
        <v>120</v>
      </c>
    </row>
    <row r="305" spans="1:3" x14ac:dyDescent="0.25">
      <c r="A305" s="39" t="s">
        <v>502</v>
      </c>
    </row>
    <row r="306" spans="1:3" x14ac:dyDescent="0.25">
      <c r="A306" s="40" t="s">
        <v>376</v>
      </c>
      <c r="B306">
        <v>45</v>
      </c>
      <c r="C306">
        <v>120</v>
      </c>
    </row>
    <row r="307" spans="1:3" x14ac:dyDescent="0.25">
      <c r="A307" s="39" t="s">
        <v>472</v>
      </c>
      <c r="B307">
        <v>28712</v>
      </c>
      <c r="C307">
        <v>61620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F4FFC193680A54F9004E8FE87AB3FCC" ma:contentTypeVersion="16" ma:contentTypeDescription="Create a new document." ma:contentTypeScope="" ma:versionID="13adc609c5edeba378f3075c01d5cf08">
  <xsd:schema xmlns:xsd="http://www.w3.org/2001/XMLSchema" xmlns:xs="http://www.w3.org/2001/XMLSchema" xmlns:p="http://schemas.microsoft.com/office/2006/metadata/properties" xmlns:ns3="0f25662a-585d-493b-bc62-a195c021765f" xmlns:ns4="ee86e954-ec0e-4ef4-9b29-9f3e4ddacf18" targetNamespace="http://schemas.microsoft.com/office/2006/metadata/properties" ma:root="true" ma:fieldsID="099e9c9f4564788c2a9769382ee9c841" ns3:_="" ns4:_="">
    <xsd:import namespace="0f25662a-585d-493b-bc62-a195c021765f"/>
    <xsd:import namespace="ee86e954-ec0e-4ef4-9b29-9f3e4ddacf18"/>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_activity" minOccurs="0"/>
                <xsd:element ref="ns3:MediaServiceObjectDetectorVersions" minOccurs="0"/>
                <xsd:element ref="ns3:MediaServiceSystem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f25662a-585d-493b-bc62-a195c021765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_activity" ma:index="21" nillable="true" ma:displayName="_activity" ma:hidden="true" ma:internalName="_activity">
      <xsd:simpleType>
        <xsd:restriction base="dms:Note"/>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ystemTags" ma:index="23" nillable="true" ma:displayName="MediaServiceSystemTags" ma:hidden="true" ma:internalName="MediaServiceSystem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e86e954-ec0e-4ef4-9b29-9f3e4ddacf18"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0f25662a-585d-493b-bc62-a195c021765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2276000-149C-4D0E-BA38-6C996CAC323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f25662a-585d-493b-bc62-a195c021765f"/>
    <ds:schemaRef ds:uri="ee86e954-ec0e-4ef4-9b29-9f3e4ddacf1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D6223A0-F8FD-464D-8215-7EE64DFB55A4}">
  <ds:schemaRefs>
    <ds:schemaRef ds:uri="http://purl.org/dc/elements/1.1/"/>
    <ds:schemaRef ds:uri="ee86e954-ec0e-4ef4-9b29-9f3e4ddacf18"/>
    <ds:schemaRef ds:uri="0f25662a-585d-493b-bc62-a195c021765f"/>
    <ds:schemaRef ds:uri="http://schemas.microsoft.com/office/2006/metadata/properties"/>
    <ds:schemaRef ds:uri="http://schemas.microsoft.com/office/2006/documentManagement/types"/>
    <ds:schemaRef ds:uri="http://purl.org/dc/dcmitype/"/>
    <ds:schemaRef ds:uri="http://www.w3.org/XML/1998/namespace"/>
    <ds:schemaRef ds:uri="http://schemas.microsoft.com/office/infopath/2007/PartnerControls"/>
    <ds:schemaRef ds:uri="http://schemas.openxmlformats.org/package/2006/metadata/core-properties"/>
    <ds:schemaRef ds:uri="http://purl.org/dc/terms/"/>
  </ds:schemaRefs>
</ds:datastoreItem>
</file>

<file path=customXml/itemProps3.xml><?xml version="1.0" encoding="utf-8"?>
<ds:datastoreItem xmlns:ds="http://schemas.openxmlformats.org/officeDocument/2006/customXml" ds:itemID="{FD2B8E40-CB46-4C0A-91C7-5832743CD89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31</vt:i4>
      </vt:variant>
    </vt:vector>
  </HeadingPairs>
  <TitlesOfParts>
    <vt:vector size="42" baseType="lpstr">
      <vt:lpstr>Documentation</vt:lpstr>
      <vt:lpstr>Watch Data Original</vt:lpstr>
      <vt:lpstr>Watch Data Cleaning</vt:lpstr>
      <vt:lpstr>Watch Data</vt:lpstr>
      <vt:lpstr>WIP</vt:lpstr>
      <vt:lpstr>Form</vt:lpstr>
      <vt:lpstr>Financial Solver</vt:lpstr>
      <vt:lpstr>Filter 1</vt:lpstr>
      <vt:lpstr>Filter 2</vt:lpstr>
      <vt:lpstr>Pivot 1</vt:lpstr>
      <vt:lpstr>Pivot 2</vt:lpstr>
      <vt:lpstr>'Filter 1'!Brand</vt:lpstr>
      <vt:lpstr>'Filter 2'!Brand</vt:lpstr>
      <vt:lpstr>'Watch Data Cleaning'!Brand</vt:lpstr>
      <vt:lpstr>Brand</vt:lpstr>
      <vt:lpstr>'Filter 1'!data</vt:lpstr>
      <vt:lpstr>'Filter 2'!data</vt:lpstr>
      <vt:lpstr>'Watch Data Cleaning'!data</vt:lpstr>
      <vt:lpstr>data</vt:lpstr>
      <vt:lpstr>'Filter 1'!data\</vt:lpstr>
      <vt:lpstr>'Filter 2'!data\</vt:lpstr>
      <vt:lpstr>'Watch Data Cleaning'!data\</vt:lpstr>
      <vt:lpstr>data\</vt:lpstr>
      <vt:lpstr>'Filter 1'!dial</vt:lpstr>
      <vt:lpstr>'Filter 2'!dial</vt:lpstr>
      <vt:lpstr>'Watch Data Cleaning'!dial</vt:lpstr>
      <vt:lpstr>dial</vt:lpstr>
      <vt:lpstr>'Filter 1'!mvmt</vt:lpstr>
      <vt:lpstr>'Filter 2'!mvmt</vt:lpstr>
      <vt:lpstr>mvmt</vt:lpstr>
      <vt:lpstr>'Filter 1'!price_range</vt:lpstr>
      <vt:lpstr>'Filter 2'!price_range</vt:lpstr>
      <vt:lpstr>'Watch Data Cleaning'!price_range</vt:lpstr>
      <vt:lpstr>price_range</vt:lpstr>
      <vt:lpstr>'Filter 1'!watch</vt:lpstr>
      <vt:lpstr>'Filter 2'!watch</vt:lpstr>
      <vt:lpstr>'Watch Data Cleaning'!watch</vt:lpstr>
      <vt:lpstr>watch</vt:lpstr>
      <vt:lpstr>'Filter 1'!WR_Range</vt:lpstr>
      <vt:lpstr>'Filter 2'!WR_Range</vt:lpstr>
      <vt:lpstr>'Watch Data Cleaning'!WR_Range</vt:lpstr>
      <vt:lpstr>WR_Range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Nguyen</dc:creator>
  <cp:lastModifiedBy>Nguyen Do Khai Nguyen</cp:lastModifiedBy>
  <dcterms:created xsi:type="dcterms:W3CDTF">2023-11-11T07:01:04Z</dcterms:created>
  <dcterms:modified xsi:type="dcterms:W3CDTF">2023-11-12T22:37:03Z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0x010100BF4FFC193680A54F9004E8FE87AB3FCC</vt:lpwstr>
  </property>
</Properties>
</file>